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xr:revisionPtr revIDLastSave="0" documentId="8_{F481CF5F-F29B-4E8A-96EE-9C6CC30C229E}" xr6:coauthVersionLast="47" xr6:coauthVersionMax="47" xr10:uidLastSave="{00000000-0000-0000-0000-000000000000}"/>
  <bookViews>
    <workbookView xWindow="-98" yWindow="-98" windowWidth="19095" windowHeight="12795" firstSheet="0" activeTab="0" xr2:uid="{B59E213C-A324-4839-B225-D16B352DC30F}"/>
  </bookViews>
  <sheets>
    <sheet name="INPUT" sheetId="2" r:id="rId2"/>
    <sheet name="ITEM" sheetId="3" r:id="rId3"/>
    <sheet name="SPM" sheetId="4" r:id="rId4"/>
    <sheet name="BAPM" sheetId="5" r:id="rId5"/>
    <sheet name="BAPM 2" sheetId="12" r:id="rId6"/>
    <sheet name="BAPM 3" sheetId="13" r:id="rId7"/>
    <sheet name="BAPM 4" sheetId="14" r:id="rId8"/>
    <sheet name="BAP" sheetId="6" r:id="rId9"/>
    <sheet name="BAP 2" sheetId="15" r:id="rId10"/>
    <sheet name="BAP 3" sheetId="16" r:id="rId11"/>
    <sheet name="BAP 4" sheetId="17" r:id="rId12"/>
    <sheet name="REKAP" sheetId="7" r:id="rId13"/>
    <sheet name="PIVOT" sheetId="8" r:id="rId14"/>
    <sheet name="HELPER" sheetId="9" state="hidden" r:id="rId15"/>
  </sheets>
  <definedNames>
    <definedName name="_xlnm.Print_Area" localSheetId="7">BAP!$A$1:$L$59</definedName>
    <definedName name="_xlnm.Print_Area" localSheetId="8">'BAP 2'!$A$1:$L$59</definedName>
    <definedName name="_xlnm.Print_Area" localSheetId="9">'BAP 3'!$A$1:$L$59</definedName>
    <definedName name="_xlnm.Print_Area" localSheetId="10">'BAP 4'!$A$1:$L$59</definedName>
    <definedName name="_xlnm.Print_Area" localSheetId="3">BAPM!$A$1:$K$150</definedName>
    <definedName name="_xlnm.Print_Area" localSheetId="4">'BAPM 2'!$A$1:$K$150</definedName>
    <definedName name="_xlnm.Print_Area" localSheetId="5">'BAPM 3'!$A$1:$K$150</definedName>
    <definedName name="_xlnm.Print_Area" localSheetId="6">'BAPM 4'!$A$1:$K$150</definedName>
    <definedName name="_xlnm.Print_Area" localSheetId="2">SPM!$A$1:$G$153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<sst xmlns="http://schemas.openxmlformats.org/spreadsheetml/2006/main" count="309" uniqueCount="309">
  <si>
    <t>INPUT VARIABEL TAGIHAN PENGADAAN BARANG</t>
  </si>
  <si>
    <t>Isi hanya sel berwarna kuning. Seluruh sheet SPM / BAPM / BAP / REKAP mengambil nilai dari sini.</t>
  </si>
  <si>
    <t>A. DATA PROYEK / PIHAK PERTAMA (TETAP)</t>
  </si>
  <si>
    <t>Nama Pekerjaan</t>
  </si>
  <si>
    <r>
      <rPr>
        <i/>
        <sz val="11"/>
        <color theme="1"/>
        <rFont val="Arial"/>
        <family val="2"/>
      </rPr>
      <t>Design and Build</t>
    </r>
    <r>
      <rPr>
        <sz val="11"/>
        <color theme="1"/>
        <rFont val="Arial"/>
        <family val="2"/>
      </rPr>
      <t xml:space="preserve"> Perkuatan Dermaga Barat JICT Pelabuhan Tanjung Priok</t>
    </r>
  </si>
  <si>
    <t>Nama KSO</t>
  </si>
  <si>
    <t>WASKITA - NINDYA, KSO</t>
  </si>
  <si>
    <t>Divisi</t>
  </si>
  <si>
    <t>DIVISI OPERASI II INFRASTRUKTUR I</t>
  </si>
  <si>
    <t>Alamat KSO</t>
  </si>
  <si>
    <t>Jl. M.T. Haryono Kavling 10 RT.11/RW.11, Cipinang Cempedak, Jatinegara, Jakarta Timur 13340</t>
  </si>
  <si>
    <t>Nama Pihak Pertama</t>
  </si>
  <si>
    <t>DEDY HARIYANTO</t>
  </si>
  <si>
    <t>Jabatan Pihak Pertama</t>
  </si>
  <si>
    <t>Kepala Proyek</t>
  </si>
  <si>
    <t>Jabatan pada Tanda Tangan</t>
  </si>
  <si>
    <t>Nama Penerima Material</t>
  </si>
  <si>
    <t>JOKO SUPRIYONO</t>
  </si>
  <si>
    <t>Jabatan Penerima Material</t>
  </si>
  <si>
    <t>Kasi Pengadaan, Logistik, &amp; Peralatan</t>
  </si>
  <si>
    <t>Kontak Korespondensi</t>
  </si>
  <si>
    <t>Joko Supriyono / Hp. 085272750122</t>
  </si>
  <si>
    <t>NPWP KSO</t>
  </si>
  <si>
    <t>1000000007845820</t>
  </si>
  <si>
    <t>Nama Kuasa KSO</t>
  </si>
  <si>
    <t>STEFANUS GUNAWAN</t>
  </si>
  <si>
    <t>Jabatan Kuasa KSO</t>
  </si>
  <si>
    <t>Kuasa KSO</t>
  </si>
  <si>
    <t>Batas Nilai Wajib Kuasa KSO (Rp)</t>
  </si>
  <si>
    <t>Penanda Tangan Pihak Pertama (BAP)</t>
  </si>
  <si>
    <t>Jabatan Penanda Tangan (BAP)</t>
  </si>
  <si>
    <t>B. PIHAK KEDUA (VARIABEL)</t>
  </si>
  <si>
    <t>Nama Direktur</t>
  </si>
  <si>
    <t xml:space="preserve">manual </t>
  </si>
  <si>
    <t>Nama Perusahaan</t>
  </si>
  <si>
    <t>Alamat Perusahaan</t>
  </si>
  <si>
    <t>NPWP</t>
  </si>
  <si>
    <t>Nama Rekening</t>
  </si>
  <si>
    <t>Nomor Rekening</t>
  </si>
  <si>
    <t>Bank</t>
  </si>
  <si>
    <t>Email Vendor</t>
  </si>
  <si>
    <t>C. DATA SPM / PEMESANAN (VARIABEL)</t>
  </si>
  <si>
    <t>Nomor Urut SPM</t>
  </si>
  <si>
    <t>Kode Proyek</t>
  </si>
  <si>
    <t>1726012</t>
  </si>
  <si>
    <t>Tahun</t>
  </si>
  <si>
    <t>2026</t>
  </si>
  <si>
    <t>Nomor SPM Lengkap</t>
  </si>
  <si>
    <t>Tanggal Pemesanan (SPM)</t>
  </si>
  <si>
    <t>Tanggal Akhir Pengadaan</t>
  </si>
  <si>
    <t>Bulan Tagihan</t>
  </si>
  <si>
    <t>Lokasi Serah Terima / Franco</t>
  </si>
  <si>
    <t>Kota Tanda Tangan</t>
  </si>
  <si>
    <t>Jakarta</t>
  </si>
  <si>
    <t>D. SYARAT PEMBAYARAN &amp; KEBERTERIMAAN (VARIABEL)</t>
  </si>
  <si>
    <t>Tempo Pembayaran (hari kerja)</t>
  </si>
  <si>
    <t>Tempo Pembayaran (huruf)</t>
  </si>
  <si>
    <t>Tarif PPN</t>
  </si>
  <si>
    <t>Potongan Retensi (%)</t>
  </si>
  <si>
    <t>Pengembalian Uang Muka (%)</t>
  </si>
  <si>
    <t>Jumlah Termin BAP Digunakan (1-4)</t>
  </si>
  <si>
    <t>Termin Aktif yang Dicetak (1-4)</t>
  </si>
  <si>
    <t>Syarat Keberterimaan</t>
  </si>
  <si>
    <t>Material On Site Lokasi Proyek, kondisi baik, sesuai spesifikasi proyek dan disetujui konsultan/pengawas serta pemilik proyek.</t>
  </si>
  <si>
    <t>E. TERMIN PENGIRIMAN MATERIAL (1 PO DAPAT MENJADI 2-4 BAPM/BAP)</t>
  </si>
  <si>
    <t>Termin</t>
  </si>
  <si>
    <t>Tanggal BAPM / BAP</t>
  </si>
  <si>
    <t>Nomor BAPM</t>
  </si>
  <si>
    <t>Nomor BAP</t>
  </si>
  <si>
    <t>Jatuh Tempo Bayar</t>
  </si>
  <si>
    <t>Status Kontrak</t>
  </si>
  <si>
    <t>DAFTAR ITEM PENGADAAN &amp; ALOKASI PENGIRIMAN PER TERMIN</t>
  </si>
  <si>
    <t>KOLOM BANTU (jangan diubah) — harga satuan material yang diterima per termin, dipakai untuk memilih 3 material termahal di BAP</t>
  </si>
  <si>
    <t>NO.</t>
  </si>
  <si>
    <t>URAIAN</t>
  </si>
  <si>
    <t>SATUAN</t>
  </si>
  <si>
    <t>VOLUME KONTRAK</t>
  </si>
  <si>
    <t>HARGA SATUAN (Rp)</t>
  </si>
  <si>
    <t>JUMLAH HARGA (Rp)</t>
  </si>
  <si>
    <t>VOL. BAP-1</t>
  </si>
  <si>
    <t>VOL. BAP-2</t>
  </si>
  <si>
    <t>VOL. BAP-3</t>
  </si>
  <si>
    <t>VOL. BAP-4</t>
  </si>
  <si>
    <t>TOTAL TERKIRIM</t>
  </si>
  <si>
    <t>SISA VOLUME</t>
  </si>
  <si>
    <t>STATUS / NOTIFIKASI</t>
  </si>
  <si>
    <t>Catatan: alokasi pengiriman dibagi ke kolom VOL. BAP-1 s/d VOL. BAP-4 (maks. 4 termin). Setiap termin punya sheet sendiri: BAPM/BAP (termin 1), BAPM 2/BAP 2, BAPM 3/BAP 3, BAPM 4/BAP 4. Progres kumulatif otomatis berlanjut sampai 100% bila TOTAL TERKIRIM = VOLUME KONTRAK. Slot item 9-20 disembunyikan dalam grup baris pada SPM (21-32) &amp; BAPM (34-45).</t>
  </si>
  <si>
    <t>HRG BAP-1</t>
  </si>
  <si>
    <t>HRG BAP-2</t>
  </si>
  <si>
    <t>HRG BAP-3</t>
  </si>
  <si>
    <t>HRG BAP-4</t>
  </si>
  <si>
    <t>JUMLAH (Exclude PPN)</t>
  </si>
  <si>
    <t>RINGKASAN NILAI KONTRAK</t>
  </si>
  <si>
    <t>Nilai Kontrak (Exclude PPN)</t>
  </si>
  <si>
    <t>PPN</t>
  </si>
  <si>
    <t>TOTAL (Include PPN)</t>
  </si>
  <si>
    <t>SURAT PEMESANAN MATERIAL</t>
  </si>
  <si>
    <t>Kepada Yth,</t>
  </si>
  <si>
    <t>Nama Vendor</t>
  </si>
  <si>
    <t>Alamat</t>
  </si>
  <si>
    <t>VOLUME</t>
  </si>
  <si>
    <t>HARGA ( Rp. )</t>
  </si>
  <si>
    <t>JUMLAH ( Rp. )</t>
  </si>
  <si>
    <t>JUMLAH</t>
  </si>
  <si>
    <t>TOTAL</t>
  </si>
  <si>
    <t>Terbilang</t>
  </si>
  <si>
    <t>SYARAT - SYARAT :</t>
  </si>
  <si>
    <t>Kondisi Harga / Nilai :</t>
  </si>
  <si>
    <t>Harga tersebut diatas sudah termasuk:</t>
  </si>
  <si>
    <t>- Material On Site Lokasi Proyek</t>
  </si>
  <si>
    <t>- Termasuk PPh, dan pajak - pajak lain yang timbul akibat dari pengadaan material tersebut.</t>
  </si>
  <si>
    <t>- Biaya lain yang timbul baik secara langsung ataupun tidak langsung terkait pengadaan dan Pengiriman Material.</t>
  </si>
  <si>
    <t>Rincian spesifikasi dan ukuran realisasi pengiriman material tersebut ke proyek mengacu pada spesifikasi Proyek dilaksanakan berdasarkan permintaan dari proyek, yang merupakan satu bagian yang tak terpisahkan dari SPM/ kontrak SPPM</t>
  </si>
  <si>
    <t>Harga satuan tersebut diatas berlaku mengikat selama jangka waktu kontrak, dan volume sesuai kontrak terpenuhi seluruhnya</t>
  </si>
  <si>
    <t>Pengadaan material / alat harus kwalitas baik dan sesuai dengan spesifikasi yang disetujui oleh konsultan/pengawas pekerjaan dan pemilik proyek</t>
  </si>
  <si>
    <t>Material yang tidak sesuai dengan permintaan akan di tolak dan supplier harus mengganti dengan material baru sesuai permintaan atas biaya supplier</t>
  </si>
  <si>
    <t>sesuai administrasi Waskita - NINDYA, KSO dan dilampiri Berita Acara Pembayaran yang ditandatangani oleh kedua belah pihak.</t>
  </si>
  <si>
    <t>Pembayaran dapat disalurkan ke rekening kami sebagai berikut :</t>
  </si>
  <si>
    <t>Setuju :</t>
  </si>
  <si>
    <t>Dengan syarat tersebut diatas</t>
  </si>
  <si>
    <t>Direktur</t>
  </si>
  <si>
    <t>Catatan :</t>
  </si>
  <si>
    <t>SPM ini harus dilampirkan pada permintaan pembayaran.</t>
  </si>
  <si>
    <t>TERMIN SHEET INI (jangan diubah kecuali perlu)</t>
  </si>
  <si>
    <t>Tanggal BAPM/BAP</t>
  </si>
  <si>
    <t>Hari</t>
  </si>
  <si>
    <t>Tanggal (huruf)</t>
  </si>
  <si>
    <t>BERITA ACARA PENERIMAAN MATERIAL (BAPM)</t>
  </si>
  <si>
    <t>Bulan</t>
  </si>
  <si>
    <t>Tahun (huruf)</t>
  </si>
  <si>
    <t>Kalimat pembuka</t>
  </si>
  <si>
    <t>Nilai diterima</t>
  </si>
  <si>
    <t>I.</t>
  </si>
  <si>
    <t>Dari</t>
  </si>
  <si>
    <t>Kelompok miliar</t>
  </si>
  <si>
    <t>Kelompok juta</t>
  </si>
  <si>
    <t>II.</t>
  </si>
  <si>
    <t>Kepada</t>
  </si>
  <si>
    <t>Kelompok ribu</t>
  </si>
  <si>
    <t>Kelompok satuan</t>
  </si>
  <si>
    <t>Menerangkan bahwa kedua belah pihak telah setuju dan sepakat melakukan pemeriksaan pengadaan dan serah terima berdasarkan :</t>
  </si>
  <si>
    <t>Kontrak/SPM No.</t>
  </si>
  <si>
    <t>Nilai Kontrak</t>
  </si>
  <si>
    <t>Waktu Pelaksanaan</t>
  </si>
  <si>
    <t>Dengan rincian sebagai berikut,</t>
  </si>
  <si>
    <t>JENIS ITEM</t>
  </si>
  <si>
    <t>SAT</t>
  </si>
  <si>
    <t>PROGRES REAL VOLUME</t>
  </si>
  <si>
    <t>HARGA (Rp)</t>
  </si>
  <si>
    <t>YG LALU</t>
  </si>
  <si>
    <t>SAAT INI</t>
  </si>
  <si>
    <t>SD. SAAT INI</t>
  </si>
  <si>
    <t>SISA</t>
  </si>
  <si>
    <t>7=5+6</t>
  </si>
  <si>
    <t>8=3-7</t>
  </si>
  <si>
    <t>10 = 6 x 9</t>
  </si>
  <si>
    <t>Maka Pihak Kedua berhak menerima pembayaran dengan perhitungan sebagai berikut :</t>
  </si>
  <si>
    <t>Prestasi s/d saat ini</t>
  </si>
  <si>
    <t>:</t>
  </si>
  <si>
    <t>=</t>
  </si>
  <si>
    <t>Prestasi yang lalu</t>
  </si>
  <si>
    <t>Prestasi yang dapat dibayarkan</t>
  </si>
  <si>
    <t>Potongan :</t>
  </si>
  <si>
    <t>- Uang Muka</t>
  </si>
  <si>
    <t>(-)</t>
  </si>
  <si>
    <t>- Retensi</t>
  </si>
  <si>
    <t>Jumlah pembayaran yang diterima</t>
  </si>
  <si>
    <t>Material tersebut diatas dalam kondisi baik, perlengkapan serta surat-surat terlampir.</t>
  </si>
  <si>
    <t>Yang Menerima,</t>
  </si>
  <si>
    <t>Yang Menyerahkan,</t>
  </si>
  <si>
    <t>BAPM ini harus dilampirkan pada saat permintaan pembayaran.</t>
  </si>
  <si>
    <t>BERITA ACARA PEMBAYARAN (BAP)</t>
  </si>
  <si>
    <t>Nilai total BAP</t>
  </si>
  <si>
    <t>Prestasi saat ini</t>
  </si>
  <si>
    <t>Nilai termin 1</t>
  </si>
  <si>
    <t>Jangka Waktu Pengadaan</t>
  </si>
  <si>
    <t>Nilai termin 2</t>
  </si>
  <si>
    <t>Nilai termin 3</t>
  </si>
  <si>
    <t>Nilai termin 4</t>
  </si>
  <si>
    <t>3 MATERIAL TERBESAR DI BAPM TERMIN INI</t>
  </si>
  <si>
    <t>a</t>
  </si>
  <si>
    <t>Perhitungan Pembayaran</t>
  </si>
  <si>
    <t>Jml item diterima termin ini</t>
  </si>
  <si>
    <t>- Prestasi s/d saat ini</t>
  </si>
  <si>
    <t>x</t>
  </si>
  <si>
    <t>Rp</t>
  </si>
  <si>
    <t>= Rp</t>
  </si>
  <si>
    <t>Peringkat 1 (harga termahal)</t>
  </si>
  <si>
    <t>- Prestasi yang lalu</t>
  </si>
  <si>
    <t>Peringkat 2</t>
  </si>
  <si>
    <t>- Prestasi saat ini</t>
  </si>
  <si>
    <t>Peringkat 3</t>
  </si>
  <si>
    <t>Kalimat daftar material</t>
  </si>
  <si>
    <t>b</t>
  </si>
  <si>
    <t>Potongan Retensi</t>
  </si>
  <si>
    <t>Potongan Retensi s/d saat ini</t>
  </si>
  <si>
    <t>Potongan Retensi yang lalu</t>
  </si>
  <si>
    <t>Potongan Retensi saat ini</t>
  </si>
  <si>
    <t>c</t>
  </si>
  <si>
    <t>Pengembalian Uang Muka</t>
  </si>
  <si>
    <t>Pengembalian Uang Muka s/d saat ini</t>
  </si>
  <si>
    <t>Pengembalian Uang Muka yang lalu</t>
  </si>
  <si>
    <t>Pengembalian Uang Muka saat ini</t>
  </si>
  <si>
    <t>JUMLAH SETELAH DIKURANGI RETENSI, UANG MUKA (a-b-c)</t>
  </si>
  <si>
    <t>PAJAK PERTAMBAHAN NILAI (PPN)</t>
  </si>
  <si>
    <t>Demikian Berita Acara Pembayaran ini dibuat untuk dapat dipergunakan sebagaimana mestinya.</t>
  </si>
  <si>
    <t>PIHAK KEDUA</t>
  </si>
  <si>
    <t>PIHAK PERTAMA</t>
  </si>
  <si>
    <t>REKAP TAGIHAN PENGADAAN BARANG (SUMBER DATA PIVOT)</t>
  </si>
  <si>
    <t>Satu baris = satu BAP. Baris terisi otomatis dari sheet INPUT &amp; ITEM. Tambahkan baris riwayat bulan lain di bawah tabel bila perlu.</t>
  </si>
  <si>
    <t>No. SPM</t>
  </si>
  <si>
    <t>Vendor</t>
  </si>
  <si>
    <t>No. BAPM</t>
  </si>
  <si>
    <t>No. BAP</t>
  </si>
  <si>
    <t>Tanggal BAP</t>
  </si>
  <si>
    <t>Nilai Kontrak (Exc. PPN)</t>
  </si>
  <si>
    <t>Progres Kumulatif</t>
  </si>
  <si>
    <t>Nilai Prestasi Saat Ini</t>
  </si>
  <si>
    <t>DPP Bersih</t>
  </si>
  <si>
    <t>Total Tagihan</t>
  </si>
  <si>
    <t>Jatuh Tempo</t>
  </si>
  <si>
    <t>Status</t>
  </si>
  <si>
    <t>Termin 1</t>
  </si>
  <si>
    <t>Termin 2</t>
  </si>
  <si>
    <t>Termin 3</t>
  </si>
  <si>
    <t>Termin 4</t>
  </si>
  <si>
    <t>REKAP OTOMATIS TAGIHAN — MENGIKUTI SHEET BAPM / BAP YANG ADA</t>
  </si>
  <si>
    <t>Seluruh angka adalah rumus langsung dari sheet BAPM, BAP dan ITEM. Tidak perlu Refresh — otomatis ikut berubah saat ITEM / INPUT diubah.</t>
  </si>
  <si>
    <t>TERMIN</t>
  </si>
  <si>
    <t>NOMOR BAPM</t>
  </si>
  <si>
    <t>NOMOR BAP</t>
  </si>
  <si>
    <t>TANGGAL</t>
  </si>
  <si>
    <t>PROGRES YG LALU</t>
  </si>
  <si>
    <t>PROGRES SAAT INI</t>
  </si>
  <si>
    <t>PROGRES S/D SAAT INI</t>
  </si>
  <si>
    <t>NILAI PRESTASI (DPP)</t>
  </si>
  <si>
    <t>RETENSI</t>
  </si>
  <si>
    <t>UANG MUKA</t>
  </si>
  <si>
    <t>DPP BERSIH</t>
  </si>
  <si>
    <t>TOTAL TAGIHAN</t>
  </si>
  <si>
    <t>JATUH TEMPO</t>
  </si>
  <si>
    <t>STATUS</t>
  </si>
  <si>
    <t>(bulan)</t>
  </si>
  <si>
    <t>PENGENDALIAN NILAI KONTRAK</t>
  </si>
  <si>
    <t>Total DPP seluruh termin</t>
  </si>
  <si>
    <t>Selisih (harus 0 bila sudah 100%)</t>
  </si>
  <si>
    <t>Progres kumulatif akhir</t>
  </si>
  <si>
    <t>PPN seluruh termin</t>
  </si>
  <si>
    <t>Total tagihan termasuk PPN</t>
  </si>
  <si>
    <t>REKAP PER BULAN (berdasarkan tanggal BAP)</t>
  </si>
  <si>
    <t>BULAN</t>
  </si>
  <si>
    <t>JUMLAH BAP</t>
  </si>
  <si>
    <t>TABEL BANTU KONVERSI ANGKA KE HURUF (TERBILANG)</t>
  </si>
  <si>
    <t>ANGKA</t>
  </si>
  <si>
    <t>HURUF</t>
  </si>
  <si>
    <t>KETERANGAN</t>
  </si>
  <si>
    <t>NILAI</t>
  </si>
  <si>
    <t>MILIAR</t>
  </si>
  <si>
    <t>JUTA</t>
  </si>
  <si>
    <t>RIBU</t>
  </si>
  <si>
    <t>(kata miliar)</t>
  </si>
  <si>
    <t>(kata juta/ribu/satuan)</t>
  </si>
  <si>
    <t>TERBILANG</t>
  </si>
  <si>
    <t>TANGGAL AKTIF (TERMIN)</t>
  </si>
  <si>
    <t>HARI</t>
  </si>
  <si>
    <t>TANGGAL (HURUF)</t>
  </si>
  <si>
    <t>TAHUN (HURUF)</t>
  </si>
  <si>
    <t>KALIMAT PEMBUKA</t>
  </si>
  <si>
    <t>BARIS DATA REKANAN (pencocokan Nama Vendor)</t>
  </si>
  <si>
    <t>Satu</t>
  </si>
  <si>
    <t>TOTAL SPM (Include PPN)</t>
  </si>
  <si>
    <t>Dua</t>
  </si>
  <si>
    <t>BAPM - Jumlah Pembayaran Diterima</t>
  </si>
  <si>
    <t>Tiga</t>
  </si>
  <si>
    <t>BAP - TOTAL (Include PPN)</t>
  </si>
  <si>
    <t>Empat</t>
  </si>
  <si>
    <t>Lima</t>
  </si>
  <si>
    <t>Enam</t>
  </si>
  <si>
    <t>Tujuh</t>
  </si>
  <si>
    <t>Delapan</t>
  </si>
  <si>
    <t>Sembilan</t>
  </si>
  <si>
    <t>Sepuluh</t>
  </si>
  <si>
    <t>Sebelas</t>
  </si>
  <si>
    <t>Dua Belas</t>
  </si>
  <si>
    <t>Tiga Belas</t>
  </si>
  <si>
    <t>Empat Belas</t>
  </si>
  <si>
    <t>Lima Belas</t>
  </si>
  <si>
    <t>Enam Belas</t>
  </si>
  <si>
    <t>Tujuh Belas</t>
  </si>
  <si>
    <t>Delapan Belas</t>
  </si>
  <si>
    <t>Sembilan Belas</t>
  </si>
  <si>
    <t>PEMFORMAT RUPIAH ANTI-BEDA REGIONAL (selalu titik ribuan &amp; koma desimal)</t>
  </si>
  <si>
    <t>Keterangan</t>
  </si>
  <si>
    <t>Nilai</t>
  </si>
  <si>
    <t>Miliar</t>
  </si>
  <si>
    <t>Juta</t>
  </si>
  <si>
    <t>Ribu</t>
  </si>
  <si>
    <t>Satuan</t>
  </si>
  <si>
    <t>Desimal</t>
  </si>
  <si>
    <t>Teks (0 desimal)</t>
  </si>
  <si>
    <t>Teks (2 desimal)</t>
  </si>
  <si>
    <t>Total termasuk PPN (SPM)</t>
  </si>
  <si>
    <t>Nilai kontrak exclude PPN (BAPM/BAP)</t>
  </si>
  <si>
    <t>KONTROL BARIS CETAK</t>
  </si>
  <si>
    <t>Jumlah item terisi (ITEM!B4:B103)</t>
  </si>
  <si>
    <t>Baris kosong yang ditampilkan</t>
  </si>
  <si>
    <t>SPM  - baris item terakhir yang tampil</t>
  </si>
  <si>
    <t>BAPM - baris item terakhir yang tampil</t>
  </si>
  <si>
    <t>Cara refresh: sembunyikan baris item di bawah baris B34 (SPM) / B35 (BAPM) agar cetakan hanya menyisakan 2 baris kosong.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</si>
</sst>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\ mmmm\ yyyy"/>
    <numFmt numFmtId="165" formatCode="0.0%"/>
    <numFmt numFmtId="166" formatCode="#,##0;\(#,##0\);&quot;-&quot;"/>
    <numFmt numFmtId="167" formatCode="#,##0.00;\(#,##0.00\);&quot;-&quot;"/>
    <numFmt numFmtId="168" formatCode="0&quot;.&quot;"/>
    <numFmt numFmtId="169" formatCode="0.00%;\-0.00%;&quot;-&quot;"/>
  </numFmts>
  <fonts count="43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5"/>
      <color rgb="FF000075"/>
      <name val="Arial Black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rgb="FF000075"/>
      <name val="Arial"/>
      <family val="2"/>
    </font>
    <font>
      <b/>
      <i/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6.5"/>
      <color rgb="FF404040"/>
      <name val="Arial"/>
      <family val="2"/>
    </font>
    <font>
      <sz val="6.5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000075"/>
      <name val="Arial"/>
      <family val="2"/>
    </font>
    <font>
      <b/>
      <sz val="14"/>
      <color theme="1"/>
      <name val="Arial"/>
      <family val="2"/>
    </font>
    <font>
      <i/>
      <sz val="11"/>
      <color theme="1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i/>
      <sz val="8"/>
      <color theme="1"/>
      <name val="Arial"/>
      <family val="2"/>
    </font>
    <font>
      <sz val="9"/>
      <color rgb="FF0000FF"/>
      <name val="Arial"/>
      <family val="2"/>
    </font>
    <font>
      <i/>
      <sz val="9"/>
      <color rgb="FFC00000"/>
      <name val="Arial"/>
      <family val="2"/>
    </font>
    <font>
      <b/>
      <i/>
      <sz val="11"/>
      <color rgb="FFC00000"/>
      <name val="Arial"/>
      <family val="2"/>
    </font>
    <font>
      <b/>
      <sz val="9"/>
      <color rgb="FFFFFFFF"/>
      <name val="Arial"/>
      <family val="2"/>
    </font>
    <font>
      <b/>
      <i/>
      <sz val="15"/>
      <color rgb="FF000075"/>
      <name val="Arial"/>
      <family val="2"/>
    </font>
    <font>
      <sz val="8"/>
      <color rgb="FF0000FF"/>
      <name val="Arial"/>
      <family val="2"/>
    </font>
    <font>
      <sz val="6.5"/>
      <color theme="1"/>
      <name val="Arial"/>
      <family val="2"/>
    </font>
    <font>
      <b/>
      <u/>
      <sz val="11"/>
      <color theme="1"/>
      <name val="Arial"/>
      <family val="2"/>
    </font>
    <font>
      <b/>
      <sz val="13"/>
      <color rgb="FF000075"/>
      <name val="Arial"/>
      <family val="2"/>
    </font>
    <font>
      <i/>
      <sz val="9"/>
      <color rgb="FF808080"/>
      <name val="Arial"/>
      <family val="2"/>
    </font>
    <font>
      <b/>
      <sz val="8"/>
      <color rgb="FFA6A6A6"/>
      <name val="Arial"/>
      <family val="2"/>
    </font>
    <font>
      <sz val="8"/>
      <color rgb="FFA6A6A6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ptos Narrow"/>
      <family val="2"/>
      <charset val="1"/>
      <scheme val="minor"/>
    </font>
    <font>
      <b/>
      <sz val="11"/>
      <color rgb="FF1F3864"/>
      <name val="Aptos Narrow"/>
      <family val="2"/>
      <charset val="1"/>
      <scheme val="minor"/>
    </font>
    <font>
      <sz val="11"/>
      <color rgb="FF0000FF"/>
      <name val="Aptos Narrow"/>
      <family val="2"/>
      <charset val="1"/>
      <scheme val="minor"/>
    </font>
    <font>
      <i/>
      <sz val="11"/>
      <color rgb="FF808080"/>
      <name val="Aptos Narrow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0075"/>
        <bgColor indexed="64"/>
      </patternFill>
    </fill>
    <fill>
      <patternFill patternType="solid">
        <fgColor rgb="FF80808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7" fillId="0" borderId="0"/>
    <xf numFmtId="0" fontId="18" fillId="0" borderId="0"/>
  </cellStyleXfs>
  <cellXfs count="18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5" xfId="0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166" fontId="5" fillId="0" borderId="5" xfId="0" applyNumberFormat="1" applyFont="1" applyBorder="1"/>
    <xf numFmtId="166" fontId="6" fillId="0" borderId="5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6" fillId="3" borderId="5" xfId="0" applyFont="1" applyFill="1" applyBorder="1" applyAlignment="1">
      <alignment horizontal="center" vertical="center" wrapText="1"/>
    </xf>
    <xf numFmtId="167" fontId="5" fillId="0" borderId="5" xfId="0" applyNumberFormat="1" applyFont="1" applyBorder="1"/>
    <xf numFmtId="10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6" fillId="0" borderId="8" xfId="0" applyNumberFormat="1" applyFont="1" applyBorder="1"/>
    <xf numFmtId="166" fontId="5" fillId="0" borderId="0" xfId="0" applyNumberFormat="1" applyFont="1" applyAlignment="1">
      <alignment horizontal="right"/>
    </xf>
    <xf numFmtId="166" fontId="6" fillId="0" borderId="2" xfId="0" applyNumberFormat="1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16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left"/>
    </xf>
    <xf numFmtId="168" fontId="5" fillId="0" borderId="0" xfId="0" applyNumberFormat="1" applyFont="1"/>
    <xf numFmtId="168" fontId="6" fillId="0" borderId="0" xfId="0" applyNumberFormat="1" applyFont="1"/>
    <xf numFmtId="10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6" fontId="9" fillId="0" borderId="0" xfId="0" applyNumberFormat="1" applyFont="1"/>
    <xf numFmtId="166" fontId="9" fillId="0" borderId="0" xfId="0" applyNumberFormat="1" applyFont="1" applyAlignment="1">
      <alignment horizontal="left"/>
    </xf>
    <xf numFmtId="0" fontId="18" fillId="0" borderId="0" xfId="3" applyAlignment="1">
      <alignment vertical="top"/>
    </xf>
    <xf numFmtId="0" fontId="6" fillId="0" borderId="9" xfId="0" applyFont="1" applyBorder="1"/>
    <xf numFmtId="0" fontId="10" fillId="0" borderId="9" xfId="0" applyFont="1" applyBorder="1" applyAlignment="1">
      <alignment horizontal="left"/>
    </xf>
    <xf numFmtId="166" fontId="6" fillId="0" borderId="9" xfId="0" applyNumberFormat="1" applyFont="1" applyBorder="1"/>
    <xf numFmtId="0" fontId="5" fillId="0" borderId="9" xfId="0" applyFont="1" applyBorder="1"/>
    <xf numFmtId="166" fontId="5" fillId="0" borderId="9" xfId="0" applyNumberFormat="1" applyFont="1" applyBorder="1"/>
    <xf numFmtId="0" fontId="9" fillId="0" borderId="5" xfId="0" applyFont="1" applyBorder="1"/>
    <xf numFmtId="164" fontId="9" fillId="0" borderId="5" xfId="0" applyNumberFormat="1" applyFont="1" applyBorder="1"/>
    <xf numFmtId="169" fontId="9" fillId="0" borderId="5" xfId="0" applyNumberFormat="1" applyFont="1" applyBorder="1"/>
    <xf numFmtId="166" fontId="9" fillId="0" borderId="5" xfId="0" applyNumberFormat="1" applyFont="1" applyBorder="1"/>
    <xf numFmtId="0" fontId="10" fillId="3" borderId="5" xfId="0" applyFont="1" applyFill="1" applyBorder="1"/>
    <xf numFmtId="169" fontId="10" fillId="3" borderId="5" xfId="0" applyNumberFormat="1" applyFont="1" applyFill="1" applyBorder="1"/>
    <xf numFmtId="166" fontId="10" fillId="3" borderId="5" xfId="0" applyNumberFormat="1" applyFont="1" applyFill="1" applyBorder="1"/>
    <xf numFmtId="0" fontId="10" fillId="0" borderId="5" xfId="0" applyFont="1" applyBorder="1"/>
    <xf numFmtId="0" fontId="19" fillId="0" borderId="0" xfId="0" applyFont="1"/>
    <xf numFmtId="10" fontId="10" fillId="0" borderId="0" xfId="0" applyNumberFormat="1" applyFont="1"/>
    <xf numFmtId="166" fontId="9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8" fillId="6" borderId="5" xfId="3" applyFill="1" applyBorder="1" applyAlignment="1">
      <alignment vertical="top"/>
    </xf>
    <xf numFmtId="0" fontId="18" fillId="6" borderId="5" xfId="3" applyFill="1" applyBorder="1" applyAlignment="1">
      <alignment vertical="top" wrapText="1"/>
    </xf>
    <xf numFmtId="0" fontId="18" fillId="0" borderId="0" xfId="3" quotePrefix="1" applyAlignment="1">
      <alignment vertical="top"/>
    </xf>
    <xf numFmtId="0" fontId="20" fillId="0" borderId="0" xfId="0" applyFont="1"/>
    <xf numFmtId="0" fontId="21" fillId="0" borderId="0" xfId="0" applyFont="1"/>
    <xf numFmtId="0" fontId="24" fillId="4" borderId="0" xfId="0" applyFont="1" applyFill="1"/>
    <xf numFmtId="0" fontId="25" fillId="0" borderId="0" xfId="0" applyFont="1"/>
    <xf numFmtId="0" fontId="26" fillId="4" borderId="0" xfId="0" applyFont="1" applyFill="1"/>
    <xf numFmtId="49" fontId="24" fillId="4" borderId="0" xfId="0" applyNumberFormat="1" applyFont="1" applyFill="1"/>
    <xf numFmtId="164" fontId="24" fillId="4" borderId="0" xfId="0" applyNumberFormat="1" applyFont="1" applyFill="1"/>
    <xf numFmtId="165" fontId="24" fillId="4" borderId="0" xfId="0" applyNumberFormat="1" applyFont="1" applyFill="1"/>
    <xf numFmtId="0" fontId="2" fillId="3" borderId="5" xfId="0" applyFont="1" applyFill="1" applyBorder="1"/>
    <xf numFmtId="0" fontId="4" fillId="3" borderId="5" xfId="0" applyFont="1" applyFill="1" applyBorder="1"/>
    <xf numFmtId="0" fontId="2" fillId="0" borderId="5" xfId="0" applyFont="1" applyBorder="1"/>
    <xf numFmtId="164" fontId="24" fillId="4" borderId="5" xfId="0" applyNumberFormat="1" applyFont="1" applyFill="1" applyBorder="1"/>
    <xf numFmtId="164" fontId="2" fillId="0" borderId="5" xfId="0" applyNumberFormat="1" applyFont="1" applyBorder="1"/>
    <xf numFmtId="0" fontId="27" fillId="0" borderId="0" xfId="0" applyFont="1"/>
    <xf numFmtId="0" fontId="23" fillId="2" borderId="11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wrapText="1"/>
    </xf>
    <xf numFmtId="0" fontId="29" fillId="8" borderId="0" xfId="0" applyFont="1" applyFill="1" applyAlignment="1">
      <alignment horizontal="center"/>
    </xf>
    <xf numFmtId="0" fontId="24" fillId="5" borderId="5" xfId="0" applyFont="1" applyFill="1" applyBorder="1"/>
    <xf numFmtId="4" fontId="24" fillId="5" borderId="5" xfId="0" applyNumberFormat="1" applyFont="1" applyFill="1" applyBorder="1"/>
    <xf numFmtId="166" fontId="24" fillId="5" borderId="5" xfId="0" applyNumberFormat="1" applyFont="1" applyFill="1" applyBorder="1"/>
    <xf numFmtId="166" fontId="2" fillId="0" borderId="5" xfId="0" applyNumberFormat="1" applyFont="1" applyBorder="1"/>
    <xf numFmtId="167" fontId="24" fillId="4" borderId="5" xfId="0" applyNumberFormat="1" applyFont="1" applyFill="1" applyBorder="1"/>
    <xf numFmtId="167" fontId="2" fillId="0" borderId="5" xfId="0" applyNumberFormat="1" applyFont="1" applyBorder="1"/>
    <xf numFmtId="167" fontId="2" fillId="0" borderId="6" xfId="0" applyNumberFormat="1" applyFont="1" applyBorder="1"/>
    <xf numFmtId="0" fontId="2" fillId="0" borderId="11" xfId="0" applyFont="1" applyBorder="1" applyAlignment="1">
      <alignment vertical="center"/>
    </xf>
    <xf numFmtId="0" fontId="4" fillId="0" borderId="5" xfId="0" applyFont="1" applyBorder="1"/>
    <xf numFmtId="4" fontId="4" fillId="0" borderId="5" xfId="0" applyNumberFormat="1" applyFont="1" applyBorder="1"/>
    <xf numFmtId="166" fontId="4" fillId="0" borderId="5" xfId="0" applyNumberFormat="1" applyFont="1" applyBorder="1"/>
    <xf numFmtId="167" fontId="4" fillId="0" borderId="11" xfId="0" applyNumberFormat="1" applyFont="1" applyBorder="1" applyAlignment="1">
      <alignment vertical="center"/>
    </xf>
    <xf numFmtId="0" fontId="4" fillId="3" borderId="0" xfId="0" applyFont="1" applyFill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13" fillId="0" borderId="0" xfId="0" applyFont="1"/>
    <xf numFmtId="0" fontId="31" fillId="4" borderId="0" xfId="0" applyFont="1" applyFill="1"/>
    <xf numFmtId="0" fontId="14" fillId="0" borderId="0" xfId="0" applyFont="1"/>
    <xf numFmtId="0" fontId="32" fillId="0" borderId="0" xfId="0" applyFont="1"/>
    <xf numFmtId="10" fontId="14" fillId="0" borderId="0" xfId="0" applyNumberFormat="1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/>
    <xf numFmtId="10" fontId="2" fillId="0" borderId="0" xfId="0" applyNumberFormat="1" applyFont="1"/>
    <xf numFmtId="0" fontId="34" fillId="0" borderId="0" xfId="0" applyFont="1"/>
    <xf numFmtId="0" fontId="35" fillId="0" borderId="0" xfId="0" applyFont="1"/>
    <xf numFmtId="0" fontId="29" fillId="7" borderId="5" xfId="0" applyFont="1" applyFill="1" applyBorder="1" applyAlignment="1">
      <alignment horizontal="center" wrapText="1"/>
    </xf>
    <xf numFmtId="0" fontId="36" fillId="7" borderId="10" xfId="0" applyFont="1" applyFill="1" applyBorder="1" applyAlignment="1">
      <alignment horizontal="center" wrapText="1"/>
    </xf>
    <xf numFmtId="0" fontId="37" fillId="0" borderId="0" xfId="0" applyFont="1"/>
    <xf numFmtId="0" fontId="29" fillId="7" borderId="5" xfId="0" applyFont="1" applyFill="1" applyBorder="1" applyAlignment="1">
      <alignment horizontal="center"/>
    </xf>
    <xf numFmtId="43" fontId="2" fillId="0" borderId="0" xfId="1" applyFont="1"/>
    <xf numFmtId="0" fontId="24" fillId="0" borderId="0" xfId="0" applyFont="1"/>
    <xf numFmtId="0" fontId="28" fillId="2" borderId="0" xfId="0" applyFont="1" applyFill="1" applyAlignment="1">
      <alignment horizontal="center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" fillId="0" borderId="0" xfId="0" quotePrefix="1" applyFont="1"/>
    <xf numFmtId="3" fontId="2" fillId="0" borderId="0" xfId="0" applyNumberFormat="1" applyFont="1"/>
    <xf numFmtId="0" fontId="2" fillId="4" borderId="0" xfId="0" applyFont="1" applyFill="1"/>
    <xf numFmtId="0" fontId="40" fillId="0" borderId="0" xfId="0" applyFont="1"/>
    <xf numFmtId="0" fontId="39" fillId="3" borderId="0" xfId="0" applyFont="1" applyFill="1"/>
    <xf numFmtId="0" fontId="41" fillId="4" borderId="0" xfId="0" applyFont="1" applyFill="1"/>
    <xf numFmtId="0" fontId="42" fillId="0" borderId="0" xfId="0" applyFont="1"/>
    <xf numFmtId="0" fontId="22" fillId="2" borderId="0" xfId="0" applyFont="1" applyFill="1"/>
    <xf numFmtId="0" fontId="23" fillId="2" borderId="0" xfId="0" applyFont="1" applyFill="1"/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4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2" fillId="0" borderId="0" xfId="0" applyFont="1" applyAlignment="1">
      <alignment horizontal="center"/>
    </xf>
    <xf numFmtId="166" fontId="6" fillId="0" borderId="6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top" wrapText="1"/>
    </xf>
    <xf numFmtId="49" fontId="2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left"/>
    </xf>
    <xf numFmtId="0" fontId="2" fillId="0" borderId="2" xfId="0" applyFont="1" applyBorder="1"/>
    <xf numFmtId="0" fontId="5" fillId="0" borderId="5" xfId="0" applyFont="1" applyBorder="1" applyAlignment="1">
      <alignment horizontal="left"/>
    </xf>
    <xf numFmtId="0" fontId="2" fillId="0" borderId="5" xfId="0" applyFont="1" applyBorder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1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right"/>
    </xf>
    <xf numFmtId="0" fontId="6" fillId="0" borderId="9" xfId="0" applyFont="1" applyBorder="1"/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4">
    <cellStyle name="Koma" xfId="1" builtinId="3"/>
    <cellStyle name="Normal" xfId="0" builtinId="0"/>
    <cellStyle name="Normal 11 2" xfId="2" xr:uid="{D4B8A5FA-F8E8-4F71-AB88-FE499FE519F0}"/>
    <cellStyle name="Normal 2" xfId="3" xr:uid="{BCDDBFA6-76B2-4D53-9D05-3BE44D3DA02D}"/>
  </cellStyles>
  <dxfs count="27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name val="Arial"/>
      </font>
    </dxf>
    <dxf>
      <font>
        <name val="Arial"/>
      </font>
    </dxf>
    <dxf>
      <font>
        <name val="Arial"/>
      </font>
      <numFmt numFmtId="166" formatCode="#,##0;\(#,##0\);&quot;-&quot;"/>
    </dxf>
    <dxf>
      <font>
        <name val="Arial"/>
      </font>
      <numFmt numFmtId="166" formatCode="#,##0;\(#,##0\);&quot;-&quot;"/>
    </dxf>
    <dxf>
      <font>
        <name val="Arial"/>
      </font>
      <numFmt numFmtId="166" formatCode="#,##0;\(#,##0\);&quot;-&quot;"/>
    </dxf>
    <dxf>
      <font>
        <name val="Arial"/>
      </font>
      <numFmt numFmtId="166" formatCode="#,##0;\(#,##0\);&quot;-&quot;"/>
    </dxf>
    <dxf>
      <font>
        <name val="Arial"/>
      </font>
      <numFmt numFmtId="166" formatCode="#,##0;\(#,##0\);&quot;-&quot;"/>
    </dxf>
    <dxf>
      <font>
        <name val="Arial"/>
      </font>
      <numFmt numFmtId="166" formatCode="#,##0;\(#,##0\);&quot;-&quot;"/>
    </dxf>
    <dxf>
      <font>
        <name val="Arial"/>
      </font>
      <numFmt numFmtId="14" formatCode="0.00%"/>
    </dxf>
    <dxf>
      <font>
        <name val="Arial"/>
      </font>
      <numFmt numFmtId="166" formatCode="#,##0;\(#,##0\);&quot;-&quot;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alignment horizont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279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280" Type="http://schemas.openxmlformats.org/officeDocument/2006/relationships/sheetMetadata" Target="metadata.xml"/><Relationship Id="rId6" Type="http://schemas.openxmlformats.org/officeDocument/2006/relationships/worksheet" Target="worksheets/sheet6.xml"/><Relationship Id="rId13" Type="http://schemas.openxmlformats.org/officeDocument/2006/relationships/worksheet" Target="worksheets/sheet13.xml"/><Relationship Id="rId7" Type="http://schemas.openxmlformats.org/officeDocument/2006/relationships/worksheet" Target="worksheets/sheet7.xml"/><Relationship Id="rId14" Type="http://schemas.openxmlformats.org/officeDocument/2006/relationships/worksheet" Target="worksheets/sheet14.xml"/><Relationship Id="rId8" Type="http://schemas.openxmlformats.org/officeDocument/2006/relationships/worksheet" Target="worksheets/sheet8.xml"/><Relationship Id="rId15" Type="http://schemas.openxmlformats.org/officeDocument/2006/relationships/worksheet" Target="worksheets/sheet15.xml"/><Relationship Id="rId9" Type="http://schemas.openxmlformats.org/officeDocument/2006/relationships/worksheet" Target="worksheets/sheet9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277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278" Type="http://schemas.openxmlformats.org/officeDocument/2006/relationships/styles" Target="styles.xml"/><Relationship Id="rId11" Type="http://schemas.openxmlformats.org/officeDocument/2006/relationships/worksheet" Target="worksheets/sheet1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7</xdr:col>
      <xdr:colOff>276225</xdr:colOff>
      <xdr:row>3</xdr:row>
      <xdr:rowOff>76200</xdr:rowOff>
    </xdr:to>
    <xdr:grpSp>
      <xdr:nvGrpSpPr>
        <xdr:cNvPr id="64" name="Grup 63">
          <a:extLst>
            <a:ext uri="{FF2B5EF4-FFF2-40B4-BE49-F238E27FC236}">
              <a16:creationId xmlns:a16="http://schemas.microsoft.com/office/drawing/2014/main" id="{1DB32FD0-B4A9-4FB0-A4E0-0DEDF46D9A20}"/>
            </a:ext>
          </a:extLst>
        </xdr:cNvPr>
        <xdr:cNvGrpSpPr/>
      </xdr:nvGrpSpPr>
      <xdr:grpSpPr>
        <a:xfrm>
          <a:off x="0" y="1"/>
          <a:ext cx="8405813" cy="804862"/>
          <a:chOff x="488446" y="125677"/>
          <a:chExt cx="11387020" cy="1502365"/>
        </a:xfrm>
      </xdr:grpSpPr>
      <xdr:grpSp>
        <xdr:nvGrpSpPr>
          <xdr:cNvPr id="65" name="Group 22">
            <a:extLst>
              <a:ext uri="{FF2B5EF4-FFF2-40B4-BE49-F238E27FC236}">
                <a16:creationId xmlns:a16="http://schemas.microsoft.com/office/drawing/2014/main" id="{C6C5CBEF-6A65-A85B-F826-9A652ED68645}"/>
              </a:ext>
            </a:extLst>
          </xdr:cNvPr>
          <xdr:cNvGrpSpPr>
            <a:grpSpLocks/>
          </xdr:cNvGrpSpPr>
        </xdr:nvGrpSpPr>
        <xdr:grpSpPr bwMode="auto">
          <a:xfrm>
            <a:off x="488446" y="125677"/>
            <a:ext cx="11387020" cy="1502365"/>
            <a:chOff x="-9722" y="341"/>
            <a:chExt cx="22620" cy="1065"/>
          </a:xfrm>
        </xdr:grpSpPr>
        <xdr:sp macro="" textlink="">
          <xdr:nvSpPr>
            <xdr:cNvPr id="67" name="Text Box 151">
              <a:extLst>
                <a:ext uri="{FF2B5EF4-FFF2-40B4-BE49-F238E27FC236}">
                  <a16:creationId xmlns:a16="http://schemas.microsoft.com/office/drawing/2014/main" id="{9EB7C835-0662-CAB4-7E63-1BD3A4F8CE9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r>
                <a:rPr lang="en-US" sz="1000" b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</a:t>
              </a:r>
              <a:r>
                <a:rPr lang="en-US" sz="1000" b="0" baseline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Tower, </a:t>
              </a:r>
              <a:r>
                <a:rPr lang="en-US" sz="1000" b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Jl. M.T. Haryono Kav. No.12-13</a:t>
              </a:r>
              <a:r>
                <a:rPr lang="en-US" sz="1000" b="0" baseline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Bidaracina,</a:t>
              </a:r>
              <a:r>
                <a:rPr lang="en-US" sz="1000" b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Jatinegara-Jakarta Timur 13330• Telp (</a:t>
              </a:r>
              <a:r>
                <a:rPr lang="en-US" sz="1000" b="0" baseline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021)8515521</a:t>
              </a:r>
              <a:r>
                <a:rPr lang="en-US" sz="1000" b="0">
                  <a:solidFill>
                    <a:srgbClr val="00B0F0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• waskitanindya.jict@gmail.com</a:t>
              </a:r>
              <a:endParaRPr lang="en-ID" sz="1000" b="0">
                <a:solidFill>
                  <a:srgbClr val="00B0F0"/>
                </a:solidFill>
                <a:effectLst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68" name="Picture 24">
              <a:extLst>
                <a:ext uri="{FF2B5EF4-FFF2-40B4-BE49-F238E27FC236}">
                  <a16:creationId xmlns:a16="http://schemas.microsoft.com/office/drawing/2014/main" id="{93ECE9DE-475A-FCB0-F41C-32A845F1FDA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1861" cy="72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69" name="Text Box 153">
              <a:extLst>
                <a:ext uri="{FF2B5EF4-FFF2-40B4-BE49-F238E27FC236}">
                  <a16:creationId xmlns:a16="http://schemas.microsoft.com/office/drawing/2014/main" id="{02E759DC-7138-4887-5749-A57A1AA68E8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502" y="341"/>
              <a:ext cx="12292" cy="503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800">
                  <a:solidFill>
                    <a:srgbClr val="000066"/>
                  </a:solidFill>
                  <a:effectLst/>
                  <a:latin typeface="Arial Black"/>
                  <a:ea typeface="Calibri"/>
                  <a:cs typeface="Times New Roman"/>
                </a:rPr>
                <a:t>WASKITA - NINDYA KSO</a:t>
              </a:r>
              <a:endParaRPr lang="id-ID" sz="18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sp macro="" textlink="">
          <xdr:nvSpPr>
            <xdr:cNvPr id="70" name="Text Box 155">
              <a:extLst>
                <a:ext uri="{FF2B5EF4-FFF2-40B4-BE49-F238E27FC236}">
                  <a16:creationId xmlns:a16="http://schemas.microsoft.com/office/drawing/2014/main" id="{2BA68FC9-1D6D-BBD3-EA77-0B8758A18F7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1848" y="797"/>
              <a:ext cx="14746" cy="356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ctr" anchorCtr="0" upright="1">
              <a:spAutoFit/>
            </a:bodyPr>
            <a:lstStyle/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100" b="1">
                  <a:solidFill>
                    <a:sysClr val="windowText" lastClr="000000"/>
                  </a:solidFill>
                  <a:effectLst/>
                  <a:latin typeface="72 Condensed" panose="020B0506030000000003" pitchFamily="34" charset="0"/>
                  <a:ea typeface="Tahoma" panose="020B0604030504040204" pitchFamily="34" charset="0"/>
                  <a:cs typeface="72 Condensed" panose="020B0506030000000003" pitchFamily="34" charset="0"/>
                </a:rPr>
                <a:t>Pekerjaan Design</a:t>
              </a:r>
              <a:r>
                <a:rPr lang="en-US" sz="1100" b="1" baseline="0">
                  <a:solidFill>
                    <a:sysClr val="windowText" lastClr="000000"/>
                  </a:solidFill>
                  <a:effectLst/>
                  <a:latin typeface="72 Condensed" panose="020B0506030000000003" pitchFamily="34" charset="0"/>
                  <a:ea typeface="Tahoma" panose="020B0604030504040204" pitchFamily="34" charset="0"/>
                  <a:cs typeface="72 Condensed" panose="020B0506030000000003" pitchFamily="34" charset="0"/>
                </a:rPr>
                <a:t> and Build Perkuatan Dermaga Barat JICT Pelabuhan Tanjung Priok</a:t>
              </a:r>
              <a:endParaRPr lang="id-ID" sz="1100">
                <a:solidFill>
                  <a:sysClr val="windowText" lastClr="000000"/>
                </a:solidFill>
                <a:effectLst/>
                <a:latin typeface="72 Condensed" panose="020B0506030000000003" pitchFamily="34" charset="0"/>
                <a:ea typeface="Tahoma" panose="020B0604030504040204" pitchFamily="34" charset="0"/>
                <a:cs typeface="72 Condensed" panose="020B0506030000000003" pitchFamily="34" charset="0"/>
              </a:endParaRPr>
            </a:p>
          </xdr:txBody>
        </xdr:sp>
        <xdr:cxnSp macro="">
          <xdr:nvCxnSpPr>
            <xdr:cNvPr id="71" name="AutoShape 156">
              <a:extLst>
                <a:ext uri="{FF2B5EF4-FFF2-40B4-BE49-F238E27FC236}">
                  <a16:creationId xmlns:a16="http://schemas.microsoft.com/office/drawing/2014/main" id="{B29D6F91-E84B-2830-BF8C-A592F9F66262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-9624" y="1120"/>
              <a:ext cx="21733" cy="21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66" name="Gambar 65">
            <a:extLst>
              <a:ext uri="{FF2B5EF4-FFF2-40B4-BE49-F238E27FC236}">
                <a16:creationId xmlns:a16="http://schemas.microsoft.com/office/drawing/2014/main" id="{BF47FD23-B81E-D0A6-8018-8404A465C3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522439" y="226414"/>
            <a:ext cx="912146" cy="783511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366712</xdr:colOff>
      <xdr:row>150</xdr:row>
      <xdr:rowOff>33338</xdr:rowOff>
    </xdr:from>
    <xdr:to>
      <xdr:col>1</xdr:col>
      <xdr:colOff>1371600</xdr:colOff>
      <xdr:row>152</xdr:row>
      <xdr:rowOff>22480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8442F47-5462-4DA9-B577-F1172C758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712" y="12806363"/>
          <a:ext cx="1385888" cy="351092"/>
        </a:xfrm>
        <a:prstGeom prst="rect">
          <a:avLst/>
        </a:prstGeom>
      </xdr:spPr>
    </xdr:pic>
    <xdr:clientData/>
  </xdr:twoCellAnchor>
  <xdr:twoCellAnchor editAs="oneCell">
    <xdr:from>
      <xdr:col>4</xdr:col>
      <xdr:colOff>357206</xdr:colOff>
      <xdr:row>150</xdr:row>
      <xdr:rowOff>41105</xdr:rowOff>
    </xdr:from>
    <xdr:to>
      <xdr:col>5</xdr:col>
      <xdr:colOff>1085859</xdr:colOff>
      <xdr:row>152</xdr:row>
      <xdr:rowOff>57796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E89BAE72-093A-445A-B914-9E2B9E7AF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8294" y="12814130"/>
          <a:ext cx="1490653" cy="378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207818</xdr:colOff>
      <xdr:row>3</xdr:row>
      <xdr:rowOff>164523</xdr:rowOff>
    </xdr:to>
    <xdr:grpSp>
      <xdr:nvGrpSpPr>
        <xdr:cNvPr id="3" name="Grup 2">
          <a:extLst>
            <a:ext uri="{FF2B5EF4-FFF2-40B4-BE49-F238E27FC236}">
              <a16:creationId xmlns:a16="http://schemas.microsoft.com/office/drawing/2014/main" id="{869D16D9-CE5A-4DF2-AC1A-0F18FC831F65}"/>
            </a:ext>
          </a:extLst>
        </xdr:cNvPr>
        <xdr:cNvGrpSpPr/>
      </xdr:nvGrpSpPr>
      <xdr:grpSpPr>
        <a:xfrm>
          <a:off x="0" y="0"/>
          <a:ext cx="9338211" cy="953737"/>
          <a:chOff x="488446" y="125677"/>
          <a:chExt cx="11054269" cy="1502365"/>
        </a:xfrm>
      </xdr:grpSpPr>
      <xdr:grpSp>
        <xdr:nvGrpSpPr>
          <xdr:cNvPr id="4" name="Group 22">
            <a:extLst>
              <a:ext uri="{FF2B5EF4-FFF2-40B4-BE49-F238E27FC236}">
                <a16:creationId xmlns:a16="http://schemas.microsoft.com/office/drawing/2014/main" id="{479D2455-B756-5D41-16BB-D056B6A2F19E}"/>
              </a:ext>
            </a:extLst>
          </xdr:cNvPr>
          <xdr:cNvGrpSpPr>
            <a:grpSpLocks/>
          </xdr:cNvGrpSpPr>
        </xdr:nvGrpSpPr>
        <xdr:grpSpPr bwMode="auto">
          <a:xfrm>
            <a:off x="488446" y="125677"/>
            <a:ext cx="11054269" cy="1502365"/>
            <a:chOff x="-9722" y="341"/>
            <a:chExt cx="21959" cy="1065"/>
          </a:xfrm>
        </xdr:grpSpPr>
        <xdr:sp macro="" textlink="">
          <xdr:nvSpPr>
            <xdr:cNvPr id="6" name="Text Box 151">
              <a:extLst>
                <a:ext uri="{FF2B5EF4-FFF2-40B4-BE49-F238E27FC236}">
                  <a16:creationId xmlns:a16="http://schemas.microsoft.com/office/drawing/2014/main" id="{64956092-C095-A742-18BB-04984F3D44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Tower, 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Jl. M.T. Haryono Kav. No.12-13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Bidaracina,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Jatinegara-Jakarta Timur 13330• Telp (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021)8515521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• waskitanindya.jict@gmail.com</a:t>
              </a:r>
              <a:endParaRPr lang="en-ID" sz="1100" b="0">
                <a:solidFill>
                  <a:schemeClr val="tx1"/>
                </a:solidFill>
                <a:effectLst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7" name="Picture 24">
              <a:extLst>
                <a:ext uri="{FF2B5EF4-FFF2-40B4-BE49-F238E27FC236}">
                  <a16:creationId xmlns:a16="http://schemas.microsoft.com/office/drawing/2014/main" id="{AFFD6C1B-5310-670C-A0E9-71BE0CEB81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2061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53">
              <a:extLst>
                <a:ext uri="{FF2B5EF4-FFF2-40B4-BE49-F238E27FC236}">
                  <a16:creationId xmlns:a16="http://schemas.microsoft.com/office/drawing/2014/main" id="{08FFDD54-2C01-8D56-00F4-4238B6E2B9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399"/>
              <a:ext cx="12292" cy="503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800">
                  <a:solidFill>
                    <a:srgbClr val="000066"/>
                  </a:solidFill>
                  <a:effectLst/>
                  <a:latin typeface="Arial Black"/>
                  <a:ea typeface="Calibri"/>
                  <a:cs typeface="Times New Roman"/>
                </a:rPr>
                <a:t>WASKITA - NINDYA KSO</a:t>
              </a:r>
              <a:endParaRPr lang="id-ID" sz="18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10" name="AutoShape 156">
              <a:extLst>
                <a:ext uri="{FF2B5EF4-FFF2-40B4-BE49-F238E27FC236}">
                  <a16:creationId xmlns:a16="http://schemas.microsoft.com/office/drawing/2014/main" id="{7E2313BE-47FF-85D8-537D-79FB09CFB5C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5" name="Gambar 4">
            <a:extLst>
              <a:ext uri="{FF2B5EF4-FFF2-40B4-BE49-F238E27FC236}">
                <a16:creationId xmlns:a16="http://schemas.microsoft.com/office/drawing/2014/main" id="{CD8D2D7D-A13C-30EA-51A3-1BAFEC02CB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522439" y="226415"/>
            <a:ext cx="1065068" cy="91486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11</xdr:col>
      <xdr:colOff>360218</xdr:colOff>
      <xdr:row>4</xdr:row>
      <xdr:rowOff>135081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3837F967-AD8A-416C-96DC-A29F2A82E220}"/>
            </a:ext>
          </a:extLst>
        </xdr:cNvPr>
        <xdr:cNvGrpSpPr/>
      </xdr:nvGrpSpPr>
      <xdr:grpSpPr>
        <a:xfrm>
          <a:off x="152400" y="152400"/>
          <a:ext cx="9310147" cy="953041"/>
          <a:chOff x="488446" y="125677"/>
          <a:chExt cx="11054269" cy="1502365"/>
        </a:xfrm>
      </xdr:grpSpPr>
      <xdr:grpSp>
        <xdr:nvGrpSpPr>
          <xdr:cNvPr id="3" name="Group 22">
            <a:extLst>
              <a:ext uri="{FF2B5EF4-FFF2-40B4-BE49-F238E27FC236}">
                <a16:creationId xmlns:a16="http://schemas.microsoft.com/office/drawing/2014/main" id="{C159494B-F820-0B70-F728-9835EBD1B733}"/>
              </a:ext>
            </a:extLst>
          </xdr:cNvPr>
          <xdr:cNvGrpSpPr>
            <a:grpSpLocks/>
          </xdr:cNvGrpSpPr>
        </xdr:nvGrpSpPr>
        <xdr:grpSpPr bwMode="auto">
          <a:xfrm>
            <a:off x="488446" y="125677"/>
            <a:ext cx="11054269" cy="1502365"/>
            <a:chOff x="-9722" y="341"/>
            <a:chExt cx="21959" cy="1065"/>
          </a:xfrm>
        </xdr:grpSpPr>
        <xdr:sp macro="" textlink="">
          <xdr:nvSpPr>
            <xdr:cNvPr id="5" name="Text Box 151">
              <a:extLst>
                <a:ext uri="{FF2B5EF4-FFF2-40B4-BE49-F238E27FC236}">
                  <a16:creationId xmlns:a16="http://schemas.microsoft.com/office/drawing/2014/main" id="{18682B56-F74D-B34A-1446-0489770303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Tower, 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Jl. M.T. Haryono Kav. No.12-13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Bidaracina,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Jatinegara-Jakarta Timur 13330• Telp (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021)8515521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• waskitanindya.jict@gmail.com</a:t>
              </a:r>
              <a:endParaRPr lang="en-ID" sz="1100" b="0">
                <a:solidFill>
                  <a:schemeClr val="tx1"/>
                </a:solidFill>
                <a:effectLst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6" name="Picture 24">
              <a:extLst>
                <a:ext uri="{FF2B5EF4-FFF2-40B4-BE49-F238E27FC236}">
                  <a16:creationId xmlns:a16="http://schemas.microsoft.com/office/drawing/2014/main" id="{BC949AFC-097B-D3EE-C878-E764B4F48B2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2061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7" name="Text Box 153">
              <a:extLst>
                <a:ext uri="{FF2B5EF4-FFF2-40B4-BE49-F238E27FC236}">
                  <a16:creationId xmlns:a16="http://schemas.microsoft.com/office/drawing/2014/main" id="{F6F6B37D-E496-43ED-3767-F2C61EAA0B9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399"/>
              <a:ext cx="12292" cy="503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800">
                  <a:solidFill>
                    <a:srgbClr val="000066"/>
                  </a:solidFill>
                  <a:effectLst/>
                  <a:latin typeface="Arial Black"/>
                  <a:ea typeface="Calibri"/>
                  <a:cs typeface="Times New Roman"/>
                </a:rPr>
                <a:t>WASKITA - NINDYA KSO</a:t>
              </a:r>
              <a:endParaRPr lang="id-ID" sz="18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8" name="AutoShape 156">
              <a:extLst>
                <a:ext uri="{FF2B5EF4-FFF2-40B4-BE49-F238E27FC236}">
                  <a16:creationId xmlns:a16="http://schemas.microsoft.com/office/drawing/2014/main" id="{7149E651-A883-BD02-50E7-DC532DEA7EC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4" name="Gambar 3">
            <a:extLst>
              <a:ext uri="{FF2B5EF4-FFF2-40B4-BE49-F238E27FC236}">
                <a16:creationId xmlns:a16="http://schemas.microsoft.com/office/drawing/2014/main" id="{2BB08C17-63FA-EA13-B0BF-D1EEA81A62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522439" y="226415"/>
            <a:ext cx="1065068" cy="91486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11</xdr:col>
      <xdr:colOff>360218</xdr:colOff>
      <xdr:row>4</xdr:row>
      <xdr:rowOff>135081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6A732569-D879-4481-9EA8-D2C872458C89}"/>
            </a:ext>
          </a:extLst>
        </xdr:cNvPr>
        <xdr:cNvGrpSpPr/>
      </xdr:nvGrpSpPr>
      <xdr:grpSpPr>
        <a:xfrm>
          <a:off x="152400" y="152400"/>
          <a:ext cx="9310147" cy="953041"/>
          <a:chOff x="488446" y="125677"/>
          <a:chExt cx="11054269" cy="1502365"/>
        </a:xfrm>
      </xdr:grpSpPr>
      <xdr:grpSp>
        <xdr:nvGrpSpPr>
          <xdr:cNvPr id="3" name="Group 22">
            <a:extLst>
              <a:ext uri="{FF2B5EF4-FFF2-40B4-BE49-F238E27FC236}">
                <a16:creationId xmlns:a16="http://schemas.microsoft.com/office/drawing/2014/main" id="{BCADD29F-27B7-FEC5-AACC-7C3F04F0DE4A}"/>
              </a:ext>
            </a:extLst>
          </xdr:cNvPr>
          <xdr:cNvGrpSpPr>
            <a:grpSpLocks/>
          </xdr:cNvGrpSpPr>
        </xdr:nvGrpSpPr>
        <xdr:grpSpPr bwMode="auto">
          <a:xfrm>
            <a:off x="488446" y="125677"/>
            <a:ext cx="11054269" cy="1502365"/>
            <a:chOff x="-9722" y="341"/>
            <a:chExt cx="21959" cy="1065"/>
          </a:xfrm>
        </xdr:grpSpPr>
        <xdr:sp macro="" textlink="">
          <xdr:nvSpPr>
            <xdr:cNvPr id="5" name="Text Box 151">
              <a:extLst>
                <a:ext uri="{FF2B5EF4-FFF2-40B4-BE49-F238E27FC236}">
                  <a16:creationId xmlns:a16="http://schemas.microsoft.com/office/drawing/2014/main" id="{8B3D9587-7D56-280E-E6E8-120C4AF09FA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Tower, 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Jl. M.T. Haryono Kav. No.12-13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Bidaracina,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Jatinegara-Jakarta Timur 13330• Telp (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021)8515521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• waskitanindya.jict@gmail.com</a:t>
              </a:r>
              <a:endParaRPr lang="en-ID" sz="1100" b="0">
                <a:solidFill>
                  <a:schemeClr val="tx1"/>
                </a:solidFill>
                <a:effectLst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6" name="Picture 24">
              <a:extLst>
                <a:ext uri="{FF2B5EF4-FFF2-40B4-BE49-F238E27FC236}">
                  <a16:creationId xmlns:a16="http://schemas.microsoft.com/office/drawing/2014/main" id="{C4D13B1C-5A7F-0597-1FA6-508D956D17A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2061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7" name="Text Box 153">
              <a:extLst>
                <a:ext uri="{FF2B5EF4-FFF2-40B4-BE49-F238E27FC236}">
                  <a16:creationId xmlns:a16="http://schemas.microsoft.com/office/drawing/2014/main" id="{C55476A8-D1E9-97DF-F295-96DB6893BB8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399"/>
              <a:ext cx="12292" cy="503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800">
                  <a:solidFill>
                    <a:srgbClr val="000066"/>
                  </a:solidFill>
                  <a:effectLst/>
                  <a:latin typeface="Arial Black"/>
                  <a:ea typeface="Calibri"/>
                  <a:cs typeface="Times New Roman"/>
                </a:rPr>
                <a:t>WASKITA - NINDYA KSO</a:t>
              </a:r>
              <a:endParaRPr lang="id-ID" sz="18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8" name="AutoShape 156">
              <a:extLst>
                <a:ext uri="{FF2B5EF4-FFF2-40B4-BE49-F238E27FC236}">
                  <a16:creationId xmlns:a16="http://schemas.microsoft.com/office/drawing/2014/main" id="{07493286-FCF2-181A-4254-B1E11057CD9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4" name="Gambar 3">
            <a:extLst>
              <a:ext uri="{FF2B5EF4-FFF2-40B4-BE49-F238E27FC236}">
                <a16:creationId xmlns:a16="http://schemas.microsoft.com/office/drawing/2014/main" id="{83F88054-EBBF-181F-B489-C7F9845D5D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522439" y="226415"/>
            <a:ext cx="1065068" cy="914866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11</xdr:col>
      <xdr:colOff>360218</xdr:colOff>
      <xdr:row>4</xdr:row>
      <xdr:rowOff>135081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BC37AD58-BF27-4B80-8041-1C13AE4755A9}"/>
            </a:ext>
          </a:extLst>
        </xdr:cNvPr>
        <xdr:cNvGrpSpPr/>
      </xdr:nvGrpSpPr>
      <xdr:grpSpPr>
        <a:xfrm>
          <a:off x="152400" y="152400"/>
          <a:ext cx="9310147" cy="953041"/>
          <a:chOff x="488446" y="125677"/>
          <a:chExt cx="11054269" cy="1502365"/>
        </a:xfrm>
      </xdr:grpSpPr>
      <xdr:grpSp>
        <xdr:nvGrpSpPr>
          <xdr:cNvPr id="3" name="Group 22">
            <a:extLst>
              <a:ext uri="{FF2B5EF4-FFF2-40B4-BE49-F238E27FC236}">
                <a16:creationId xmlns:a16="http://schemas.microsoft.com/office/drawing/2014/main" id="{610432AB-1154-4051-535D-74A580A99924}"/>
              </a:ext>
            </a:extLst>
          </xdr:cNvPr>
          <xdr:cNvGrpSpPr>
            <a:grpSpLocks/>
          </xdr:cNvGrpSpPr>
        </xdr:nvGrpSpPr>
        <xdr:grpSpPr bwMode="auto">
          <a:xfrm>
            <a:off x="488446" y="125677"/>
            <a:ext cx="11054269" cy="1502365"/>
            <a:chOff x="-9722" y="341"/>
            <a:chExt cx="21959" cy="1065"/>
          </a:xfrm>
        </xdr:grpSpPr>
        <xdr:sp macro="" textlink="">
          <xdr:nvSpPr>
            <xdr:cNvPr id="5" name="Text Box 151">
              <a:extLst>
                <a:ext uri="{FF2B5EF4-FFF2-40B4-BE49-F238E27FC236}">
                  <a16:creationId xmlns:a16="http://schemas.microsoft.com/office/drawing/2014/main" id="{B6F47397-B7A2-72CB-F647-3F427B7482F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Tower, 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Jl. M.T. Haryono Kav. No.12-13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Bidaracina,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Jatinegara-Jakarta Timur 13330• Telp (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021)8515521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• waskitanindya.jict@gmail.com</a:t>
              </a:r>
              <a:endParaRPr lang="en-ID" sz="1100" b="0">
                <a:solidFill>
                  <a:schemeClr val="tx1"/>
                </a:solidFill>
                <a:effectLst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6" name="Picture 24">
              <a:extLst>
                <a:ext uri="{FF2B5EF4-FFF2-40B4-BE49-F238E27FC236}">
                  <a16:creationId xmlns:a16="http://schemas.microsoft.com/office/drawing/2014/main" id="{D36D20D2-ED12-B02E-63F4-0A50D08395C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2061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7" name="Text Box 153">
              <a:extLst>
                <a:ext uri="{FF2B5EF4-FFF2-40B4-BE49-F238E27FC236}">
                  <a16:creationId xmlns:a16="http://schemas.microsoft.com/office/drawing/2014/main" id="{383B0C03-7D94-FF23-258D-902CC69A31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399"/>
              <a:ext cx="12292" cy="503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800">
                  <a:solidFill>
                    <a:srgbClr val="000066"/>
                  </a:solidFill>
                  <a:effectLst/>
                  <a:latin typeface="Arial Black"/>
                  <a:ea typeface="Calibri"/>
                  <a:cs typeface="Times New Roman"/>
                </a:rPr>
                <a:t>WASKITA - NINDYA KSO</a:t>
              </a:r>
              <a:endParaRPr lang="id-ID" sz="18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8" name="AutoShape 156">
              <a:extLst>
                <a:ext uri="{FF2B5EF4-FFF2-40B4-BE49-F238E27FC236}">
                  <a16:creationId xmlns:a16="http://schemas.microsoft.com/office/drawing/2014/main" id="{E73AE465-792C-B511-ADFE-46D1BBB85E8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4" name="Gambar 3">
            <a:extLst>
              <a:ext uri="{FF2B5EF4-FFF2-40B4-BE49-F238E27FC236}">
                <a16:creationId xmlns:a16="http://schemas.microsoft.com/office/drawing/2014/main" id="{EBE8C42F-0FF0-9261-1066-5142A7A94D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522439" y="226415"/>
            <a:ext cx="1065068" cy="914866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53356</xdr:rowOff>
    </xdr:from>
    <xdr:to>
      <xdr:col>12</xdr:col>
      <xdr:colOff>-1</xdr:colOff>
      <xdr:row>2</xdr:row>
      <xdr:rowOff>81643</xdr:rowOff>
    </xdr:to>
    <xdr:grpSp>
      <xdr:nvGrpSpPr>
        <xdr:cNvPr id="3" name="Grup 2">
          <a:extLst>
            <a:ext uri="{FF2B5EF4-FFF2-40B4-BE49-F238E27FC236}">
              <a16:creationId xmlns:a16="http://schemas.microsoft.com/office/drawing/2014/main" id="{40BD6551-6C72-4CF6-8278-C84A0E7B5AD6}"/>
            </a:ext>
          </a:extLst>
        </xdr:cNvPr>
        <xdr:cNvGrpSpPr/>
      </xdr:nvGrpSpPr>
      <xdr:grpSpPr>
        <a:xfrm>
          <a:off x="152400" y="53356"/>
          <a:ext cx="9025618" cy="654216"/>
          <a:chOff x="488446" y="-142350"/>
          <a:chExt cx="11054269" cy="1770393"/>
        </a:xfrm>
      </xdr:grpSpPr>
      <xdr:grpSp>
        <xdr:nvGrpSpPr>
          <xdr:cNvPr id="4" name="Group 22">
            <a:extLst>
              <a:ext uri="{FF2B5EF4-FFF2-40B4-BE49-F238E27FC236}">
                <a16:creationId xmlns:a16="http://schemas.microsoft.com/office/drawing/2014/main" id="{1E542ECA-EE41-F906-617D-FA8B8C531233}"/>
              </a:ext>
            </a:extLst>
          </xdr:cNvPr>
          <xdr:cNvGrpSpPr>
            <a:grpSpLocks/>
          </xdr:cNvGrpSpPr>
        </xdr:nvGrpSpPr>
        <xdr:grpSpPr bwMode="auto">
          <a:xfrm>
            <a:off x="488446" y="-142350"/>
            <a:ext cx="11054269" cy="1770393"/>
            <a:chOff x="-9722" y="151"/>
            <a:chExt cx="21959" cy="1255"/>
          </a:xfrm>
        </xdr:grpSpPr>
        <xdr:sp macro="" textlink="">
          <xdr:nvSpPr>
            <xdr:cNvPr id="6" name="Text Box 151">
              <a:extLst>
                <a:ext uri="{FF2B5EF4-FFF2-40B4-BE49-F238E27FC236}">
                  <a16:creationId xmlns:a16="http://schemas.microsoft.com/office/drawing/2014/main" id="{28517E6F-5DB3-BFFC-3F93-908311AA3DD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Tower, 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Jl. M.T. Haryono Kav. No.12-13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Bidaracina,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Jatinegara-Jakarta Timur 13330• Telp (</a:t>
              </a:r>
              <a:r>
                <a:rPr lang="en-US" sz="1100" b="0" baseline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021)8515521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• waskitanindya.jict@gmail.com</a:t>
              </a:r>
              <a:endParaRPr lang="en-ID" sz="1100" b="0">
                <a:solidFill>
                  <a:schemeClr val="tx1"/>
                </a:solidFill>
                <a:effectLst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7" name="Picture 24">
              <a:extLst>
                <a:ext uri="{FF2B5EF4-FFF2-40B4-BE49-F238E27FC236}">
                  <a16:creationId xmlns:a16="http://schemas.microsoft.com/office/drawing/2014/main" id="{542B9D20-47B7-AE7E-727B-1FE0BC48E34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1149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53">
              <a:extLst>
                <a:ext uri="{FF2B5EF4-FFF2-40B4-BE49-F238E27FC236}">
                  <a16:creationId xmlns:a16="http://schemas.microsoft.com/office/drawing/2014/main" id="{16BDF34F-B861-876D-FC61-B5FF972A299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6915" y="151"/>
              <a:ext cx="8187" cy="602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800">
                  <a:solidFill>
                    <a:srgbClr val="000066"/>
                  </a:solidFill>
                  <a:effectLst/>
                  <a:latin typeface="Arial Black"/>
                  <a:ea typeface="Calibri"/>
                  <a:cs typeface="Times New Roman"/>
                </a:rPr>
                <a:t>WASKITA - NINDYA KSO</a:t>
              </a:r>
              <a:endParaRPr lang="id-ID" sz="18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9" name="AutoShape 156">
              <a:extLst>
                <a:ext uri="{FF2B5EF4-FFF2-40B4-BE49-F238E27FC236}">
                  <a16:creationId xmlns:a16="http://schemas.microsoft.com/office/drawing/2014/main" id="{0FCE0937-9423-C517-9432-28EC9CF4BE6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5" name="Gambar 4">
            <a:extLst>
              <a:ext uri="{FF2B5EF4-FFF2-40B4-BE49-F238E27FC236}">
                <a16:creationId xmlns:a16="http://schemas.microsoft.com/office/drawing/2014/main" id="{5CCE5ADD-98A4-3649-728C-CD15D1905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214125" y="189593"/>
            <a:ext cx="754222" cy="914867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1179399</xdr:colOff>
      <xdr:row>2</xdr:row>
      <xdr:rowOff>23185</xdr:rowOff>
    </xdr:to>
    <xdr:grpSp>
      <xdr:nvGrpSpPr>
        <xdr:cNvPr id="9" name="Grup 8">
          <a:extLst>
            <a:ext uri="{FF2B5EF4-FFF2-40B4-BE49-F238E27FC236}">
              <a16:creationId xmlns:a16="http://schemas.microsoft.com/office/drawing/2014/main" id="{02F9EA17-941F-4091-BABC-8FC5CF47EC9F}"/>
            </a:ext>
          </a:extLst>
        </xdr:cNvPr>
        <xdr:cNvGrpSpPr/>
      </xdr:nvGrpSpPr>
      <xdr:grpSpPr>
        <a:xfrm>
          <a:off x="0" y="0"/>
          <a:ext cx="9025618" cy="654216"/>
          <a:chOff x="488446" y="-142350"/>
          <a:chExt cx="11054269" cy="1770393"/>
        </a:xfrm>
      </xdr:grpSpPr>
      <xdr:grpSp>
        <xdr:nvGrpSpPr>
          <xdr:cNvPr id="10" name="Group 22">
            <a:extLst>
              <a:ext uri="{FF2B5EF4-FFF2-40B4-BE49-F238E27FC236}">
                <a16:creationId xmlns:a16="http://schemas.microsoft.com/office/drawing/2014/main" id="{7722CAE3-8A31-D2E2-682F-821B83116F81}"/>
              </a:ext>
            </a:extLst>
          </xdr:cNvPr>
          <xdr:cNvGrpSpPr>
            <a:grpSpLocks/>
          </xdr:cNvGrpSpPr>
        </xdr:nvGrpSpPr>
        <xdr:grpSpPr bwMode="auto">
          <a:xfrm>
            <a:off x="488446" y="-142350"/>
            <a:ext cx="11054269" cy="1770393"/>
            <a:chOff x="-9722" y="151"/>
            <a:chExt cx="21959" cy="1255"/>
          </a:xfrm>
        </xdr:grpSpPr>
        <xdr:sp macro="" textlink="">
          <xdr:nvSpPr>
            <xdr:cNvPr id="12" name="Text Box 151">
              <a:extLst>
                <a:ext uri="{FF2B5EF4-FFF2-40B4-BE49-F238E27FC236}">
                  <a16:creationId xmlns:a16="http://schemas.microsoft.com/office/drawing/2014/main" id="{B789930A-1C51-0FC3-9BA2-93B0581D0F0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 Tower, Jl. M.T. Haryono Kav. No.12-13 Bidaracina, Jatinegara-Jakarta Timur 13330• Telp (021)8515521• waskitanindya.jict@gmail.com</a:t>
              </a:r>
              <a:endParaRPr kumimoji="0" lang="en-ID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13" name="Picture 24">
              <a:extLst>
                <a:ext uri="{FF2B5EF4-FFF2-40B4-BE49-F238E27FC236}">
                  <a16:creationId xmlns:a16="http://schemas.microsoft.com/office/drawing/2014/main" id="{5309AD53-2ECD-8C0B-CB9B-A1E9DAC7D7A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1149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4" name="Text Box 153">
              <a:extLst>
                <a:ext uri="{FF2B5EF4-FFF2-40B4-BE49-F238E27FC236}">
                  <a16:creationId xmlns:a16="http://schemas.microsoft.com/office/drawing/2014/main" id="{840DA162-357A-506C-64DE-809A92857E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6915" y="151"/>
              <a:ext cx="8187" cy="602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15000"/>
                </a:lnSpc>
                <a:spcBef>
                  <a:spcPts val="0"/>
                </a:spcBef>
                <a:spcAft>
                  <a:spcPts val="100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rgbClr val="000066"/>
                  </a:solidFill>
                  <a:effectLst/>
                  <a:uLnTx/>
                  <a:uFillTx/>
                  <a:latin typeface="Arial Black"/>
                  <a:ea typeface="Calibri"/>
                  <a:cs typeface="Times New Roman"/>
                </a:rPr>
                <a:t>WASKITA - NINDYA KSO</a:t>
              </a:r>
              <a:endParaRPr kumimoji="0" lang="id-ID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15" name="AutoShape 156">
              <a:extLst>
                <a:ext uri="{FF2B5EF4-FFF2-40B4-BE49-F238E27FC236}">
                  <a16:creationId xmlns:a16="http://schemas.microsoft.com/office/drawing/2014/main" id="{21A83258-A4E7-00D0-9A1C-28AC51F35B0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11" name="Gambar 10">
            <a:extLst>
              <a:ext uri="{FF2B5EF4-FFF2-40B4-BE49-F238E27FC236}">
                <a16:creationId xmlns:a16="http://schemas.microsoft.com/office/drawing/2014/main" id="{E962EC21-632C-18CE-2BA4-3ED0B0D1C8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214125" y="189593"/>
            <a:ext cx="754222" cy="914867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1181099</xdr:colOff>
      <xdr:row>2</xdr:row>
      <xdr:rowOff>28287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4F578FD0-E133-4AC6-99D4-1211B6602EF3}"/>
            </a:ext>
          </a:extLst>
        </xdr:cNvPr>
        <xdr:cNvGrpSpPr/>
      </xdr:nvGrpSpPr>
      <xdr:grpSpPr>
        <a:xfrm>
          <a:off x="0" y="0"/>
          <a:ext cx="9025618" cy="654216"/>
          <a:chOff x="488446" y="-142350"/>
          <a:chExt cx="11054269" cy="1770393"/>
        </a:xfrm>
      </xdr:grpSpPr>
      <xdr:grpSp>
        <xdr:nvGrpSpPr>
          <xdr:cNvPr id="3" name="Group 22">
            <a:extLst>
              <a:ext uri="{FF2B5EF4-FFF2-40B4-BE49-F238E27FC236}">
                <a16:creationId xmlns:a16="http://schemas.microsoft.com/office/drawing/2014/main" id="{911A8189-2195-1178-FCFE-0B0CF2AE8D9E}"/>
              </a:ext>
            </a:extLst>
          </xdr:cNvPr>
          <xdr:cNvGrpSpPr>
            <a:grpSpLocks/>
          </xdr:cNvGrpSpPr>
        </xdr:nvGrpSpPr>
        <xdr:grpSpPr bwMode="auto">
          <a:xfrm>
            <a:off x="488446" y="-142350"/>
            <a:ext cx="11054269" cy="1770393"/>
            <a:chOff x="-9722" y="151"/>
            <a:chExt cx="21959" cy="1255"/>
          </a:xfrm>
        </xdr:grpSpPr>
        <xdr:sp macro="" textlink="">
          <xdr:nvSpPr>
            <xdr:cNvPr id="5" name="Text Box 151">
              <a:extLst>
                <a:ext uri="{FF2B5EF4-FFF2-40B4-BE49-F238E27FC236}">
                  <a16:creationId xmlns:a16="http://schemas.microsoft.com/office/drawing/2014/main" id="{0691D798-B497-CE34-CCCE-7BC0390E170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 Tower, Jl. M.T. Haryono Kav. No.12-13 Bidaracina, Jatinegara-Jakarta Timur 13330• Telp (021)8515521• waskitanindya.jict@gmail.com</a:t>
              </a:r>
              <a:endParaRPr kumimoji="0" lang="en-ID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6" name="Picture 24">
              <a:extLst>
                <a:ext uri="{FF2B5EF4-FFF2-40B4-BE49-F238E27FC236}">
                  <a16:creationId xmlns:a16="http://schemas.microsoft.com/office/drawing/2014/main" id="{B1C2EDF5-617C-07E4-E954-52E0D0E9CDA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1149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7" name="Text Box 153">
              <a:extLst>
                <a:ext uri="{FF2B5EF4-FFF2-40B4-BE49-F238E27FC236}">
                  <a16:creationId xmlns:a16="http://schemas.microsoft.com/office/drawing/2014/main" id="{7B6F4BBF-D551-2B7E-064A-48DFDAB4EEF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6915" y="151"/>
              <a:ext cx="8187" cy="602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15000"/>
                </a:lnSpc>
                <a:spcBef>
                  <a:spcPts val="0"/>
                </a:spcBef>
                <a:spcAft>
                  <a:spcPts val="100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rgbClr val="000066"/>
                  </a:solidFill>
                  <a:effectLst/>
                  <a:uLnTx/>
                  <a:uFillTx/>
                  <a:latin typeface="Arial Black"/>
                  <a:ea typeface="Calibri"/>
                  <a:cs typeface="Times New Roman"/>
                </a:rPr>
                <a:t>WASKITA - NINDYA KSO</a:t>
              </a:r>
              <a:endParaRPr kumimoji="0" lang="id-ID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8" name="AutoShape 156">
              <a:extLst>
                <a:ext uri="{FF2B5EF4-FFF2-40B4-BE49-F238E27FC236}">
                  <a16:creationId xmlns:a16="http://schemas.microsoft.com/office/drawing/2014/main" id="{0268B935-4229-0EC4-73DA-AF8C6F03788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4" name="Gambar 3">
            <a:extLst>
              <a:ext uri="{FF2B5EF4-FFF2-40B4-BE49-F238E27FC236}">
                <a16:creationId xmlns:a16="http://schemas.microsoft.com/office/drawing/2014/main" id="{D31EB5B6-12DB-0485-9F0E-D3BE9B4C1D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214125" y="189593"/>
            <a:ext cx="754222" cy="914867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1179399</xdr:colOff>
      <xdr:row>2</xdr:row>
      <xdr:rowOff>23185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9DA8D4AC-9BF5-41F1-8786-CA558C4A38E5}"/>
            </a:ext>
          </a:extLst>
        </xdr:cNvPr>
        <xdr:cNvGrpSpPr/>
      </xdr:nvGrpSpPr>
      <xdr:grpSpPr>
        <a:xfrm>
          <a:off x="0" y="0"/>
          <a:ext cx="9025618" cy="654216"/>
          <a:chOff x="488446" y="-142350"/>
          <a:chExt cx="11054269" cy="1770393"/>
        </a:xfrm>
      </xdr:grpSpPr>
      <xdr:grpSp>
        <xdr:nvGrpSpPr>
          <xdr:cNvPr id="3" name="Group 22">
            <a:extLst>
              <a:ext uri="{FF2B5EF4-FFF2-40B4-BE49-F238E27FC236}">
                <a16:creationId xmlns:a16="http://schemas.microsoft.com/office/drawing/2014/main" id="{D67ECC29-9A7E-6241-7EDF-A0A082D26E1C}"/>
              </a:ext>
            </a:extLst>
          </xdr:cNvPr>
          <xdr:cNvGrpSpPr>
            <a:grpSpLocks/>
          </xdr:cNvGrpSpPr>
        </xdr:nvGrpSpPr>
        <xdr:grpSpPr bwMode="auto">
          <a:xfrm>
            <a:off x="488446" y="-142350"/>
            <a:ext cx="11054269" cy="1770393"/>
            <a:chOff x="-9722" y="151"/>
            <a:chExt cx="21959" cy="1255"/>
          </a:xfrm>
        </xdr:grpSpPr>
        <xdr:sp macro="" textlink="">
          <xdr:nvSpPr>
            <xdr:cNvPr id="5" name="Text Box 151">
              <a:extLst>
                <a:ext uri="{FF2B5EF4-FFF2-40B4-BE49-F238E27FC236}">
                  <a16:creationId xmlns:a16="http://schemas.microsoft.com/office/drawing/2014/main" id="{6B34620C-938F-F892-4970-1464E1DF1D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9722" y="1126"/>
              <a:ext cx="21959" cy="280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rial Nova Cond Light" panose="020F050202020403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Kantor KSO : Gedung Waskita Rajawali Tower, Jl. M.T. Haryono Kav. No.12-13 Bidaracina, Jatinegara-Jakarta Timur 13330• Telp (021)8515521• waskitanindya.jict@gmail.com</a:t>
              </a:r>
              <a:endParaRPr kumimoji="0" lang="en-ID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 Nova Cond Light" panose="020F050202020403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6" name="Picture 24">
              <a:extLst>
                <a:ext uri="{FF2B5EF4-FFF2-40B4-BE49-F238E27FC236}">
                  <a16:creationId xmlns:a16="http://schemas.microsoft.com/office/drawing/2014/main" id="{FCF47D2F-3CA5-395F-ADBD-6FB096E3329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752" t="4744" r="27708" b="27556"/>
            <a:stretch>
              <a:fillRect/>
            </a:stretch>
          </xdr:blipFill>
          <xdr:spPr bwMode="auto">
            <a:xfrm>
              <a:off x="-9404" y="341"/>
              <a:ext cx="1149" cy="80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7" name="Text Box 153">
              <a:extLst>
                <a:ext uri="{FF2B5EF4-FFF2-40B4-BE49-F238E27FC236}">
                  <a16:creationId xmlns:a16="http://schemas.microsoft.com/office/drawing/2014/main" id="{C45669AF-9367-DED0-6E6D-46BF94EDF20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-6915" y="151"/>
              <a:ext cx="8187" cy="602"/>
            </a:xfrm>
            <a:prstGeom prst="rect">
              <a:avLst/>
            </a:prstGeom>
            <a:noFill/>
            <a:ln>
              <a:noFill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15000"/>
                </a:lnSpc>
                <a:spcBef>
                  <a:spcPts val="0"/>
                </a:spcBef>
                <a:spcAft>
                  <a:spcPts val="100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srgbClr val="000066"/>
                  </a:solidFill>
                  <a:effectLst/>
                  <a:uLnTx/>
                  <a:uFillTx/>
                  <a:latin typeface="Arial Black"/>
                  <a:ea typeface="Calibri"/>
                  <a:cs typeface="Times New Roman"/>
                </a:rPr>
                <a:t>WASKITA - NINDYA KSO</a:t>
              </a:r>
              <a:endParaRPr kumimoji="0" lang="id-ID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Calibri"/>
                <a:cs typeface="Times New Roman"/>
              </a:endParaRPr>
            </a:p>
          </xdr:txBody>
        </xdr:sp>
        <xdr:cxnSp macro="">
          <xdr:nvCxnSpPr>
            <xdr:cNvPr id="8" name="AutoShape 156">
              <a:extLst>
                <a:ext uri="{FF2B5EF4-FFF2-40B4-BE49-F238E27FC236}">
                  <a16:creationId xmlns:a16="http://schemas.microsoft.com/office/drawing/2014/main" id="{ACF09C62-651E-3D07-9159-984A84249A0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-9562" y="1141"/>
              <a:ext cx="20798" cy="0"/>
            </a:xfrm>
            <a:prstGeom prst="straightConnector1">
              <a:avLst/>
            </a:prstGeom>
            <a:noFill/>
            <a:ln w="28575">
              <a:solidFill>
                <a:srgbClr val="CC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pic>
        <xdr:nvPicPr>
          <xdr:cNvPr id="4" name="Gambar 3">
            <a:extLst>
              <a:ext uri="{FF2B5EF4-FFF2-40B4-BE49-F238E27FC236}">
                <a16:creationId xmlns:a16="http://schemas.microsoft.com/office/drawing/2014/main" id="{EEEF7FAE-70E4-19F1-8C7A-05419923E5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214125" y="189593"/>
            <a:ext cx="754222" cy="914867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CFA9F-E13E-404D-A07A-0D740B92A16F}" name="TBL_REKAP" displayName="TBL_REKAP" ref="A3:R7" totalsRowShown="0" headerRowDxfId="26" dataDxfId="25">
  <autoFilter ref="A3:R7" xr:uid="{3D8CFA9F-E13E-404D-A07A-0D740B92A16F}"/>
  <tableColumns count="18">
    <tableColumn id="1" xr3:uid="{81D83548-3622-4A65-81EF-7100ABAC794E}" name="Bulan Tagihan" dataDxfId="24">
      <calculatedColumnFormula>IF($K4=0,"(Belum ada pengiriman)",INPUT!$B$38)</calculatedColumnFormula>
    </tableColumn>
    <tableColumn id="2" xr3:uid="{D6613F5E-6F62-4FCD-9694-22D894FE65AA}" name="No. SPM" dataDxfId="23">
      <calculatedColumnFormula>IF($K4=0,"-",INPUT!$B$35)</calculatedColumnFormula>
    </tableColumn>
    <tableColumn id="3" xr3:uid="{74474D6E-213C-4013-ADF1-6030429A55C6}" name="Vendor" dataDxfId="22">
      <calculatedColumnFormula>IF($K4=0,"-",INPUT!$B$24)</calculatedColumnFormula>
    </tableColumn>
    <tableColumn id="4" xr3:uid="{3B6B0EB9-5DB7-4EDE-A2AA-BAC1263915C7}" name="Direktur" dataDxfId="21">
      <calculatedColumnFormula>IF($K4=0,"",INPUT!$B$23)</calculatedColumnFormula>
    </tableColumn>
    <tableColumn id="5" xr3:uid="{15318E8A-163B-4A03-AB77-98A3DBBFD4EE}" name="Termin" dataDxfId="20"/>
    <tableColumn id="6" xr3:uid="{D0328EC0-D348-4DAC-ABCB-158BF63C6D68}" name="No. BAPM" dataDxfId="19"/>
    <tableColumn id="7" xr3:uid="{7BC26A27-40BE-4C1C-B4AB-762CB0F9E7D8}" name="No. BAP" dataDxfId="18"/>
    <tableColumn id="8" xr3:uid="{516013FB-4EFB-47BA-B67E-EFADBB507233}" name="Tanggal BAP" dataDxfId="17"/>
    <tableColumn id="9" xr3:uid="{27982ACF-5EA8-4863-8D1E-F5630500B618}" name="Nilai Kontrak (Exc. PPN)" dataDxfId="16">
      <calculatedColumnFormula>IF($K4=0,"",ITEM!$C$107)</calculatedColumnFormula>
    </tableColumn>
    <tableColumn id="10" xr3:uid="{12C34B17-1407-4B73-97BA-53E63F96C953}" name="Progres Kumulatif" dataDxfId="15">
      <calculatedColumnFormula>IF($K4=0,"",SUM($K$4:$K4)/ITEM!$C$107)</calculatedColumnFormula>
    </tableColumn>
    <tableColumn id="11" xr3:uid="{7FE6FE16-B214-4E2F-BB82-5101B4B85B43}" name="Nilai Prestasi Saat Ini" dataDxfId="14"/>
    <tableColumn id="12" xr3:uid="{23418E0C-6C85-4B22-BE96-FA42D88234FC}" name="Potongan Retensi" dataDxfId="13">
      <calculatedColumnFormula>IF($K4=0,"",ROUND(INPUT!$B$46*$K4,0))</calculatedColumnFormula>
    </tableColumn>
    <tableColumn id="13" xr3:uid="{F80C1F4C-C5A2-4D04-994D-1E7ABC779871}" name="Pengembalian Uang Muka" dataDxfId="12">
      <calculatedColumnFormula>IF($K4=0,"",ROUND(INPUT!$B$47*$K4,0))</calculatedColumnFormula>
    </tableColumn>
    <tableColumn id="14" xr3:uid="{10C7639C-029F-4F92-8860-48F17F622E92}" name="DPP Bersih" dataDxfId="11">
      <calculatedColumnFormula>IF($K4=0,"",$K4-$L4-$M4)</calculatedColumnFormula>
    </tableColumn>
    <tableColumn id="15" xr3:uid="{93E939B5-BC5F-4263-AD50-C0486C344BB0}" name="PPN" dataDxfId="10">
      <calculatedColumnFormula>IF($K4=0,"",ROUND($N4*INPUT!$B$45,0))</calculatedColumnFormula>
    </tableColumn>
    <tableColumn id="16" xr3:uid="{E0D9BD9F-836F-499D-81D0-E5C10FB26BEA}" name="Total Tagihan" dataDxfId="9">
      <calculatedColumnFormula>IF($K4=0,"",$N4+$O4)</calculatedColumnFormula>
    </tableColumn>
    <tableColumn id="17" xr3:uid="{FE08D5A3-8E00-4878-AF00-2CA8D99755D7}" name="Jatuh Tempo" dataDxfId="8"/>
    <tableColumn id="18" xr3:uid="{C39A7A5F-4D94-4040-B8F0-AA1CEF517559}" name="Statu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9346E0-0DB7-4975-8FA3-15A01901B30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557f91e-41fb-4b8b-acaf-56216a25d10c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0131-2944-499A-B626-B9CD1CBA489E}">
  <sheetPr>
    <tabColor rgb="FFFFC000"/>
  </sheetPr>
  <dimension ref="A1:F58"/>
  <sheetViews>
    <sheetView tabSelected="1" topLeftCell="A42" workbookViewId="0">
      <selection activeCell="B57" sqref="B57"/>
    </sheetView>
  </sheetViews>
  <sheetFormatPr defaultRowHeight="14.25" x14ac:dyDescent="0.45"/>
  <cols>
    <col min="1" max="1" width="44.46484375" customWidth="1"/>
    <col min="2" max="2" width="74.6640625" customWidth="1"/>
    <col min="3" max="5" width="33.796875" customWidth="1"/>
    <col min="6" max="6" width="14.59765625" bestFit="1" customWidth="1"/>
  </cols>
  <sheetData>
    <row r="1" spans="1:5" ht="17.649999999999999" x14ac:dyDescent="0.5">
      <c r="A1" s="57" t="s">
        <v>0</v>
      </c>
      <c r="B1" s="2"/>
      <c r="C1" s="2"/>
      <c r="D1" s="2"/>
      <c r="E1" s="2"/>
    </row>
    <row r="2" spans="1:5" x14ac:dyDescent="0.45">
      <c r="A2" s="58" t="s">
        <v>1</v>
      </c>
      <c r="B2" s="2"/>
      <c r="C2" s="2"/>
      <c r="D2" s="2"/>
      <c r="E2" s="2"/>
    </row>
    <row r="3" spans="1:5" x14ac:dyDescent="0.45">
      <c r="A3" s="2"/>
      <c r="B3" s="2"/>
      <c r="C3" s="2"/>
      <c r="D3" s="2"/>
      <c r="E3" s="2"/>
    </row>
    <row r="4" spans="1:5" x14ac:dyDescent="0.45">
      <c r="A4" s="116" t="s">
        <v>2</v>
      </c>
      <c r="B4" s="117"/>
      <c r="C4" s="117"/>
      <c r="D4" s="117"/>
      <c r="E4" s="117"/>
    </row>
    <row r="5" spans="1:5" x14ac:dyDescent="0.45">
      <c r="A5" s="2" t="s">
        <v>3</v>
      </c>
      <c r="B5" s="2" t="s">
        <v>4</v>
      </c>
      <c r="C5" s="2"/>
      <c r="D5" s="2"/>
      <c r="E5" s="2"/>
    </row>
    <row r="6" spans="1:5" x14ac:dyDescent="0.45">
      <c r="A6" s="2" t="s">
        <v>5</v>
      </c>
      <c r="B6" s="2" t="s">
        <v>6</v>
      </c>
      <c r="C6" s="2"/>
      <c r="D6" s="2"/>
      <c r="E6" s="2"/>
    </row>
    <row r="7" spans="1:5" x14ac:dyDescent="0.45">
      <c r="A7" s="2" t="s">
        <v>7</v>
      </c>
      <c r="B7" s="2" t="s">
        <v>8</v>
      </c>
      <c r="C7" s="2"/>
      <c r="D7" s="2"/>
      <c r="E7" s="2"/>
    </row>
    <row r="8" spans="1:5" x14ac:dyDescent="0.45">
      <c r="A8" s="2" t="s">
        <v>9</v>
      </c>
      <c r="B8" s="2" t="s">
        <v>10</v>
      </c>
      <c r="C8" s="2"/>
      <c r="D8" s="2"/>
      <c r="E8" s="2"/>
    </row>
    <row r="9" spans="1:5" x14ac:dyDescent="0.45">
      <c r="A9" s="2" t="s">
        <v>11</v>
      </c>
      <c r="B9" s="2" t="s">
        <v>12</v>
      </c>
      <c r="C9" s="2"/>
      <c r="D9" s="2"/>
      <c r="E9" s="2"/>
    </row>
    <row r="10" spans="1:5" x14ac:dyDescent="0.45">
      <c r="A10" s="2" t="s">
        <v>13</v>
      </c>
      <c r="B10" s="2" t="s">
        <v>14</v>
      </c>
      <c r="C10" s="2"/>
      <c r="D10" s="2"/>
      <c r="E10" s="2"/>
    </row>
    <row r="11" spans="1:5" x14ac:dyDescent="0.45">
      <c r="A11" s="2" t="s">
        <v>15</v>
      </c>
      <c r="B11" s="2" t="s">
        <v>14</v>
      </c>
      <c r="C11" s="2"/>
      <c r="D11" s="2"/>
      <c r="E11" s="2"/>
    </row>
    <row r="12" spans="1:5" x14ac:dyDescent="0.45">
      <c r="A12" s="2" t="s">
        <v>16</v>
      </c>
      <c r="B12" s="2" t="s">
        <v>17</v>
      </c>
      <c r="C12" s="2"/>
      <c r="D12" s="2"/>
      <c r="E12" s="2"/>
    </row>
    <row r="13" spans="1:5" x14ac:dyDescent="0.45">
      <c r="A13" s="2" t="s">
        <v>18</v>
      </c>
      <c r="B13" s="2" t="s">
        <v>19</v>
      </c>
      <c r="C13" s="2"/>
      <c r="D13" s="2"/>
      <c r="E13" s="2"/>
    </row>
    <row r="14" spans="1:5" x14ac:dyDescent="0.45">
      <c r="A14" s="2" t="s">
        <v>20</v>
      </c>
      <c r="B14" s="2" t="s">
        <v>21</v>
      </c>
      <c r="C14" s="2"/>
      <c r="D14" s="2"/>
      <c r="E14" s="2"/>
    </row>
    <row r="15" spans="1:5" x14ac:dyDescent="0.45">
      <c r="A15" s="2" t="s">
        <v>22</v>
      </c>
      <c r="B15" s="109" t="s">
        <v>23</v>
      </c>
      <c r="C15" s="2"/>
      <c r="D15" s="2"/>
      <c r="E15" s="2"/>
    </row>
    <row r="16" spans="1:5" x14ac:dyDescent="0.45">
      <c r="A16" s="2" t="s">
        <v>24</v>
      </c>
      <c r="B16" s="111" t="s">
        <v>25</v>
      </c>
      <c r="C16" s="2"/>
      <c r="D16" s="2"/>
      <c r="E16" s="2"/>
    </row>
    <row r="17" spans="1:5" x14ac:dyDescent="0.45">
      <c r="A17" s="2" t="s">
        <v>26</v>
      </c>
      <c r="B17" s="2" t="s">
        <v>27</v>
      </c>
      <c r="C17" s="2"/>
      <c r="D17" s="2"/>
      <c r="E17" s="2"/>
    </row>
    <row r="18" spans="1:5" x14ac:dyDescent="0.45">
      <c r="A18" s="2" t="s">
        <v>28</v>
      </c>
      <c r="B18" s="110">
        <v>3000000000</v>
      </c>
      <c r="C18" s="2"/>
      <c r="D18" s="2"/>
      <c r="E18" s="2"/>
    </row>
    <row r="19" spans="1:5" x14ac:dyDescent="0.45">
      <c r="A19" s="2" t="s">
        <v>29</v>
      </c>
      <c r="B19" s="62">
        <f>IF(AND(ITEM!$C$107&gt;$B$18,$B$16&lt;&gt;""),$B$16,$B$9)</f>
      </c>
      <c r="C19" s="2"/>
      <c r="D19" s="2"/>
      <c r="E19" s="2"/>
    </row>
    <row r="20" spans="1:5" x14ac:dyDescent="0.45">
      <c r="A20" s="2" t="s">
        <v>30</v>
      </c>
      <c r="B20" s="62">
        <f>IF(AND(ITEM!$C$107&gt;$B$18,$B$16&lt;&gt;""),$B$17,$B$10)</f>
      </c>
      <c r="C20" s="2"/>
      <c r="D20" s="2"/>
      <c r="E20" s="2"/>
    </row>
    <row r="21" spans="1:5" x14ac:dyDescent="0.45">
      <c r="A21" s="2"/>
      <c r="B21" s="2"/>
      <c r="C21" s="2"/>
      <c r="D21" s="2"/>
      <c r="E21" s="2"/>
    </row>
    <row r="22" spans="1:5" x14ac:dyDescent="0.45">
      <c r="A22" s="116" t="s">
        <v>31</v>
      </c>
      <c r="B22" s="117"/>
      <c r="C22" s="117"/>
      <c r="D22" s="117"/>
      <c r="E22" s="117"/>
    </row>
    <row r="23" spans="1:5" x14ac:dyDescent="0.45">
      <c r="A23" s="2" t="s">
        <v>32</v>
      </c>
      <c r="B23" s="59"/>
      <c r="C23" s="2" t="s">
        <v>33</v>
      </c>
      <c r="D23" s="60"/>
      <c r="E23" s="2"/>
    </row>
    <row r="24" spans="1:5" x14ac:dyDescent="0.45">
      <c r="A24" s="2" t="s">
        <v>34</v>
      </c>
      <c r="B24" s="59"/>
      <c r="C24" s="2"/>
      <c r="D24" s="2"/>
      <c r="E24" s="2"/>
    </row>
    <row r="25" spans="1:5" x14ac:dyDescent="0.45">
      <c r="A25" s="2" t="s">
        <v>35</v>
      </c>
      <c r="B25" s="59"/>
      <c r="C25" s="2"/>
      <c r="D25" s="61"/>
      <c r="E25" s="2"/>
    </row>
    <row r="26" spans="1:5" x14ac:dyDescent="0.45">
      <c r="A26" s="2" t="s">
        <v>36</v>
      </c>
      <c r="B26" s="59"/>
      <c r="C26" s="2"/>
      <c r="D26" s="61"/>
      <c r="E26" s="2"/>
    </row>
    <row r="27" spans="1:5" x14ac:dyDescent="0.45">
      <c r="A27" s="2" t="s">
        <v>37</v>
      </c>
      <c r="B27" s="2">
        <f>B24</f>
      </c>
      <c r="C27" s="2"/>
      <c r="D27" s="2"/>
      <c r="E27" s="2"/>
    </row>
    <row r="28" spans="1:5" x14ac:dyDescent="0.45">
      <c r="A28" s="2" t="s">
        <v>38</v>
      </c>
      <c r="B28" s="59"/>
      <c r="C28" s="2" t="s">
        <v>33</v>
      </c>
      <c r="D28" s="2"/>
      <c r="E28" s="2"/>
    </row>
    <row r="29" spans="1:5" x14ac:dyDescent="0.45">
      <c r="A29" s="2" t="s">
        <v>39</v>
      </c>
      <c r="B29" s="59"/>
      <c r="C29" s="2" t="s">
        <v>33</v>
      </c>
      <c r="D29" s="2"/>
      <c r="E29" s="2"/>
    </row>
    <row r="30" spans="1:5" x14ac:dyDescent="0.45">
      <c r="A30" s="2" t="s">
        <v>40</v>
      </c>
      <c r="B30" s="2"/>
      <c r="C30" s="2"/>
      <c r="D30" s="61"/>
      <c r="E30" s="2"/>
    </row>
    <row r="31" spans="1:5" x14ac:dyDescent="0.45">
      <c r="A31" s="116" t="s">
        <v>41</v>
      </c>
      <c r="B31" s="117"/>
      <c r="C31" s="117"/>
      <c r="D31" s="117"/>
      <c r="E31" s="117"/>
    </row>
    <row r="32" spans="1:5" x14ac:dyDescent="0.45">
      <c r="A32" s="2" t="s">
        <v>42</v>
      </c>
      <c r="B32" s="62"/>
      <c r="C32" s="2"/>
      <c r="D32" s="2"/>
      <c r="E32" s="2"/>
    </row>
    <row r="33" spans="1:5" x14ac:dyDescent="0.45">
      <c r="A33" s="2" t="s">
        <v>43</v>
      </c>
      <c r="B33" s="62" t="s">
        <v>44</v>
      </c>
      <c r="C33" s="2"/>
      <c r="D33" s="2"/>
      <c r="E33" s="2"/>
    </row>
    <row r="34" spans="1:5" x14ac:dyDescent="0.45">
      <c r="A34" s="2" t="s">
        <v>45</v>
      </c>
      <c r="B34" s="62" t="s">
        <v>46</v>
      </c>
      <c r="C34" s="2"/>
      <c r="D34" s="2"/>
      <c r="E34" s="2"/>
    </row>
    <row r="35" spans="1:5" x14ac:dyDescent="0.45">
      <c r="A35" s="2" t="s">
        <v>47</v>
      </c>
      <c r="B35" s="2">
        <f>B32&amp;"/SPM/WK-NK.KSO/PDBJ/"&amp;B33&amp;"/"&amp;B34</f>
      </c>
      <c r="C35" s="2"/>
      <c r="D35" s="2"/>
      <c r="E35" s="2"/>
    </row>
    <row r="36" spans="1:5" x14ac:dyDescent="0.45">
      <c r="A36" s="2" t="s">
        <v>48</v>
      </c>
      <c r="B36" s="63"/>
      <c r="C36" s="2"/>
      <c r="D36" s="2"/>
      <c r="E36" s="2"/>
    </row>
    <row r="37" spans="1:5" x14ac:dyDescent="0.45">
      <c r="A37" s="2" t="s">
        <v>49</v>
      </c>
      <c r="B37" s="63"/>
      <c r="C37" s="2"/>
      <c r="D37" s="2"/>
      <c r="E37" s="2"/>
    </row>
    <row r="38" spans="1:5" x14ac:dyDescent="0.45">
      <c r="A38" s="2" t="s">
        <v>50</v>
      </c>
      <c r="B38" s="2">
        <f>TEXT(B36,"mmmm yyyy")</f>
      </c>
      <c r="C38" s="2"/>
      <c r="D38" s="2"/>
      <c r="E38" s="2"/>
    </row>
    <row r="39" spans="1:5" x14ac:dyDescent="0.45">
      <c r="A39" s="2" t="s">
        <v>51</v>
      </c>
      <c r="B39" s="2">
        <f>"Proyek Pekerjaan "&amp;B5</f>
      </c>
      <c r="C39" s="2"/>
      <c r="D39" s="2"/>
      <c r="E39" s="2"/>
    </row>
    <row r="40" spans="1:5" x14ac:dyDescent="0.45">
      <c r="A40" s="2" t="s">
        <v>52</v>
      </c>
      <c r="B40" s="59" t="s">
        <v>53</v>
      </c>
      <c r="C40" s="2"/>
      <c r="D40" s="2"/>
      <c r="E40" s="2"/>
    </row>
    <row r="41" spans="1:5" x14ac:dyDescent="0.45">
      <c r="A41" s="2"/>
      <c r="B41" s="2"/>
      <c r="C41" s="2"/>
      <c r="D41" s="2"/>
      <c r="E41" s="2"/>
    </row>
    <row r="42" spans="1:5" x14ac:dyDescent="0.45">
      <c r="A42" s="116" t="s">
        <v>54</v>
      </c>
      <c r="B42" s="117"/>
      <c r="C42" s="117"/>
      <c r="D42" s="117"/>
      <c r="E42" s="117"/>
    </row>
    <row r="43" spans="1:5" x14ac:dyDescent="0.45">
      <c r="A43" s="2" t="s">
        <v>55</v>
      </c>
      <c r="B43" s="59">
        <v>60</v>
      </c>
      <c r="C43" s="2"/>
      <c r="D43" s="2"/>
      <c r="E43" s="2"/>
    </row>
    <row r="44" spans="1:5" x14ac:dyDescent="0.45">
      <c r="A44" s="2" t="s">
        <v>56</v>
      </c>
      <c r="B44" s="59">
        <f>IF($B$43&lt;20,VLOOKUP($B$43,HELPER!$A$3:$B$22,2,0),IF($B$43&lt;100,TRIM(VLOOKUP(INT($B$43/10),HELPER!$A$3:$B$22,2,0)&amp;" Puluh "&amp;IF(MOD($B$43,10)=0,"",VLOOKUP(MOD($B$43,10),HELPER!$A$3:$B$22,2,0))),"Seratus"))</f>
      </c>
      <c r="C44" s="2"/>
      <c r="D44" s="2"/>
      <c r="E44" s="2"/>
    </row>
    <row r="45" spans="1:5" x14ac:dyDescent="0.45">
      <c r="A45" s="2" t="s">
        <v>57</v>
      </c>
      <c r="B45" s="64">
        <v>0.11</v>
      </c>
      <c r="C45" s="2"/>
      <c r="D45" s="2"/>
      <c r="E45" s="2"/>
    </row>
    <row r="46" spans="1:5" x14ac:dyDescent="0.45">
      <c r="A46" s="2" t="s">
        <v>58</v>
      </c>
      <c r="B46" s="64">
        <v>0</v>
      </c>
      <c r="C46" s="2"/>
      <c r="D46" s="2"/>
      <c r="E46" s="2"/>
    </row>
    <row r="47" spans="1:5" x14ac:dyDescent="0.45">
      <c r="A47" s="2" t="s">
        <v>59</v>
      </c>
      <c r="B47" s="64">
        <v>0</v>
      </c>
      <c r="C47" s="2"/>
      <c r="D47" s="2"/>
      <c r="E47" s="2"/>
    </row>
    <row r="48" spans="1:5" x14ac:dyDescent="0.45">
      <c r="A48" s="2" t="s">
        <v>60</v>
      </c>
      <c r="B48" s="59">
        <v>4</v>
      </c>
      <c r="C48" s="2"/>
      <c r="D48" s="2"/>
      <c r="E48" s="2"/>
    </row>
    <row r="49" spans="1:6" x14ac:dyDescent="0.45">
      <c r="A49" s="2" t="s">
        <v>61</v>
      </c>
      <c r="B49" s="59">
        <v>1</v>
      </c>
      <c r="C49" s="2"/>
      <c r="D49" s="2"/>
      <c r="E49" s="2"/>
    </row>
    <row r="50" spans="1:6" x14ac:dyDescent="0.45">
      <c r="A50" s="2" t="s">
        <v>62</v>
      </c>
      <c r="B50" s="59" t="s">
        <v>63</v>
      </c>
      <c r="C50" s="2"/>
      <c r="D50" s="2"/>
      <c r="E50" s="2"/>
    </row>
    <row r="51" spans="1:6" x14ac:dyDescent="0.45">
      <c r="A51" s="2"/>
      <c r="B51" s="2"/>
      <c r="C51" s="2"/>
      <c r="D51" s="2"/>
      <c r="E51" s="2"/>
    </row>
    <row r="52" spans="1:6" x14ac:dyDescent="0.45">
      <c r="A52" s="2"/>
      <c r="B52" s="2"/>
      <c r="C52" s="2"/>
      <c r="D52" s="2"/>
      <c r="E52" s="2"/>
    </row>
    <row r="53" spans="1:6" x14ac:dyDescent="0.45">
      <c r="A53" s="116" t="s">
        <v>64</v>
      </c>
      <c r="B53" s="117"/>
      <c r="C53" s="117"/>
      <c r="D53" s="117"/>
      <c r="E53" s="117"/>
    </row>
    <row r="54" spans="1:6" x14ac:dyDescent="0.45">
      <c r="A54" s="65" t="s">
        <v>65</v>
      </c>
      <c r="B54" s="66" t="s">
        <v>66</v>
      </c>
      <c r="C54" s="66" t="s">
        <v>67</v>
      </c>
      <c r="D54" s="66" t="s">
        <v>68</v>
      </c>
      <c r="E54" s="66" t="s">
        <v>69</v>
      </c>
      <c r="F54" s="66" t="s">
        <v>70</v>
      </c>
    </row>
    <row r="55" spans="1:6" x14ac:dyDescent="0.45">
      <c r="A55" s="67">
        <v>1</v>
      </c>
      <c r="B55" s="68"/>
      <c r="C55" s="67">
        <f>IF($A55&gt;$B$48,"",TEXT($A55,"00")&amp;"/BAPM/"&amp;$B$35)</f>
      </c>
      <c r="D55" s="67">
        <f>IF($A55&gt;$B$48,"",TEXT($A55,"00")&amp;"/BAP/"&amp;$B$35)</f>
      </c>
      <c r="E55" s="69">
        <f>IF(OR($A55&gt;$B$48,$B55=""),"",WORKDAY($B55,$B$43))</f>
      </c>
      <c r="F55" s="67">
        <f>IF($B55="","",IF($B55&gt;$B$37,"KONTRAK MATI - PERLU ADDENDUM","OK"))</f>
      </c>
    </row>
    <row r="56" spans="1:6" x14ac:dyDescent="0.45">
      <c r="A56" s="67">
        <v>2</v>
      </c>
      <c r="B56" s="68"/>
      <c r="C56" s="67">
        <f>IF($A56&gt;$B$48,"",TEXT($A56,"00")&amp;"/BAPM/"&amp;$B$35)</f>
      </c>
      <c r="D56" s="67">
        <f>IF($A56&gt;$B$48,"",TEXT($A56,"00")&amp;"/BAP/"&amp;$B$35)</f>
      </c>
      <c r="E56" s="69">
        <f>IF(OR($A56&gt;$B$48,$B56=""),"",WORKDAY($B56,$B$43))</f>
      </c>
      <c r="F56" s="67">
        <f>IF($B56="","",IF($B56&gt;$B$37,"KONTRAK MATI - PERLU ADDENDUM","OK"))</f>
      </c>
    </row>
    <row r="57" spans="1:6" x14ac:dyDescent="0.45">
      <c r="A57" s="67">
        <v>3</v>
      </c>
      <c r="B57" s="68"/>
      <c r="C57" s="67">
        <f>IF($A57&gt;$B$48,"",TEXT($A57,"00")&amp;"/BAPM/"&amp;$B$35)</f>
      </c>
      <c r="D57" s="67">
        <f>IF($A57&gt;$B$48,"",TEXT($A57,"00")&amp;"/BAP/"&amp;$B$35)</f>
      </c>
      <c r="E57" s="69">
        <f>IF(OR($A57&gt;$B$48,$B57=""),"",WORKDAY($B57,$B$43))</f>
      </c>
      <c r="F57" s="67">
        <f>IF($B57="","",IF($B57&gt;$B$37,"KONTRAK MATI - PERLU ADDENDUM","OK"))</f>
      </c>
    </row>
    <row r="58" spans="1:6" x14ac:dyDescent="0.45">
      <c r="A58" s="67">
        <v>4</v>
      </c>
      <c r="B58" s="68"/>
      <c r="C58" s="67">
        <f>IF($A58&gt;$B$48,"",TEXT($A58,"00")&amp;"/BAPM/"&amp;$B$35)</f>
      </c>
      <c r="D58" s="67">
        <f>IF($A58&gt;$B$48,"",TEXT($A58,"00")&amp;"/BAP/"&amp;$B$35)</f>
      </c>
      <c r="E58" s="69">
        <f>IF(OR($A58&gt;$B$48,$B58=""),"",WORKDAY($B58,$B$43))</f>
      </c>
      <c r="F58" s="67">
        <f>IF($B58="","",IF($B58&gt;$B$37,"KONTRAK MATI - PERLU ADDENDUM","OK"))</f>
      </c>
    </row>
  </sheetData>
  <mergeCells count="5">
    <mergeCell ref="A4:E4"/>
    <mergeCell ref="A22:E22"/>
    <mergeCell ref="A31:E31"/>
    <mergeCell ref="A42:E42"/>
    <mergeCell ref="A53:E53"/>
  </mergeCells>
  <conditionalFormatting sqref="B55:B58">
    <cfRule type="expression" dxfId="6" priority="1">
      <formula>AND($B55&lt;&gt;"",$B55&gt;$B$37)</formula>
    </cfRule>
  </conditionalFormatting>
  <conditionalFormatting sqref="F55:F58">
    <cfRule type="containsText" dxfId="5" priority="2" operator="containsText" text="ADDENDUM">
      <formula>NOT(ISERROR(SEARCH("ADDENDUM",F55)))</formula>
    </cfRule>
  </conditionalFormatting>
  <dataValidations count="2">
    <dataValidation type="whole" allowBlank="1" showInputMessage="1" showErrorMessage="1" sqref="B48:B49" xr:uid="{35BCEF5B-A73A-45F2-8312-6C5750BAE492}">
      <formula1>1</formula1>
      <formula2>4</formula2>
    </dataValidation>
    <dataValidation type="custom" allowBlank="1" showInputMessage="1" showErrorMessage="1" errorTitle="Kontrak Mati" error="Tanggal BAPM/BAP melebihi Tanggal Akhir Pengadaan (B37). Kontrak dianggap mati - lakukan ADDENDUM terlebih dahulu." promptTitle="Tanggal BAPM / BAP" prompt="Maksimal sampai Tanggal Akhir Pengadaan (B37)." sqref="B55:B58" xr:uid="{9FCA3152-5C7D-4384-8D5A-978ECC028E51}">
      <formula1>OR(B55="",B55&lt;=$B$37)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errorTitle="Vendor tidak ditemukan" error="Nama tidak ada di daftar rekanan. Tetap bisa diisi manual, lalu isi Alamat/NPWP pada kolom D." promptTitle="Nama Vendor" prompt="Pilih nama vendor dari daftar sheet rekanan (kolom G). Alamat, NPWP &amp; Email terisi otomatis." xr:uid="{9F415DF0-A2BA-4140-A40F-98C03AD8B329}">
          <x14:formula1>
            <xm:f>rekanan!$G$2:$G$16464</xm:f>
          </x14:formula1>
          <xm:sqref>B24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9BFF-5C1B-42D1-9479-E75A00E23694}">
  <sheetPr>
    <tabColor rgb="FFFFC000"/>
  </sheetPr>
  <dimension ref="A1:R109"/>
  <sheetViews>
    <sheetView workbookViewId="0">
      <selection activeCell="C16" sqref="C16"/>
    </sheetView>
  </sheetViews>
  <sheetFormatPr defaultRowHeight="14.25" outlineLevelRow="1" x14ac:dyDescent="0.45"/>
  <cols>
    <col min="1" max="1" width="7.1328125" customWidth="1"/>
    <col min="2" max="2" width="40.86328125" customWidth="1"/>
    <col min="3" max="12" width="16" customWidth="1"/>
    <col min="13" max="13" width="40.86328125" customWidth="1"/>
  </cols>
  <sheetData>
    <row r="1" spans="1:18" ht="17.649999999999999" x14ac:dyDescent="0.5">
      <c r="A1" s="57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45">
      <c r="A2" s="2">
        <f>"SPM No. "&amp;INPUT!B35&amp;"   |   Vendor : "&amp;INPUT!B24</f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70" t="s">
        <v>72</v>
      </c>
      <c r="P2" s="2"/>
      <c r="Q2" s="2"/>
      <c r="R2" s="2"/>
    </row>
    <row r="3" spans="1:18" ht="30" customHeight="1" x14ac:dyDescent="0.45">
      <c r="A3" s="107" t="s">
        <v>73</v>
      </c>
      <c r="B3" s="107" t="s">
        <v>74</v>
      </c>
      <c r="C3" s="107" t="s">
        <v>75</v>
      </c>
      <c r="D3" s="107" t="s">
        <v>76</v>
      </c>
      <c r="E3" s="107" t="s">
        <v>77</v>
      </c>
      <c r="F3" s="107" t="s">
        <v>78</v>
      </c>
      <c r="G3" s="107" t="s">
        <v>79</v>
      </c>
      <c r="H3" s="107" t="s">
        <v>80</v>
      </c>
      <c r="I3" s="107" t="s">
        <v>81</v>
      </c>
      <c r="J3" s="107" t="s">
        <v>82</v>
      </c>
      <c r="K3" s="107" t="s">
        <v>83</v>
      </c>
      <c r="L3" s="108" t="s">
        <v>84</v>
      </c>
      <c r="M3" s="71" t="s">
        <v>85</v>
      </c>
      <c r="N3" s="106" t="s">
        <v>86</v>
      </c>
      <c r="O3" s="72" t="s">
        <v>87</v>
      </c>
      <c r="P3" s="73" t="s">
        <v>88</v>
      </c>
      <c r="Q3" s="73" t="s">
        <v>89</v>
      </c>
      <c r="R3" s="73" t="s">
        <v>90</v>
      </c>
    </row>
    <row r="4" spans="1:18" x14ac:dyDescent="0.45">
      <c r="A4" s="67">
        <f t="shared" ref="A4:A67" si="0">IF($B4="","",ROW()-3)</f>
      </c>
      <c r="B4" s="74"/>
      <c r="C4" s="74"/>
      <c r="D4" s="75"/>
      <c r="E4" s="76"/>
      <c r="F4" s="77">
        <f t="shared" ref="F4:F67" si="1">IF($B4="","",$D4*$E4)</f>
      </c>
      <c r="G4" s="78"/>
      <c r="H4" s="78"/>
      <c r="I4" s="78"/>
      <c r="J4" s="78"/>
      <c r="K4" s="79">
        <f>IF($B4="","",SUM($G4:$J4))</f>
      </c>
      <c r="L4" s="80">
        <f t="shared" ref="L4:L67" si="2">IF($B4="","",$D4-$K4)</f>
      </c>
      <c r="M4" s="81">
        <f>IF($B4="","",IF($L4&lt;0,"⚠ OVER "&amp;TEXT(-$L4,"#,##0.00")&amp;" "&amp;$C4&amp;" - kurangi alokasi BAP",IF($L4=0,"✓ Alokasi penuh (sisa 0)","Sisa "&amp;TEXT($L4,"#,##0.00")&amp;" "&amp;$C4)))</f>
      </c>
      <c r="N4" s="2"/>
      <c r="O4" s="30">
        <f>IF(OR($B4="",N(G4)=0),"",$E4-ROW()/1000000)</f>
      </c>
      <c r="P4" s="30">
        <f>IF(OR($B4="",N(H4)=0),"",$E4-ROW()/1000000)</f>
      </c>
      <c r="Q4" s="30">
        <f>IF(OR($B4="",N(I4)=0),"",$E4-ROW()/1000000)</f>
      </c>
      <c r="R4" s="30">
        <f>IF(OR($B4="",N(J4)=0),"",$E4-ROW()/1000000)</f>
      </c>
    </row>
    <row r="5" spans="1:18" x14ac:dyDescent="0.45">
      <c r="A5" s="67">
        <f t="shared" si="0"/>
      </c>
      <c r="B5" s="74"/>
      <c r="C5" s="74"/>
      <c r="D5" s="75"/>
      <c r="E5" s="76"/>
      <c r="F5" s="77">
        <f t="shared" si="1"/>
      </c>
      <c r="G5" s="78"/>
      <c r="H5" s="78"/>
      <c r="I5" s="78"/>
      <c r="J5" s="78"/>
      <c r="K5" s="79">
        <f t="shared" ref="K5:K68" si="3">IF($B5="","",SUM($G5:$J5))</f>
      </c>
      <c r="L5" s="80">
        <f t="shared" si="2"/>
      </c>
      <c r="M5" s="81">
        <f t="shared" ref="M5:M68" si="4">IF($B5="","",IF($L5&lt;0,"⚠ OVER "&amp;TEXT(-$L5,"#,##0.00")&amp;" "&amp;$C5&amp;" - kurangi alokasi BAP",IF($L5=0,"✓ Alokasi penuh (sisa 0)","Sisa "&amp;TEXT($L5,"#,##0.00")&amp;" "&amp;$C5)))</f>
      </c>
      <c r="N5" s="2"/>
      <c r="O5" s="30">
        <f t="shared" ref="O5:O23" si="5">IF(OR($B5="",N(G5)=0),"",$E5-ROW()/1000000)</f>
      </c>
      <c r="P5" s="30">
        <f t="shared" ref="P5:P23" si="6">IF(OR($B5="",N(H5)=0),"",$E5-ROW()/1000000)</f>
      </c>
      <c r="Q5" s="30">
        <f t="shared" ref="Q5:Q23" si="7">IF(OR($B5="",N(I5)=0),"",$E5-ROW()/1000000)</f>
      </c>
      <c r="R5" s="30">
        <f t="shared" ref="R5:R23" si="8">IF(OR($B5="",N(J5)=0),"",$E5-ROW()/1000000)</f>
      </c>
    </row>
    <row r="6" spans="1:18" x14ac:dyDescent="0.45">
      <c r="A6" s="67">
        <f t="shared" si="0"/>
      </c>
      <c r="B6" s="74"/>
      <c r="C6" s="74"/>
      <c r="D6" s="75"/>
      <c r="E6" s="76"/>
      <c r="F6" s="77">
        <f t="shared" si="1"/>
      </c>
      <c r="G6" s="78"/>
      <c r="H6" s="78"/>
      <c r="I6" s="78"/>
      <c r="J6" s="78"/>
      <c r="K6" s="79">
        <f t="shared" si="3"/>
      </c>
      <c r="L6" s="80">
        <f t="shared" si="2"/>
      </c>
      <c r="M6" s="81">
        <f t="shared" si="4"/>
      </c>
      <c r="N6" s="2"/>
      <c r="O6" s="30">
        <f t="shared" si="5"/>
      </c>
      <c r="P6" s="30">
        <f t="shared" si="6"/>
      </c>
      <c r="Q6" s="30">
        <f t="shared" si="7"/>
      </c>
      <c r="R6" s="30">
        <f t="shared" si="8"/>
      </c>
    </row>
    <row r="7" spans="1:18" x14ac:dyDescent="0.45">
      <c r="A7" s="67">
        <f t="shared" si="0"/>
      </c>
      <c r="B7" s="74"/>
      <c r="C7" s="74"/>
      <c r="D7" s="75"/>
      <c r="E7" s="76"/>
      <c r="F7" s="77">
        <f>IF($B7="","",$D7*$E7)</f>
      </c>
      <c r="G7" s="78"/>
      <c r="H7" s="78"/>
      <c r="I7" s="78"/>
      <c r="J7" s="78"/>
      <c r="K7" s="79">
        <f t="shared" si="3"/>
      </c>
      <c r="L7" s="80">
        <f t="shared" si="2"/>
      </c>
      <c r="M7" s="81">
        <f t="shared" si="4"/>
      </c>
      <c r="N7" s="2"/>
      <c r="O7" s="30">
        <f t="shared" si="5"/>
      </c>
      <c r="P7" s="30">
        <f t="shared" si="6"/>
      </c>
      <c r="Q7" s="30">
        <f t="shared" si="7"/>
      </c>
      <c r="R7" s="30">
        <f t="shared" si="8"/>
      </c>
    </row>
    <row r="8" spans="1:18" x14ac:dyDescent="0.45">
      <c r="A8" s="67">
        <f t="shared" si="0"/>
      </c>
      <c r="B8" s="74"/>
      <c r="C8" s="74"/>
      <c r="D8" s="75"/>
      <c r="E8" s="76"/>
      <c r="F8" s="77">
        <f t="shared" si="1"/>
      </c>
      <c r="G8" s="78"/>
      <c r="H8" s="78"/>
      <c r="I8" s="78"/>
      <c r="J8" s="78"/>
      <c r="K8" s="79">
        <f t="shared" si="3"/>
      </c>
      <c r="L8" s="80">
        <f t="shared" si="2"/>
      </c>
      <c r="M8" s="81">
        <f t="shared" si="4"/>
      </c>
      <c r="N8" s="2"/>
      <c r="O8" s="30">
        <f t="shared" si="5"/>
      </c>
      <c r="P8" s="30">
        <f t="shared" si="6"/>
      </c>
      <c r="Q8" s="30">
        <f t="shared" si="7"/>
      </c>
      <c r="R8" s="30">
        <f t="shared" si="8"/>
      </c>
    </row>
    <row r="9" spans="1:18" x14ac:dyDescent="0.45">
      <c r="A9" s="67">
        <f t="shared" si="0"/>
      </c>
      <c r="B9" s="74"/>
      <c r="C9" s="74"/>
      <c r="D9" s="75"/>
      <c r="E9" s="76"/>
      <c r="F9" s="77">
        <f t="shared" si="1"/>
      </c>
      <c r="G9" s="78"/>
      <c r="H9" s="78"/>
      <c r="I9" s="78"/>
      <c r="J9" s="78"/>
      <c r="K9" s="79">
        <f t="shared" si="3"/>
      </c>
      <c r="L9" s="80">
        <f t="shared" si="2"/>
      </c>
      <c r="M9" s="81">
        <f t="shared" si="4"/>
      </c>
      <c r="N9" s="2"/>
      <c r="O9" s="30">
        <f t="shared" si="5"/>
      </c>
      <c r="P9" s="30">
        <f t="shared" si="6"/>
      </c>
      <c r="Q9" s="30">
        <f t="shared" si="7"/>
      </c>
      <c r="R9" s="30">
        <f t="shared" si="8"/>
      </c>
    </row>
    <row r="10" spans="1:18" x14ac:dyDescent="0.45">
      <c r="A10" s="67">
        <f t="shared" si="0"/>
      </c>
      <c r="B10" s="74"/>
      <c r="C10" s="74"/>
      <c r="D10" s="75"/>
      <c r="E10" s="76"/>
      <c r="F10" s="77">
        <f t="shared" si="1"/>
      </c>
      <c r="G10" s="78"/>
      <c r="H10" s="78"/>
      <c r="I10" s="78"/>
      <c r="J10" s="78"/>
      <c r="K10" s="79">
        <f t="shared" si="3"/>
      </c>
      <c r="L10" s="80">
        <f t="shared" si="2"/>
      </c>
      <c r="M10" s="81">
        <f t="shared" si="4"/>
      </c>
      <c r="N10" s="2"/>
      <c r="O10" s="30">
        <f t="shared" si="5"/>
      </c>
      <c r="P10" s="30">
        <f t="shared" si="6"/>
      </c>
      <c r="Q10" s="30">
        <f t="shared" si="7"/>
      </c>
      <c r="R10" s="30">
        <f t="shared" si="8"/>
      </c>
    </row>
    <row r="11" spans="1:18" x14ac:dyDescent="0.45">
      <c r="A11" s="67">
        <f t="shared" si="0"/>
      </c>
      <c r="B11" s="74"/>
      <c r="C11" s="74"/>
      <c r="D11" s="75"/>
      <c r="E11" s="76"/>
      <c r="F11" s="77">
        <f t="shared" si="1"/>
      </c>
      <c r="G11" s="78"/>
      <c r="H11" s="78"/>
      <c r="I11" s="78"/>
      <c r="J11" s="78"/>
      <c r="K11" s="79">
        <f t="shared" si="3"/>
      </c>
      <c r="L11" s="80">
        <f t="shared" si="2"/>
      </c>
      <c r="M11" s="81">
        <f t="shared" si="4"/>
      </c>
      <c r="N11" s="2"/>
      <c r="O11" s="30">
        <f t="shared" si="5"/>
      </c>
      <c r="P11" s="30">
        <f t="shared" si="6"/>
      </c>
      <c r="Q11" s="30">
        <f t="shared" si="7"/>
      </c>
      <c r="R11" s="30">
        <f t="shared" si="8"/>
      </c>
    </row>
    <row r="12" spans="1:18" x14ac:dyDescent="0.45">
      <c r="A12" s="67">
        <f t="shared" si="0"/>
      </c>
      <c r="B12" s="74"/>
      <c r="C12" s="74"/>
      <c r="D12" s="75"/>
      <c r="E12" s="76"/>
      <c r="F12" s="77">
        <f t="shared" si="1"/>
      </c>
      <c r="G12" s="78"/>
      <c r="H12" s="78"/>
      <c r="I12" s="78"/>
      <c r="J12" s="78"/>
      <c r="K12" s="79">
        <f t="shared" si="3"/>
      </c>
      <c r="L12" s="80">
        <f t="shared" si="2"/>
      </c>
      <c r="M12" s="81">
        <f t="shared" si="4"/>
      </c>
      <c r="N12" s="2"/>
      <c r="O12" s="30">
        <f t="shared" si="5"/>
      </c>
      <c r="P12" s="30">
        <f t="shared" si="6"/>
      </c>
      <c r="Q12" s="30">
        <f t="shared" si="7"/>
      </c>
      <c r="R12" s="30">
        <f t="shared" si="8"/>
      </c>
    </row>
    <row r="13" spans="1:18" x14ac:dyDescent="0.45">
      <c r="A13" s="67">
        <f t="shared" si="0"/>
      </c>
      <c r="B13" s="74"/>
      <c r="C13" s="74"/>
      <c r="D13" s="75"/>
      <c r="E13" s="76"/>
      <c r="F13" s="77">
        <f t="shared" si="1"/>
      </c>
      <c r="G13" s="78"/>
      <c r="H13" s="78"/>
      <c r="I13" s="78"/>
      <c r="J13" s="78"/>
      <c r="K13" s="79">
        <f t="shared" si="3"/>
      </c>
      <c r="L13" s="80">
        <f t="shared" si="2"/>
      </c>
      <c r="M13" s="81">
        <f t="shared" si="4"/>
      </c>
      <c r="N13" s="2"/>
      <c r="O13" s="30">
        <f t="shared" si="5"/>
      </c>
      <c r="P13" s="30">
        <f t="shared" si="6"/>
      </c>
      <c r="Q13" s="30">
        <f t="shared" si="7"/>
      </c>
      <c r="R13" s="30">
        <f t="shared" si="8"/>
      </c>
    </row>
    <row r="14" spans="1:18" x14ac:dyDescent="0.45">
      <c r="A14" s="67">
        <f t="shared" si="0"/>
      </c>
      <c r="B14" s="74"/>
      <c r="C14" s="74"/>
      <c r="D14" s="75"/>
      <c r="E14" s="76"/>
      <c r="F14" s="77">
        <f t="shared" si="1"/>
      </c>
      <c r="G14" s="78"/>
      <c r="H14" s="78"/>
      <c r="I14" s="78"/>
      <c r="J14" s="78"/>
      <c r="K14" s="79">
        <f t="shared" si="3"/>
      </c>
      <c r="L14" s="80">
        <f t="shared" si="2"/>
      </c>
      <c r="M14" s="81">
        <f t="shared" si="4"/>
      </c>
      <c r="N14" s="2"/>
      <c r="O14" s="30">
        <f t="shared" si="5"/>
      </c>
      <c r="P14" s="30">
        <f t="shared" si="6"/>
      </c>
      <c r="Q14" s="30">
        <f t="shared" si="7"/>
      </c>
      <c r="R14" s="30">
        <f t="shared" si="8"/>
      </c>
    </row>
    <row r="15" spans="1:18" x14ac:dyDescent="0.45">
      <c r="A15" s="67">
        <f t="shared" si="0"/>
      </c>
      <c r="B15" s="74"/>
      <c r="C15" s="74"/>
      <c r="D15" s="75"/>
      <c r="E15" s="76"/>
      <c r="F15" s="77">
        <f t="shared" si="1"/>
      </c>
      <c r="G15" s="78"/>
      <c r="H15" s="78"/>
      <c r="I15" s="78"/>
      <c r="J15" s="78"/>
      <c r="K15" s="79">
        <f t="shared" si="3"/>
      </c>
      <c r="L15" s="80">
        <f t="shared" si="2"/>
      </c>
      <c r="M15" s="81">
        <f t="shared" si="4"/>
      </c>
      <c r="N15" s="2"/>
      <c r="O15" s="30">
        <f t="shared" si="5"/>
      </c>
      <c r="P15" s="30">
        <f t="shared" si="6"/>
      </c>
      <c r="Q15" s="30">
        <f t="shared" si="7"/>
      </c>
      <c r="R15" s="30">
        <f t="shared" si="8"/>
      </c>
    </row>
    <row r="16" spans="1:18" x14ac:dyDescent="0.45">
      <c r="A16" s="67">
        <f t="shared" si="0"/>
      </c>
      <c r="B16" s="74"/>
      <c r="C16" s="74"/>
      <c r="D16" s="75"/>
      <c r="E16" s="76"/>
      <c r="F16" s="77">
        <f t="shared" si="1"/>
      </c>
      <c r="G16" s="78"/>
      <c r="H16" s="78"/>
      <c r="I16" s="78"/>
      <c r="J16" s="78"/>
      <c r="K16" s="79">
        <f t="shared" si="3"/>
      </c>
      <c r="L16" s="80">
        <f t="shared" si="2"/>
      </c>
      <c r="M16" s="81">
        <f t="shared" si="4"/>
      </c>
      <c r="N16" s="2"/>
      <c r="O16" s="30">
        <f t="shared" si="5"/>
      </c>
      <c r="P16" s="30">
        <f t="shared" si="6"/>
      </c>
      <c r="Q16" s="30">
        <f t="shared" si="7"/>
      </c>
      <c r="R16" s="30">
        <f t="shared" si="8"/>
      </c>
    </row>
    <row r="17" spans="1:18" x14ac:dyDescent="0.45">
      <c r="A17" s="67">
        <f t="shared" si="0"/>
      </c>
      <c r="B17" s="74"/>
      <c r="C17" s="74"/>
      <c r="D17" s="75"/>
      <c r="E17" s="76"/>
      <c r="F17" s="77">
        <f t="shared" si="1"/>
      </c>
      <c r="G17" s="78"/>
      <c r="H17" s="78"/>
      <c r="I17" s="78"/>
      <c r="J17" s="78"/>
      <c r="K17" s="79">
        <f t="shared" si="3"/>
      </c>
      <c r="L17" s="80">
        <f t="shared" si="2"/>
      </c>
      <c r="M17" s="81">
        <f t="shared" si="4"/>
      </c>
      <c r="N17" s="2"/>
      <c r="O17" s="30">
        <f t="shared" si="5"/>
      </c>
      <c r="P17" s="30">
        <f t="shared" si="6"/>
      </c>
      <c r="Q17" s="30">
        <f t="shared" si="7"/>
      </c>
      <c r="R17" s="30">
        <f t="shared" si="8"/>
      </c>
    </row>
    <row r="18" spans="1:18" x14ac:dyDescent="0.45">
      <c r="A18" s="67">
        <f t="shared" si="0"/>
      </c>
      <c r="B18" s="74"/>
      <c r="C18" s="74"/>
      <c r="D18" s="75"/>
      <c r="E18" s="76"/>
      <c r="F18" s="77">
        <f t="shared" si="1"/>
      </c>
      <c r="G18" s="78"/>
      <c r="H18" s="78"/>
      <c r="I18" s="78"/>
      <c r="J18" s="78"/>
      <c r="K18" s="79">
        <f t="shared" si="3"/>
      </c>
      <c r="L18" s="80">
        <f t="shared" si="2"/>
      </c>
      <c r="M18" s="81">
        <f t="shared" si="4"/>
      </c>
      <c r="N18" s="2"/>
      <c r="O18" s="30">
        <f t="shared" si="5"/>
      </c>
      <c r="P18" s="30">
        <f t="shared" si="6"/>
      </c>
      <c r="Q18" s="30">
        <f t="shared" si="7"/>
      </c>
      <c r="R18" s="30">
        <f t="shared" si="8"/>
      </c>
    </row>
    <row r="19" spans="1:18" x14ac:dyDescent="0.45">
      <c r="A19" s="67">
        <f t="shared" si="0"/>
      </c>
      <c r="B19" s="74"/>
      <c r="C19" s="74"/>
      <c r="D19" s="75"/>
      <c r="E19" s="76"/>
      <c r="F19" s="77">
        <f t="shared" si="1"/>
      </c>
      <c r="G19" s="78"/>
      <c r="H19" s="78"/>
      <c r="I19" s="78"/>
      <c r="J19" s="78"/>
      <c r="K19" s="79">
        <f t="shared" si="3"/>
      </c>
      <c r="L19" s="80">
        <f t="shared" si="2"/>
      </c>
      <c r="M19" s="81">
        <f t="shared" si="4"/>
      </c>
      <c r="N19" s="2"/>
      <c r="O19" s="30">
        <f t="shared" si="5"/>
      </c>
      <c r="P19" s="30">
        <f t="shared" si="6"/>
      </c>
      <c r="Q19" s="30">
        <f t="shared" si="7"/>
      </c>
      <c r="R19" s="30">
        <f t="shared" si="8"/>
      </c>
    </row>
    <row r="20" spans="1:18" x14ac:dyDescent="0.45">
      <c r="A20" s="67">
        <f t="shared" si="0"/>
      </c>
      <c r="B20" s="74"/>
      <c r="C20" s="74"/>
      <c r="D20" s="75"/>
      <c r="E20" s="76"/>
      <c r="F20" s="77">
        <f t="shared" si="1"/>
      </c>
      <c r="G20" s="78"/>
      <c r="H20" s="78"/>
      <c r="I20" s="78"/>
      <c r="J20" s="78"/>
      <c r="K20" s="79">
        <f t="shared" si="3"/>
      </c>
      <c r="L20" s="80">
        <f t="shared" si="2"/>
      </c>
      <c r="M20" s="81">
        <f t="shared" si="4"/>
      </c>
      <c r="N20" s="2"/>
      <c r="O20" s="30">
        <f t="shared" si="5"/>
      </c>
      <c r="P20" s="30">
        <f t="shared" si="6"/>
      </c>
      <c r="Q20" s="30">
        <f t="shared" si="7"/>
      </c>
      <c r="R20" s="30">
        <f t="shared" si="8"/>
      </c>
    </row>
    <row r="21" spans="1:18" x14ac:dyDescent="0.45">
      <c r="A21" s="67">
        <f t="shared" si="0"/>
      </c>
      <c r="B21" s="74"/>
      <c r="C21" s="74"/>
      <c r="D21" s="75"/>
      <c r="E21" s="76"/>
      <c r="F21" s="77">
        <f t="shared" si="1"/>
      </c>
      <c r="G21" s="78"/>
      <c r="H21" s="78"/>
      <c r="I21" s="78"/>
      <c r="J21" s="78"/>
      <c r="K21" s="79">
        <f t="shared" si="3"/>
      </c>
      <c r="L21" s="80">
        <f t="shared" si="2"/>
      </c>
      <c r="M21" s="81">
        <f t="shared" si="4"/>
      </c>
      <c r="N21" s="2"/>
      <c r="O21" s="30">
        <f t="shared" si="5"/>
      </c>
      <c r="P21" s="30">
        <f t="shared" si="6"/>
      </c>
      <c r="Q21" s="30">
        <f t="shared" si="7"/>
      </c>
      <c r="R21" s="30">
        <f t="shared" si="8"/>
      </c>
    </row>
    <row r="22" spans="1:18" x14ac:dyDescent="0.45">
      <c r="A22" s="67">
        <f t="shared" si="0"/>
      </c>
      <c r="B22" s="74"/>
      <c r="C22" s="74"/>
      <c r="D22" s="75"/>
      <c r="E22" s="76"/>
      <c r="F22" s="77">
        <f t="shared" si="1"/>
      </c>
      <c r="G22" s="78"/>
      <c r="H22" s="78"/>
      <c r="I22" s="78"/>
      <c r="J22" s="78"/>
      <c r="K22" s="79">
        <f t="shared" si="3"/>
      </c>
      <c r="L22" s="80">
        <f t="shared" si="2"/>
      </c>
      <c r="M22" s="81">
        <f t="shared" si="4"/>
      </c>
      <c r="N22" s="2"/>
      <c r="O22" s="30">
        <f t="shared" si="5"/>
      </c>
      <c r="P22" s="30">
        <f t="shared" si="6"/>
      </c>
      <c r="Q22" s="30">
        <f t="shared" si="7"/>
      </c>
      <c r="R22" s="30">
        <f t="shared" si="8"/>
      </c>
    </row>
    <row r="23" spans="1:18" x14ac:dyDescent="0.45">
      <c r="A23" s="67">
        <f t="shared" si="0"/>
      </c>
      <c r="B23" s="74"/>
      <c r="C23" s="74"/>
      <c r="D23" s="75"/>
      <c r="E23" s="76"/>
      <c r="F23" s="77">
        <f t="shared" si="1"/>
      </c>
      <c r="G23" s="78"/>
      <c r="H23" s="78"/>
      <c r="I23" s="78"/>
      <c r="J23" s="78"/>
      <c r="K23" s="79">
        <f t="shared" si="3"/>
      </c>
      <c r="L23" s="80">
        <f t="shared" si="2"/>
      </c>
      <c r="M23" s="81">
        <f t="shared" si="4"/>
      </c>
      <c r="N23" s="2"/>
      <c r="O23" s="30">
        <f t="shared" si="5"/>
      </c>
      <c r="P23" s="30">
        <f t="shared" si="6"/>
      </c>
      <c r="Q23" s="30">
        <f t="shared" si="7"/>
      </c>
      <c r="R23" s="30">
        <f t="shared" si="8"/>
      </c>
    </row>
    <row r="24" spans="1:18" hidden="1" outlineLevel="1" x14ac:dyDescent="0.45">
      <c r="A24" s="67">
        <f t="shared" si="0"/>
      </c>
      <c r="B24" s="74"/>
      <c r="C24" s="74"/>
      <c r="D24" s="75"/>
      <c r="E24" s="76"/>
      <c r="F24" s="77">
        <f t="shared" si="1"/>
      </c>
      <c r="G24" s="78"/>
      <c r="H24" s="78"/>
      <c r="I24" s="78"/>
      <c r="J24" s="78"/>
      <c r="K24" s="79">
        <f t="shared" si="3"/>
      </c>
      <c r="L24" s="80">
        <f t="shared" si="2"/>
      </c>
      <c r="M24" s="81">
        <f t="shared" si="4"/>
      </c>
      <c r="N24" s="2"/>
      <c r="O24" s="30">
        <f t="shared" ref="O24:O87" si="9">IF(OR($B24="",N(G24)=0),"",$E24-ROW()/1000000)</f>
      </c>
      <c r="P24" s="30">
        <f t="shared" ref="P24:P87" si="10">IF(OR($B24="",N(H24)=0),"",$E24-ROW()/1000000)</f>
      </c>
      <c r="Q24" s="30">
        <f t="shared" ref="Q24:Q87" si="11">IF(OR($B24="",N(I24)=0),"",$E24-ROW()/1000000)</f>
      </c>
      <c r="R24" s="30">
        <f t="shared" ref="R24:R87" si="12">IF(OR($B24="",N(J24)=0),"",$E24-ROW()/1000000)</f>
      </c>
    </row>
    <row r="25" spans="1:18" hidden="1" outlineLevel="1" x14ac:dyDescent="0.45">
      <c r="A25" s="67">
        <f t="shared" si="0"/>
      </c>
      <c r="B25" s="74"/>
      <c r="C25" s="74"/>
      <c r="D25" s="75"/>
      <c r="E25" s="76"/>
      <c r="F25" s="77">
        <f t="shared" si="1"/>
      </c>
      <c r="G25" s="78"/>
      <c r="H25" s="78"/>
      <c r="I25" s="78"/>
      <c r="J25" s="78"/>
      <c r="K25" s="79">
        <f t="shared" si="3"/>
      </c>
      <c r="L25" s="80">
        <f t="shared" si="2"/>
      </c>
      <c r="M25" s="81">
        <f t="shared" si="4"/>
      </c>
      <c r="N25" s="2"/>
      <c r="O25" s="30">
        <f t="shared" si="9"/>
      </c>
      <c r="P25" s="30">
        <f t="shared" si="10"/>
      </c>
      <c r="Q25" s="30">
        <f t="shared" si="11"/>
      </c>
      <c r="R25" s="30">
        <f t="shared" si="12"/>
      </c>
    </row>
    <row r="26" spans="1:18" hidden="1" outlineLevel="1" x14ac:dyDescent="0.45">
      <c r="A26" s="67">
        <f t="shared" si="0"/>
      </c>
      <c r="B26" s="74"/>
      <c r="C26" s="74"/>
      <c r="D26" s="75"/>
      <c r="E26" s="76"/>
      <c r="F26" s="77">
        <f t="shared" si="1"/>
      </c>
      <c r="G26" s="78"/>
      <c r="H26" s="78"/>
      <c r="I26" s="78"/>
      <c r="J26" s="78"/>
      <c r="K26" s="79">
        <f t="shared" si="3"/>
      </c>
      <c r="L26" s="80">
        <f t="shared" si="2"/>
      </c>
      <c r="M26" s="81">
        <f t="shared" si="4"/>
      </c>
      <c r="N26" s="2"/>
      <c r="O26" s="30">
        <f t="shared" si="9"/>
      </c>
      <c r="P26" s="30">
        <f t="shared" si="10"/>
      </c>
      <c r="Q26" s="30">
        <f t="shared" si="11"/>
      </c>
      <c r="R26" s="30">
        <f t="shared" si="12"/>
      </c>
    </row>
    <row r="27" spans="1:18" hidden="1" outlineLevel="1" x14ac:dyDescent="0.45">
      <c r="A27" s="67">
        <f t="shared" si="0"/>
      </c>
      <c r="B27" s="74"/>
      <c r="C27" s="74"/>
      <c r="D27" s="75"/>
      <c r="E27" s="76"/>
      <c r="F27" s="77">
        <f t="shared" si="1"/>
      </c>
      <c r="G27" s="78"/>
      <c r="H27" s="78"/>
      <c r="I27" s="78"/>
      <c r="J27" s="78"/>
      <c r="K27" s="79">
        <f t="shared" si="3"/>
      </c>
      <c r="L27" s="80">
        <f t="shared" si="2"/>
      </c>
      <c r="M27" s="81">
        <f t="shared" si="4"/>
      </c>
      <c r="N27" s="2"/>
      <c r="O27" s="30">
        <f t="shared" si="9"/>
      </c>
      <c r="P27" s="30">
        <f t="shared" si="10"/>
      </c>
      <c r="Q27" s="30">
        <f t="shared" si="11"/>
      </c>
      <c r="R27" s="30">
        <f t="shared" si="12"/>
      </c>
    </row>
    <row r="28" spans="1:18" hidden="1" outlineLevel="1" x14ac:dyDescent="0.45">
      <c r="A28" s="67">
        <f t="shared" si="0"/>
      </c>
      <c r="B28" s="74"/>
      <c r="C28" s="74"/>
      <c r="D28" s="75"/>
      <c r="E28" s="76"/>
      <c r="F28" s="77">
        <f t="shared" si="1"/>
      </c>
      <c r="G28" s="78"/>
      <c r="H28" s="78"/>
      <c r="I28" s="78"/>
      <c r="J28" s="78"/>
      <c r="K28" s="79">
        <f t="shared" si="3"/>
      </c>
      <c r="L28" s="80">
        <f t="shared" si="2"/>
      </c>
      <c r="M28" s="81">
        <f t="shared" si="4"/>
      </c>
      <c r="N28" s="2"/>
      <c r="O28" s="30">
        <f t="shared" si="9"/>
      </c>
      <c r="P28" s="30">
        <f t="shared" si="10"/>
      </c>
      <c r="Q28" s="30">
        <f t="shared" si="11"/>
      </c>
      <c r="R28" s="30">
        <f t="shared" si="12"/>
      </c>
    </row>
    <row r="29" spans="1:18" hidden="1" outlineLevel="1" x14ac:dyDescent="0.45">
      <c r="A29" s="67">
        <f t="shared" si="0"/>
      </c>
      <c r="B29" s="74"/>
      <c r="C29" s="74"/>
      <c r="D29" s="75"/>
      <c r="E29" s="76"/>
      <c r="F29" s="77">
        <f t="shared" si="1"/>
      </c>
      <c r="G29" s="78"/>
      <c r="H29" s="78"/>
      <c r="I29" s="78"/>
      <c r="J29" s="78"/>
      <c r="K29" s="79">
        <f t="shared" si="3"/>
      </c>
      <c r="L29" s="80">
        <f t="shared" si="2"/>
      </c>
      <c r="M29" s="81">
        <f t="shared" si="4"/>
      </c>
      <c r="N29" s="2"/>
      <c r="O29" s="30">
        <f t="shared" si="9"/>
      </c>
      <c r="P29" s="30">
        <f t="shared" si="10"/>
      </c>
      <c r="Q29" s="30">
        <f t="shared" si="11"/>
      </c>
      <c r="R29" s="30">
        <f t="shared" si="12"/>
      </c>
    </row>
    <row r="30" spans="1:18" hidden="1" outlineLevel="1" x14ac:dyDescent="0.45">
      <c r="A30" s="67">
        <f t="shared" si="0"/>
      </c>
      <c r="B30" s="74"/>
      <c r="C30" s="74"/>
      <c r="D30" s="75"/>
      <c r="E30" s="76"/>
      <c r="F30" s="77">
        <f t="shared" si="1"/>
      </c>
      <c r="G30" s="78"/>
      <c r="H30" s="78"/>
      <c r="I30" s="78"/>
      <c r="J30" s="78"/>
      <c r="K30" s="79">
        <f t="shared" si="3"/>
      </c>
      <c r="L30" s="80">
        <f t="shared" si="2"/>
      </c>
      <c r="M30" s="81">
        <f t="shared" si="4"/>
      </c>
      <c r="N30" s="2"/>
      <c r="O30" s="30">
        <f t="shared" si="9"/>
      </c>
      <c r="P30" s="30">
        <f t="shared" si="10"/>
      </c>
      <c r="Q30" s="30">
        <f t="shared" si="11"/>
      </c>
      <c r="R30" s="30">
        <f t="shared" si="12"/>
      </c>
    </row>
    <row r="31" spans="1:18" hidden="1" outlineLevel="1" x14ac:dyDescent="0.45">
      <c r="A31" s="67">
        <f t="shared" si="0"/>
      </c>
      <c r="B31" s="74"/>
      <c r="C31" s="74"/>
      <c r="D31" s="75"/>
      <c r="E31" s="76"/>
      <c r="F31" s="77">
        <f t="shared" si="1"/>
      </c>
      <c r="G31" s="78"/>
      <c r="H31" s="78"/>
      <c r="I31" s="78"/>
      <c r="J31" s="78"/>
      <c r="K31" s="79">
        <f t="shared" si="3"/>
      </c>
      <c r="L31" s="80">
        <f t="shared" si="2"/>
      </c>
      <c r="M31" s="81">
        <f t="shared" si="4"/>
      </c>
      <c r="N31" s="2"/>
      <c r="O31" s="30">
        <f t="shared" si="9"/>
      </c>
      <c r="P31" s="30">
        <f t="shared" si="10"/>
      </c>
      <c r="Q31" s="30">
        <f t="shared" si="11"/>
      </c>
      <c r="R31" s="30">
        <f t="shared" si="12"/>
      </c>
    </row>
    <row r="32" spans="1:18" hidden="1" outlineLevel="1" x14ac:dyDescent="0.45">
      <c r="A32" s="67">
        <f t="shared" si="0"/>
      </c>
      <c r="B32" s="74"/>
      <c r="C32" s="74"/>
      <c r="D32" s="75"/>
      <c r="E32" s="76"/>
      <c r="F32" s="77">
        <f t="shared" si="1"/>
      </c>
      <c r="G32" s="78"/>
      <c r="H32" s="78"/>
      <c r="I32" s="78"/>
      <c r="J32" s="78"/>
      <c r="K32" s="79">
        <f t="shared" si="3"/>
      </c>
      <c r="L32" s="80">
        <f t="shared" si="2"/>
      </c>
      <c r="M32" s="81">
        <f t="shared" si="4"/>
      </c>
      <c r="N32" s="2"/>
      <c r="O32" s="30">
        <f t="shared" si="9"/>
      </c>
      <c r="P32" s="30">
        <f t="shared" si="10"/>
      </c>
      <c r="Q32" s="30">
        <f t="shared" si="11"/>
      </c>
      <c r="R32" s="30">
        <f t="shared" si="12"/>
      </c>
    </row>
    <row r="33" spans="1:18" hidden="1" outlineLevel="1" x14ac:dyDescent="0.45">
      <c r="A33" s="67">
        <f t="shared" si="0"/>
      </c>
      <c r="B33" s="74"/>
      <c r="C33" s="74"/>
      <c r="D33" s="75"/>
      <c r="E33" s="76"/>
      <c r="F33" s="77">
        <f t="shared" si="1"/>
      </c>
      <c r="G33" s="78"/>
      <c r="H33" s="78"/>
      <c r="I33" s="78"/>
      <c r="J33" s="78"/>
      <c r="K33" s="79">
        <f t="shared" si="3"/>
      </c>
      <c r="L33" s="80">
        <f t="shared" si="2"/>
      </c>
      <c r="M33" s="81">
        <f t="shared" si="4"/>
      </c>
      <c r="N33" s="2"/>
      <c r="O33" s="30">
        <f t="shared" si="9"/>
      </c>
      <c r="P33" s="30">
        <f t="shared" si="10"/>
      </c>
      <c r="Q33" s="30">
        <f t="shared" si="11"/>
      </c>
      <c r="R33" s="30">
        <f t="shared" si="12"/>
      </c>
    </row>
    <row r="34" spans="1:18" hidden="1" outlineLevel="1" x14ac:dyDescent="0.45">
      <c r="A34" s="67">
        <f t="shared" si="0"/>
      </c>
      <c r="B34" s="74"/>
      <c r="C34" s="74"/>
      <c r="D34" s="75"/>
      <c r="E34" s="76"/>
      <c r="F34" s="77">
        <f t="shared" si="1"/>
      </c>
      <c r="G34" s="78"/>
      <c r="H34" s="78"/>
      <c r="I34" s="78"/>
      <c r="J34" s="78"/>
      <c r="K34" s="79">
        <f t="shared" si="3"/>
      </c>
      <c r="L34" s="80">
        <f t="shared" si="2"/>
      </c>
      <c r="M34" s="81">
        <f t="shared" si="4"/>
      </c>
      <c r="N34" s="2"/>
      <c r="O34" s="30">
        <f t="shared" si="9"/>
      </c>
      <c r="P34" s="30">
        <f t="shared" si="10"/>
      </c>
      <c r="Q34" s="30">
        <f t="shared" si="11"/>
      </c>
      <c r="R34" s="30">
        <f t="shared" si="12"/>
      </c>
    </row>
    <row r="35" spans="1:18" hidden="1" outlineLevel="1" x14ac:dyDescent="0.45">
      <c r="A35" s="67">
        <f t="shared" si="0"/>
      </c>
      <c r="B35" s="74"/>
      <c r="C35" s="74"/>
      <c r="D35" s="75"/>
      <c r="E35" s="76"/>
      <c r="F35" s="77">
        <f t="shared" si="1"/>
      </c>
      <c r="G35" s="78"/>
      <c r="H35" s="78"/>
      <c r="I35" s="78"/>
      <c r="J35" s="78"/>
      <c r="K35" s="79">
        <f t="shared" si="3"/>
      </c>
      <c r="L35" s="80">
        <f t="shared" si="2"/>
      </c>
      <c r="M35" s="81">
        <f t="shared" si="4"/>
      </c>
      <c r="N35" s="2"/>
      <c r="O35" s="30">
        <f t="shared" si="9"/>
      </c>
      <c r="P35" s="30">
        <f t="shared" si="10"/>
      </c>
      <c r="Q35" s="30">
        <f t="shared" si="11"/>
      </c>
      <c r="R35" s="30">
        <f t="shared" si="12"/>
      </c>
    </row>
    <row r="36" spans="1:18" hidden="1" outlineLevel="1" x14ac:dyDescent="0.45">
      <c r="A36" s="67">
        <f t="shared" si="0"/>
      </c>
      <c r="B36" s="74"/>
      <c r="C36" s="74"/>
      <c r="D36" s="75"/>
      <c r="E36" s="76"/>
      <c r="F36" s="77">
        <f t="shared" si="1"/>
      </c>
      <c r="G36" s="78"/>
      <c r="H36" s="78"/>
      <c r="I36" s="78"/>
      <c r="J36" s="78"/>
      <c r="K36" s="79">
        <f t="shared" si="3"/>
      </c>
      <c r="L36" s="80">
        <f t="shared" si="2"/>
      </c>
      <c r="M36" s="81">
        <f t="shared" si="4"/>
      </c>
      <c r="N36" s="2"/>
      <c r="O36" s="30">
        <f t="shared" si="9"/>
      </c>
      <c r="P36" s="30">
        <f t="shared" si="10"/>
      </c>
      <c r="Q36" s="30">
        <f t="shared" si="11"/>
      </c>
      <c r="R36" s="30">
        <f t="shared" si="12"/>
      </c>
    </row>
    <row r="37" spans="1:18" hidden="1" outlineLevel="1" x14ac:dyDescent="0.45">
      <c r="A37" s="67">
        <f t="shared" si="0"/>
      </c>
      <c r="B37" s="74"/>
      <c r="C37" s="74"/>
      <c r="D37" s="75"/>
      <c r="E37" s="76"/>
      <c r="F37" s="77">
        <f t="shared" si="1"/>
      </c>
      <c r="G37" s="78"/>
      <c r="H37" s="78"/>
      <c r="I37" s="78"/>
      <c r="J37" s="78"/>
      <c r="K37" s="79">
        <f t="shared" si="3"/>
      </c>
      <c r="L37" s="80">
        <f t="shared" si="2"/>
      </c>
      <c r="M37" s="81">
        <f t="shared" si="4"/>
      </c>
      <c r="N37" s="2"/>
      <c r="O37" s="30">
        <f t="shared" si="9"/>
      </c>
      <c r="P37" s="30">
        <f t="shared" si="10"/>
      </c>
      <c r="Q37" s="30">
        <f t="shared" si="11"/>
      </c>
      <c r="R37" s="30">
        <f t="shared" si="12"/>
      </c>
    </row>
    <row r="38" spans="1:18" hidden="1" outlineLevel="1" x14ac:dyDescent="0.45">
      <c r="A38" s="67">
        <f t="shared" si="0"/>
      </c>
      <c r="B38" s="74"/>
      <c r="C38" s="74"/>
      <c r="D38" s="75"/>
      <c r="E38" s="76"/>
      <c r="F38" s="77">
        <f t="shared" si="1"/>
      </c>
      <c r="G38" s="78"/>
      <c r="H38" s="78"/>
      <c r="I38" s="78"/>
      <c r="J38" s="78"/>
      <c r="K38" s="79">
        <f t="shared" si="3"/>
      </c>
      <c r="L38" s="80">
        <f t="shared" si="2"/>
      </c>
      <c r="M38" s="81">
        <f t="shared" si="4"/>
      </c>
      <c r="N38" s="2"/>
      <c r="O38" s="30">
        <f t="shared" si="9"/>
      </c>
      <c r="P38" s="30">
        <f t="shared" si="10"/>
      </c>
      <c r="Q38" s="30">
        <f t="shared" si="11"/>
      </c>
      <c r="R38" s="30">
        <f t="shared" si="12"/>
      </c>
    </row>
    <row r="39" spans="1:18" hidden="1" outlineLevel="1" x14ac:dyDescent="0.45">
      <c r="A39" s="67">
        <f t="shared" si="0"/>
      </c>
      <c r="B39" s="74"/>
      <c r="C39" s="74"/>
      <c r="D39" s="75"/>
      <c r="E39" s="76"/>
      <c r="F39" s="77">
        <f t="shared" si="1"/>
      </c>
      <c r="G39" s="78"/>
      <c r="H39" s="78"/>
      <c r="I39" s="78"/>
      <c r="J39" s="78"/>
      <c r="K39" s="79">
        <f t="shared" si="3"/>
      </c>
      <c r="L39" s="80">
        <f t="shared" si="2"/>
      </c>
      <c r="M39" s="81">
        <f t="shared" si="4"/>
      </c>
      <c r="N39" s="2"/>
      <c r="O39" s="30">
        <f t="shared" si="9"/>
      </c>
      <c r="P39" s="30">
        <f t="shared" si="10"/>
      </c>
      <c r="Q39" s="30">
        <f t="shared" si="11"/>
      </c>
      <c r="R39" s="30">
        <f t="shared" si="12"/>
      </c>
    </row>
    <row r="40" spans="1:18" hidden="1" outlineLevel="1" x14ac:dyDescent="0.45">
      <c r="A40" s="67">
        <f t="shared" si="0"/>
      </c>
      <c r="B40" s="74"/>
      <c r="C40" s="74"/>
      <c r="D40" s="75"/>
      <c r="E40" s="76"/>
      <c r="F40" s="77">
        <f t="shared" si="1"/>
      </c>
      <c r="G40" s="78"/>
      <c r="H40" s="78"/>
      <c r="I40" s="78"/>
      <c r="J40" s="78"/>
      <c r="K40" s="79">
        <f t="shared" si="3"/>
      </c>
      <c r="L40" s="80">
        <f t="shared" si="2"/>
      </c>
      <c r="M40" s="81">
        <f t="shared" si="4"/>
      </c>
      <c r="N40" s="2"/>
      <c r="O40" s="30">
        <f t="shared" si="9"/>
      </c>
      <c r="P40" s="30">
        <f t="shared" si="10"/>
      </c>
      <c r="Q40" s="30">
        <f t="shared" si="11"/>
      </c>
      <c r="R40" s="30">
        <f t="shared" si="12"/>
      </c>
    </row>
    <row r="41" spans="1:18" hidden="1" outlineLevel="1" x14ac:dyDescent="0.45">
      <c r="A41" s="67">
        <f t="shared" si="0"/>
      </c>
      <c r="B41" s="74"/>
      <c r="C41" s="74"/>
      <c r="D41" s="75"/>
      <c r="E41" s="76"/>
      <c r="F41" s="77">
        <f t="shared" si="1"/>
      </c>
      <c r="G41" s="78"/>
      <c r="H41" s="78"/>
      <c r="I41" s="78"/>
      <c r="J41" s="78"/>
      <c r="K41" s="79">
        <f t="shared" si="3"/>
      </c>
      <c r="L41" s="80">
        <f t="shared" si="2"/>
      </c>
      <c r="M41" s="81">
        <f t="shared" si="4"/>
      </c>
      <c r="N41" s="2"/>
      <c r="O41" s="30">
        <f t="shared" si="9"/>
      </c>
      <c r="P41" s="30">
        <f t="shared" si="10"/>
      </c>
      <c r="Q41" s="30">
        <f t="shared" si="11"/>
      </c>
      <c r="R41" s="30">
        <f t="shared" si="12"/>
      </c>
    </row>
    <row r="42" spans="1:18" hidden="1" outlineLevel="1" x14ac:dyDescent="0.45">
      <c r="A42" s="67">
        <f t="shared" si="0"/>
      </c>
      <c r="B42" s="74"/>
      <c r="C42" s="74"/>
      <c r="D42" s="75"/>
      <c r="E42" s="76"/>
      <c r="F42" s="77">
        <f t="shared" si="1"/>
      </c>
      <c r="G42" s="78"/>
      <c r="H42" s="78"/>
      <c r="I42" s="78"/>
      <c r="J42" s="78"/>
      <c r="K42" s="79">
        <f t="shared" si="3"/>
      </c>
      <c r="L42" s="80">
        <f t="shared" si="2"/>
      </c>
      <c r="M42" s="81">
        <f t="shared" si="4"/>
      </c>
      <c r="N42" s="2"/>
      <c r="O42" s="30">
        <f t="shared" si="9"/>
      </c>
      <c r="P42" s="30">
        <f t="shared" si="10"/>
      </c>
      <c r="Q42" s="30">
        <f t="shared" si="11"/>
      </c>
      <c r="R42" s="30">
        <f t="shared" si="12"/>
      </c>
    </row>
    <row r="43" spans="1:18" hidden="1" outlineLevel="1" x14ac:dyDescent="0.45">
      <c r="A43" s="67">
        <f t="shared" si="0"/>
      </c>
      <c r="B43" s="74"/>
      <c r="C43" s="74"/>
      <c r="D43" s="75"/>
      <c r="E43" s="76"/>
      <c r="F43" s="77">
        <f t="shared" si="1"/>
      </c>
      <c r="G43" s="78"/>
      <c r="H43" s="78"/>
      <c r="I43" s="78"/>
      <c r="J43" s="78"/>
      <c r="K43" s="79">
        <f t="shared" si="3"/>
      </c>
      <c r="L43" s="80">
        <f t="shared" si="2"/>
      </c>
      <c r="M43" s="81">
        <f t="shared" si="4"/>
      </c>
      <c r="N43" s="2"/>
      <c r="O43" s="30">
        <f t="shared" si="9"/>
      </c>
      <c r="P43" s="30">
        <f t="shared" si="10"/>
      </c>
      <c r="Q43" s="30">
        <f t="shared" si="11"/>
      </c>
      <c r="R43" s="30">
        <f t="shared" si="12"/>
      </c>
    </row>
    <row r="44" spans="1:18" hidden="1" outlineLevel="1" x14ac:dyDescent="0.45">
      <c r="A44" s="67">
        <f t="shared" si="0"/>
      </c>
      <c r="B44" s="74"/>
      <c r="C44" s="74"/>
      <c r="D44" s="75"/>
      <c r="E44" s="76"/>
      <c r="F44" s="77">
        <f t="shared" si="1"/>
      </c>
      <c r="G44" s="78"/>
      <c r="H44" s="78"/>
      <c r="I44" s="78"/>
      <c r="J44" s="78"/>
      <c r="K44" s="79">
        <f t="shared" si="3"/>
      </c>
      <c r="L44" s="80">
        <f t="shared" si="2"/>
      </c>
      <c r="M44" s="81">
        <f t="shared" si="4"/>
      </c>
      <c r="N44" s="2"/>
      <c r="O44" s="30">
        <f t="shared" si="9"/>
      </c>
      <c r="P44" s="30">
        <f t="shared" si="10"/>
      </c>
      <c r="Q44" s="30">
        <f t="shared" si="11"/>
      </c>
      <c r="R44" s="30">
        <f t="shared" si="12"/>
      </c>
    </row>
    <row r="45" spans="1:18" hidden="1" outlineLevel="1" x14ac:dyDescent="0.45">
      <c r="A45" s="67">
        <f t="shared" si="0"/>
      </c>
      <c r="B45" s="74"/>
      <c r="C45" s="74"/>
      <c r="D45" s="75"/>
      <c r="E45" s="76"/>
      <c r="F45" s="77">
        <f t="shared" si="1"/>
      </c>
      <c r="G45" s="78"/>
      <c r="H45" s="78"/>
      <c r="I45" s="78"/>
      <c r="J45" s="78"/>
      <c r="K45" s="79">
        <f t="shared" si="3"/>
      </c>
      <c r="L45" s="80">
        <f t="shared" si="2"/>
      </c>
      <c r="M45" s="81">
        <f t="shared" si="4"/>
      </c>
      <c r="N45" s="2"/>
      <c r="O45" s="30">
        <f t="shared" si="9"/>
      </c>
      <c r="P45" s="30">
        <f t="shared" si="10"/>
      </c>
      <c r="Q45" s="30">
        <f t="shared" si="11"/>
      </c>
      <c r="R45" s="30">
        <f t="shared" si="12"/>
      </c>
    </row>
    <row r="46" spans="1:18" hidden="1" outlineLevel="1" x14ac:dyDescent="0.45">
      <c r="A46" s="67">
        <f t="shared" si="0"/>
      </c>
      <c r="B46" s="74"/>
      <c r="C46" s="74"/>
      <c r="D46" s="75"/>
      <c r="E46" s="76"/>
      <c r="F46" s="77">
        <f t="shared" si="1"/>
      </c>
      <c r="G46" s="78"/>
      <c r="H46" s="78"/>
      <c r="I46" s="78"/>
      <c r="J46" s="78"/>
      <c r="K46" s="79">
        <f t="shared" si="3"/>
      </c>
      <c r="L46" s="80">
        <f t="shared" si="2"/>
      </c>
      <c r="M46" s="81">
        <f t="shared" si="4"/>
      </c>
      <c r="N46" s="2"/>
      <c r="O46" s="30">
        <f t="shared" si="9"/>
      </c>
      <c r="P46" s="30">
        <f t="shared" si="10"/>
      </c>
      <c r="Q46" s="30">
        <f t="shared" si="11"/>
      </c>
      <c r="R46" s="30">
        <f t="shared" si="12"/>
      </c>
    </row>
    <row r="47" spans="1:18" hidden="1" outlineLevel="1" x14ac:dyDescent="0.45">
      <c r="A47" s="67">
        <f t="shared" si="0"/>
      </c>
      <c r="B47" s="74"/>
      <c r="C47" s="74"/>
      <c r="D47" s="75"/>
      <c r="E47" s="76"/>
      <c r="F47" s="77">
        <f t="shared" si="1"/>
      </c>
      <c r="G47" s="78"/>
      <c r="H47" s="78"/>
      <c r="I47" s="78"/>
      <c r="J47" s="78"/>
      <c r="K47" s="79">
        <f t="shared" si="3"/>
      </c>
      <c r="L47" s="80">
        <f t="shared" si="2"/>
      </c>
      <c r="M47" s="81">
        <f t="shared" si="4"/>
      </c>
      <c r="N47" s="2"/>
      <c r="O47" s="30">
        <f t="shared" si="9"/>
      </c>
      <c r="P47" s="30">
        <f t="shared" si="10"/>
      </c>
      <c r="Q47" s="30">
        <f t="shared" si="11"/>
      </c>
      <c r="R47" s="30">
        <f t="shared" si="12"/>
      </c>
    </row>
    <row r="48" spans="1:18" hidden="1" outlineLevel="1" x14ac:dyDescent="0.45">
      <c r="A48" s="67">
        <f t="shared" si="0"/>
      </c>
      <c r="B48" s="74"/>
      <c r="C48" s="74"/>
      <c r="D48" s="75"/>
      <c r="E48" s="76"/>
      <c r="F48" s="77">
        <f t="shared" si="1"/>
      </c>
      <c r="G48" s="78"/>
      <c r="H48" s="78"/>
      <c r="I48" s="78"/>
      <c r="J48" s="78"/>
      <c r="K48" s="79">
        <f t="shared" si="3"/>
      </c>
      <c r="L48" s="80">
        <f t="shared" si="2"/>
      </c>
      <c r="M48" s="81">
        <f t="shared" si="4"/>
      </c>
      <c r="N48" s="2"/>
      <c r="O48" s="30">
        <f t="shared" si="9"/>
      </c>
      <c r="P48" s="30">
        <f t="shared" si="10"/>
      </c>
      <c r="Q48" s="30">
        <f t="shared" si="11"/>
      </c>
      <c r="R48" s="30">
        <f t="shared" si="12"/>
      </c>
    </row>
    <row r="49" spans="1:18" hidden="1" outlineLevel="1" x14ac:dyDescent="0.45">
      <c r="A49" s="67">
        <f t="shared" si="0"/>
      </c>
      <c r="B49" s="74"/>
      <c r="C49" s="74"/>
      <c r="D49" s="75"/>
      <c r="E49" s="76"/>
      <c r="F49" s="77">
        <f t="shared" si="1"/>
      </c>
      <c r="G49" s="78"/>
      <c r="H49" s="78"/>
      <c r="I49" s="78"/>
      <c r="J49" s="78"/>
      <c r="K49" s="79">
        <f t="shared" si="3"/>
      </c>
      <c r="L49" s="80">
        <f t="shared" si="2"/>
      </c>
      <c r="M49" s="81">
        <f t="shared" si="4"/>
      </c>
      <c r="N49" s="2"/>
      <c r="O49" s="30">
        <f t="shared" si="9"/>
      </c>
      <c r="P49" s="30">
        <f t="shared" si="10"/>
      </c>
      <c r="Q49" s="30">
        <f t="shared" si="11"/>
      </c>
      <c r="R49" s="30">
        <f t="shared" si="12"/>
      </c>
    </row>
    <row r="50" spans="1:18" hidden="1" outlineLevel="1" x14ac:dyDescent="0.45">
      <c r="A50" s="67">
        <f t="shared" si="0"/>
      </c>
      <c r="B50" s="74"/>
      <c r="C50" s="74"/>
      <c r="D50" s="75"/>
      <c r="E50" s="76"/>
      <c r="F50" s="77">
        <f t="shared" si="1"/>
      </c>
      <c r="G50" s="78"/>
      <c r="H50" s="78"/>
      <c r="I50" s="78"/>
      <c r="J50" s="78"/>
      <c r="K50" s="79">
        <f t="shared" si="3"/>
      </c>
      <c r="L50" s="80">
        <f t="shared" si="2"/>
      </c>
      <c r="M50" s="81">
        <f t="shared" si="4"/>
      </c>
      <c r="N50" s="2"/>
      <c r="O50" s="30">
        <f t="shared" si="9"/>
      </c>
      <c r="P50" s="30">
        <f t="shared" si="10"/>
      </c>
      <c r="Q50" s="30">
        <f t="shared" si="11"/>
      </c>
      <c r="R50" s="30">
        <f t="shared" si="12"/>
      </c>
    </row>
    <row r="51" spans="1:18" hidden="1" outlineLevel="1" x14ac:dyDescent="0.45">
      <c r="A51" s="67">
        <f t="shared" si="0"/>
      </c>
      <c r="B51" s="74"/>
      <c r="C51" s="74"/>
      <c r="D51" s="75"/>
      <c r="E51" s="76"/>
      <c r="F51" s="77">
        <f t="shared" si="1"/>
      </c>
      <c r="G51" s="78"/>
      <c r="H51" s="78"/>
      <c r="I51" s="78"/>
      <c r="J51" s="78"/>
      <c r="K51" s="79">
        <f t="shared" si="3"/>
      </c>
      <c r="L51" s="80">
        <f t="shared" si="2"/>
      </c>
      <c r="M51" s="81">
        <f t="shared" si="4"/>
      </c>
      <c r="N51" s="2"/>
      <c r="O51" s="30">
        <f t="shared" si="9"/>
      </c>
      <c r="P51" s="30">
        <f t="shared" si="10"/>
      </c>
      <c r="Q51" s="30">
        <f t="shared" si="11"/>
      </c>
      <c r="R51" s="30">
        <f t="shared" si="12"/>
      </c>
    </row>
    <row r="52" spans="1:18" hidden="1" outlineLevel="1" x14ac:dyDescent="0.45">
      <c r="A52" s="67">
        <f t="shared" si="0"/>
      </c>
      <c r="B52" s="74"/>
      <c r="C52" s="74"/>
      <c r="D52" s="75"/>
      <c r="E52" s="76"/>
      <c r="F52" s="77">
        <f t="shared" si="1"/>
      </c>
      <c r="G52" s="78"/>
      <c r="H52" s="78"/>
      <c r="I52" s="78"/>
      <c r="J52" s="78"/>
      <c r="K52" s="79">
        <f t="shared" si="3"/>
      </c>
      <c r="L52" s="80">
        <f t="shared" si="2"/>
      </c>
      <c r="M52" s="81">
        <f t="shared" si="4"/>
      </c>
      <c r="N52" s="2"/>
      <c r="O52" s="30">
        <f t="shared" si="9"/>
      </c>
      <c r="P52" s="30">
        <f t="shared" si="10"/>
      </c>
      <c r="Q52" s="30">
        <f t="shared" si="11"/>
      </c>
      <c r="R52" s="30">
        <f t="shared" si="12"/>
      </c>
    </row>
    <row r="53" spans="1:18" hidden="1" outlineLevel="1" x14ac:dyDescent="0.45">
      <c r="A53" s="67">
        <f t="shared" si="0"/>
      </c>
      <c r="B53" s="74"/>
      <c r="C53" s="74"/>
      <c r="D53" s="75"/>
      <c r="E53" s="76"/>
      <c r="F53" s="77">
        <f t="shared" si="1"/>
      </c>
      <c r="G53" s="78"/>
      <c r="H53" s="78"/>
      <c r="I53" s="78"/>
      <c r="J53" s="78"/>
      <c r="K53" s="79">
        <f t="shared" si="3"/>
      </c>
      <c r="L53" s="80">
        <f t="shared" si="2"/>
      </c>
      <c r="M53" s="81">
        <f t="shared" si="4"/>
      </c>
      <c r="N53" s="2"/>
      <c r="O53" s="30">
        <f t="shared" si="9"/>
      </c>
      <c r="P53" s="30">
        <f t="shared" si="10"/>
      </c>
      <c r="Q53" s="30">
        <f t="shared" si="11"/>
      </c>
      <c r="R53" s="30">
        <f t="shared" si="12"/>
      </c>
    </row>
    <row r="54" spans="1:18" hidden="1" outlineLevel="1" x14ac:dyDescent="0.45">
      <c r="A54" s="67">
        <f t="shared" si="0"/>
      </c>
      <c r="B54" s="74"/>
      <c r="C54" s="74"/>
      <c r="D54" s="75"/>
      <c r="E54" s="76"/>
      <c r="F54" s="77">
        <f t="shared" si="1"/>
      </c>
      <c r="G54" s="78"/>
      <c r="H54" s="78"/>
      <c r="I54" s="78"/>
      <c r="J54" s="78"/>
      <c r="K54" s="79">
        <f t="shared" si="3"/>
      </c>
      <c r="L54" s="80">
        <f t="shared" si="2"/>
      </c>
      <c r="M54" s="81">
        <f t="shared" si="4"/>
      </c>
      <c r="N54" s="2"/>
      <c r="O54" s="30">
        <f t="shared" si="9"/>
      </c>
      <c r="P54" s="30">
        <f t="shared" si="10"/>
      </c>
      <c r="Q54" s="30">
        <f t="shared" si="11"/>
      </c>
      <c r="R54" s="30">
        <f t="shared" si="12"/>
      </c>
    </row>
    <row r="55" spans="1:18" hidden="1" outlineLevel="1" x14ac:dyDescent="0.45">
      <c r="A55" s="67">
        <f t="shared" si="0"/>
      </c>
      <c r="B55" s="74"/>
      <c r="C55" s="74"/>
      <c r="D55" s="75"/>
      <c r="E55" s="76"/>
      <c r="F55" s="77">
        <f t="shared" si="1"/>
      </c>
      <c r="G55" s="78"/>
      <c r="H55" s="78"/>
      <c r="I55" s="78"/>
      <c r="J55" s="78"/>
      <c r="K55" s="79">
        <f t="shared" si="3"/>
      </c>
      <c r="L55" s="80">
        <f t="shared" si="2"/>
      </c>
      <c r="M55" s="81">
        <f t="shared" si="4"/>
      </c>
      <c r="N55" s="2"/>
      <c r="O55" s="30">
        <f t="shared" si="9"/>
      </c>
      <c r="P55" s="30">
        <f t="shared" si="10"/>
      </c>
      <c r="Q55" s="30">
        <f t="shared" si="11"/>
      </c>
      <c r="R55" s="30">
        <f t="shared" si="12"/>
      </c>
    </row>
    <row r="56" spans="1:18" hidden="1" outlineLevel="1" x14ac:dyDescent="0.45">
      <c r="A56" s="67">
        <f t="shared" si="0"/>
      </c>
      <c r="B56" s="74"/>
      <c r="C56" s="74"/>
      <c r="D56" s="75"/>
      <c r="E56" s="76"/>
      <c r="F56" s="77">
        <f t="shared" si="1"/>
      </c>
      <c r="G56" s="78"/>
      <c r="H56" s="78"/>
      <c r="I56" s="78"/>
      <c r="J56" s="78"/>
      <c r="K56" s="79">
        <f t="shared" si="3"/>
      </c>
      <c r="L56" s="80">
        <f t="shared" si="2"/>
      </c>
      <c r="M56" s="81">
        <f t="shared" si="4"/>
      </c>
      <c r="N56" s="2"/>
      <c r="O56" s="30">
        <f t="shared" si="9"/>
      </c>
      <c r="P56" s="30">
        <f t="shared" si="10"/>
      </c>
      <c r="Q56" s="30">
        <f t="shared" si="11"/>
      </c>
      <c r="R56" s="30">
        <f t="shared" si="12"/>
      </c>
    </row>
    <row r="57" spans="1:18" hidden="1" outlineLevel="1" x14ac:dyDescent="0.45">
      <c r="A57" s="67">
        <f t="shared" si="0"/>
      </c>
      <c r="B57" s="74"/>
      <c r="C57" s="74"/>
      <c r="D57" s="75"/>
      <c r="E57" s="76"/>
      <c r="F57" s="77">
        <f t="shared" si="1"/>
      </c>
      <c r="G57" s="78"/>
      <c r="H57" s="78"/>
      <c r="I57" s="78"/>
      <c r="J57" s="78"/>
      <c r="K57" s="79">
        <f t="shared" si="3"/>
      </c>
      <c r="L57" s="80">
        <f t="shared" si="2"/>
      </c>
      <c r="M57" s="81">
        <f t="shared" si="4"/>
      </c>
      <c r="N57" s="2"/>
      <c r="O57" s="30">
        <f t="shared" si="9"/>
      </c>
      <c r="P57" s="30">
        <f t="shared" si="10"/>
      </c>
      <c r="Q57" s="30">
        <f t="shared" si="11"/>
      </c>
      <c r="R57" s="30">
        <f t="shared" si="12"/>
      </c>
    </row>
    <row r="58" spans="1:18" hidden="1" outlineLevel="1" x14ac:dyDescent="0.45">
      <c r="A58" s="67">
        <f t="shared" si="0"/>
      </c>
      <c r="B58" s="74"/>
      <c r="C58" s="74"/>
      <c r="D58" s="75"/>
      <c r="E58" s="76"/>
      <c r="F58" s="77">
        <f t="shared" si="1"/>
      </c>
      <c r="G58" s="78"/>
      <c r="H58" s="78"/>
      <c r="I58" s="78"/>
      <c r="J58" s="78"/>
      <c r="K58" s="79">
        <f t="shared" si="3"/>
      </c>
      <c r="L58" s="80">
        <f t="shared" si="2"/>
      </c>
      <c r="M58" s="81">
        <f t="shared" si="4"/>
      </c>
      <c r="N58" s="2"/>
      <c r="O58" s="30">
        <f t="shared" si="9"/>
      </c>
      <c r="P58" s="30">
        <f t="shared" si="10"/>
      </c>
      <c r="Q58" s="30">
        <f t="shared" si="11"/>
      </c>
      <c r="R58" s="30">
        <f t="shared" si="12"/>
      </c>
    </row>
    <row r="59" spans="1:18" hidden="1" outlineLevel="1" x14ac:dyDescent="0.45">
      <c r="A59" s="67">
        <f t="shared" si="0"/>
      </c>
      <c r="B59" s="74"/>
      <c r="C59" s="74"/>
      <c r="D59" s="75"/>
      <c r="E59" s="76"/>
      <c r="F59" s="77">
        <f t="shared" si="1"/>
      </c>
      <c r="G59" s="78"/>
      <c r="H59" s="78"/>
      <c r="I59" s="78"/>
      <c r="J59" s="78"/>
      <c r="K59" s="79">
        <f t="shared" si="3"/>
      </c>
      <c r="L59" s="80">
        <f t="shared" si="2"/>
      </c>
      <c r="M59" s="81">
        <f t="shared" si="4"/>
      </c>
      <c r="N59" s="2"/>
      <c r="O59" s="30">
        <f t="shared" si="9"/>
      </c>
      <c r="P59" s="30">
        <f t="shared" si="10"/>
      </c>
      <c r="Q59" s="30">
        <f t="shared" si="11"/>
      </c>
      <c r="R59" s="30">
        <f t="shared" si="12"/>
      </c>
    </row>
    <row r="60" spans="1:18" hidden="1" outlineLevel="1" x14ac:dyDescent="0.45">
      <c r="A60" s="67">
        <f t="shared" si="0"/>
      </c>
      <c r="B60" s="74"/>
      <c r="C60" s="74"/>
      <c r="D60" s="75"/>
      <c r="E60" s="76"/>
      <c r="F60" s="77">
        <f t="shared" si="1"/>
      </c>
      <c r="G60" s="78"/>
      <c r="H60" s="78"/>
      <c r="I60" s="78"/>
      <c r="J60" s="78"/>
      <c r="K60" s="79">
        <f t="shared" si="3"/>
      </c>
      <c r="L60" s="80">
        <f t="shared" si="2"/>
      </c>
      <c r="M60" s="81">
        <f t="shared" si="4"/>
      </c>
      <c r="N60" s="2"/>
      <c r="O60" s="30">
        <f t="shared" si="9"/>
      </c>
      <c r="P60" s="30">
        <f t="shared" si="10"/>
      </c>
      <c r="Q60" s="30">
        <f t="shared" si="11"/>
      </c>
      <c r="R60" s="30">
        <f t="shared" si="12"/>
      </c>
    </row>
    <row r="61" spans="1:18" hidden="1" outlineLevel="1" x14ac:dyDescent="0.45">
      <c r="A61" s="67">
        <f t="shared" si="0"/>
      </c>
      <c r="B61" s="74"/>
      <c r="C61" s="74"/>
      <c r="D61" s="75"/>
      <c r="E61" s="76"/>
      <c r="F61" s="77">
        <f t="shared" si="1"/>
      </c>
      <c r="G61" s="78"/>
      <c r="H61" s="78"/>
      <c r="I61" s="78"/>
      <c r="J61" s="78"/>
      <c r="K61" s="79">
        <f t="shared" si="3"/>
      </c>
      <c r="L61" s="80">
        <f t="shared" si="2"/>
      </c>
      <c r="M61" s="81">
        <f t="shared" si="4"/>
      </c>
      <c r="N61" s="2"/>
      <c r="O61" s="30">
        <f t="shared" si="9"/>
      </c>
      <c r="P61" s="30">
        <f t="shared" si="10"/>
      </c>
      <c r="Q61" s="30">
        <f t="shared" si="11"/>
      </c>
      <c r="R61" s="30">
        <f t="shared" si="12"/>
      </c>
    </row>
    <row r="62" spans="1:18" hidden="1" outlineLevel="1" x14ac:dyDescent="0.45">
      <c r="A62" s="67">
        <f t="shared" si="0"/>
      </c>
      <c r="B62" s="74"/>
      <c r="C62" s="74"/>
      <c r="D62" s="75"/>
      <c r="E62" s="76"/>
      <c r="F62" s="77">
        <f t="shared" si="1"/>
      </c>
      <c r="G62" s="78"/>
      <c r="H62" s="78"/>
      <c r="I62" s="78"/>
      <c r="J62" s="78"/>
      <c r="K62" s="79">
        <f t="shared" si="3"/>
      </c>
      <c r="L62" s="80">
        <f t="shared" si="2"/>
      </c>
      <c r="M62" s="81">
        <f t="shared" si="4"/>
      </c>
      <c r="N62" s="2"/>
      <c r="O62" s="30">
        <f t="shared" si="9"/>
      </c>
      <c r="P62" s="30">
        <f t="shared" si="10"/>
      </c>
      <c r="Q62" s="30">
        <f t="shared" si="11"/>
      </c>
      <c r="R62" s="30">
        <f t="shared" si="12"/>
      </c>
    </row>
    <row r="63" spans="1:18" hidden="1" outlineLevel="1" x14ac:dyDescent="0.45">
      <c r="A63" s="67">
        <f t="shared" si="0"/>
      </c>
      <c r="B63" s="74"/>
      <c r="C63" s="74"/>
      <c r="D63" s="75"/>
      <c r="E63" s="76"/>
      <c r="F63" s="77">
        <f t="shared" si="1"/>
      </c>
      <c r="G63" s="78"/>
      <c r="H63" s="78"/>
      <c r="I63" s="78"/>
      <c r="J63" s="78"/>
      <c r="K63" s="79">
        <f t="shared" si="3"/>
      </c>
      <c r="L63" s="80">
        <f t="shared" si="2"/>
      </c>
      <c r="M63" s="81">
        <f t="shared" si="4"/>
      </c>
      <c r="N63" s="2"/>
      <c r="O63" s="30">
        <f t="shared" si="9"/>
      </c>
      <c r="P63" s="30">
        <f t="shared" si="10"/>
      </c>
      <c r="Q63" s="30">
        <f t="shared" si="11"/>
      </c>
      <c r="R63" s="30">
        <f t="shared" si="12"/>
      </c>
    </row>
    <row r="64" spans="1:18" hidden="1" outlineLevel="1" x14ac:dyDescent="0.45">
      <c r="A64" s="67">
        <f t="shared" si="0"/>
      </c>
      <c r="B64" s="74"/>
      <c r="C64" s="74"/>
      <c r="D64" s="75"/>
      <c r="E64" s="76"/>
      <c r="F64" s="77">
        <f t="shared" si="1"/>
      </c>
      <c r="G64" s="78"/>
      <c r="H64" s="78"/>
      <c r="I64" s="78"/>
      <c r="J64" s="78"/>
      <c r="K64" s="79">
        <f t="shared" si="3"/>
      </c>
      <c r="L64" s="80">
        <f t="shared" si="2"/>
      </c>
      <c r="M64" s="81">
        <f t="shared" si="4"/>
      </c>
      <c r="N64" s="2"/>
      <c r="O64" s="30">
        <f t="shared" si="9"/>
      </c>
      <c r="P64" s="30">
        <f t="shared" si="10"/>
      </c>
      <c r="Q64" s="30">
        <f t="shared" si="11"/>
      </c>
      <c r="R64" s="30">
        <f t="shared" si="12"/>
      </c>
    </row>
    <row r="65" spans="1:18" hidden="1" outlineLevel="1" x14ac:dyDescent="0.45">
      <c r="A65" s="67">
        <f t="shared" si="0"/>
      </c>
      <c r="B65" s="74"/>
      <c r="C65" s="74"/>
      <c r="D65" s="75"/>
      <c r="E65" s="76"/>
      <c r="F65" s="77">
        <f t="shared" si="1"/>
      </c>
      <c r="G65" s="78"/>
      <c r="H65" s="78"/>
      <c r="I65" s="78"/>
      <c r="J65" s="78"/>
      <c r="K65" s="79">
        <f t="shared" si="3"/>
      </c>
      <c r="L65" s="80">
        <f t="shared" si="2"/>
      </c>
      <c r="M65" s="81">
        <f t="shared" si="4"/>
      </c>
      <c r="N65" s="2"/>
      <c r="O65" s="30">
        <f t="shared" si="9"/>
      </c>
      <c r="P65" s="30">
        <f t="shared" si="10"/>
      </c>
      <c r="Q65" s="30">
        <f t="shared" si="11"/>
      </c>
      <c r="R65" s="30">
        <f t="shared" si="12"/>
      </c>
    </row>
    <row r="66" spans="1:18" hidden="1" outlineLevel="1" x14ac:dyDescent="0.45">
      <c r="A66" s="67">
        <f t="shared" si="0"/>
      </c>
      <c r="B66" s="74"/>
      <c r="C66" s="74"/>
      <c r="D66" s="75"/>
      <c r="E66" s="76"/>
      <c r="F66" s="77">
        <f t="shared" si="1"/>
      </c>
      <c r="G66" s="78"/>
      <c r="H66" s="78"/>
      <c r="I66" s="78"/>
      <c r="J66" s="78"/>
      <c r="K66" s="79">
        <f t="shared" si="3"/>
      </c>
      <c r="L66" s="80">
        <f t="shared" si="2"/>
      </c>
      <c r="M66" s="81">
        <f t="shared" si="4"/>
      </c>
      <c r="N66" s="2"/>
      <c r="O66" s="30">
        <f t="shared" si="9"/>
      </c>
      <c r="P66" s="30">
        <f t="shared" si="10"/>
      </c>
      <c r="Q66" s="30">
        <f t="shared" si="11"/>
      </c>
      <c r="R66" s="30">
        <f t="shared" si="12"/>
      </c>
    </row>
    <row r="67" spans="1:18" hidden="1" outlineLevel="1" x14ac:dyDescent="0.45">
      <c r="A67" s="67">
        <f t="shared" si="0"/>
      </c>
      <c r="B67" s="74"/>
      <c r="C67" s="74"/>
      <c r="D67" s="75"/>
      <c r="E67" s="76"/>
      <c r="F67" s="77">
        <f t="shared" si="1"/>
      </c>
      <c r="G67" s="78"/>
      <c r="H67" s="78"/>
      <c r="I67" s="78"/>
      <c r="J67" s="78"/>
      <c r="K67" s="79">
        <f t="shared" si="3"/>
      </c>
      <c r="L67" s="80">
        <f t="shared" si="2"/>
      </c>
      <c r="M67" s="81">
        <f t="shared" si="4"/>
      </c>
      <c r="N67" s="2"/>
      <c r="O67" s="30">
        <f t="shared" si="9"/>
      </c>
      <c r="P67" s="30">
        <f t="shared" si="10"/>
      </c>
      <c r="Q67" s="30">
        <f t="shared" si="11"/>
      </c>
      <c r="R67" s="30">
        <f t="shared" si="12"/>
      </c>
    </row>
    <row r="68" spans="1:18" hidden="1" outlineLevel="1" x14ac:dyDescent="0.45">
      <c r="A68" s="67">
        <f t="shared" ref="A68:A103" si="13">IF($B68="","",ROW()-3)</f>
      </c>
      <c r="B68" s="74"/>
      <c r="C68" s="74"/>
      <c r="D68" s="75"/>
      <c r="E68" s="76"/>
      <c r="F68" s="77">
        <f t="shared" ref="F68:F103" si="14">IF($B68="","",$D68*$E68)</f>
      </c>
      <c r="G68" s="78"/>
      <c r="H68" s="78"/>
      <c r="I68" s="78"/>
      <c r="J68" s="78"/>
      <c r="K68" s="79">
        <f t="shared" si="3"/>
      </c>
      <c r="L68" s="80">
        <f t="shared" ref="L68:L103" si="15">IF($B68="","",$D68-$K68)</f>
      </c>
      <c r="M68" s="81">
        <f t="shared" si="4"/>
      </c>
      <c r="N68" s="2"/>
      <c r="O68" s="30">
        <f t="shared" si="9"/>
      </c>
      <c r="P68" s="30">
        <f t="shared" si="10"/>
      </c>
      <c r="Q68" s="30">
        <f t="shared" si="11"/>
      </c>
      <c r="R68" s="30">
        <f t="shared" si="12"/>
      </c>
    </row>
    <row r="69" spans="1:18" hidden="1" outlineLevel="1" x14ac:dyDescent="0.45">
      <c r="A69" s="67">
        <f t="shared" si="13"/>
      </c>
      <c r="B69" s="74"/>
      <c r="C69" s="74"/>
      <c r="D69" s="75"/>
      <c r="E69" s="76"/>
      <c r="F69" s="77">
        <f t="shared" si="14"/>
      </c>
      <c r="G69" s="78"/>
      <c r="H69" s="78"/>
      <c r="I69" s="78"/>
      <c r="J69" s="78"/>
      <c r="K69" s="79">
        <f t="shared" ref="K69:K103" si="16">IF($B69="","",SUM($G69:$J69))</f>
      </c>
      <c r="L69" s="80">
        <f t="shared" si="15"/>
      </c>
      <c r="M69" s="81">
        <f t="shared" ref="M69:M103" si="17">IF($B69="","",IF($L69&lt;0,"⚠ OVER "&amp;TEXT(-$L69,"#,##0.00")&amp;" "&amp;$C69&amp;" - kurangi alokasi BAP",IF($L69=0,"✓ Alokasi penuh (sisa 0)","Sisa "&amp;TEXT($L69,"#,##0.00")&amp;" "&amp;$C69)))</f>
      </c>
      <c r="N69" s="2"/>
      <c r="O69" s="30">
        <f t="shared" si="9"/>
      </c>
      <c r="P69" s="30">
        <f t="shared" si="10"/>
      </c>
      <c r="Q69" s="30">
        <f t="shared" si="11"/>
      </c>
      <c r="R69" s="30">
        <f t="shared" si="12"/>
      </c>
    </row>
    <row r="70" spans="1:18" hidden="1" outlineLevel="1" x14ac:dyDescent="0.45">
      <c r="A70" s="67">
        <f t="shared" si="13"/>
      </c>
      <c r="B70" s="74"/>
      <c r="C70" s="74"/>
      <c r="D70" s="75"/>
      <c r="E70" s="76"/>
      <c r="F70" s="77">
        <f t="shared" si="14"/>
      </c>
      <c r="G70" s="78"/>
      <c r="H70" s="78"/>
      <c r="I70" s="78"/>
      <c r="J70" s="78"/>
      <c r="K70" s="79">
        <f t="shared" si="16"/>
      </c>
      <c r="L70" s="80">
        <f t="shared" si="15"/>
      </c>
      <c r="M70" s="81">
        <f t="shared" si="17"/>
      </c>
      <c r="N70" s="2"/>
      <c r="O70" s="30">
        <f t="shared" si="9"/>
      </c>
      <c r="P70" s="30">
        <f t="shared" si="10"/>
      </c>
      <c r="Q70" s="30">
        <f t="shared" si="11"/>
      </c>
      <c r="R70" s="30">
        <f t="shared" si="12"/>
      </c>
    </row>
    <row r="71" spans="1:18" hidden="1" outlineLevel="1" x14ac:dyDescent="0.45">
      <c r="A71" s="67">
        <f t="shared" si="13"/>
      </c>
      <c r="B71" s="74"/>
      <c r="C71" s="74"/>
      <c r="D71" s="75"/>
      <c r="E71" s="76"/>
      <c r="F71" s="77">
        <f t="shared" si="14"/>
      </c>
      <c r="G71" s="78"/>
      <c r="H71" s="78"/>
      <c r="I71" s="78"/>
      <c r="J71" s="78"/>
      <c r="K71" s="79">
        <f t="shared" si="16"/>
      </c>
      <c r="L71" s="80">
        <f t="shared" si="15"/>
      </c>
      <c r="M71" s="81">
        <f t="shared" si="17"/>
      </c>
      <c r="N71" s="2"/>
      <c r="O71" s="30">
        <f t="shared" si="9"/>
      </c>
      <c r="P71" s="30">
        <f t="shared" si="10"/>
      </c>
      <c r="Q71" s="30">
        <f t="shared" si="11"/>
      </c>
      <c r="R71" s="30">
        <f t="shared" si="12"/>
      </c>
    </row>
    <row r="72" spans="1:18" hidden="1" outlineLevel="1" x14ac:dyDescent="0.45">
      <c r="A72" s="67">
        <f t="shared" si="13"/>
      </c>
      <c r="B72" s="74"/>
      <c r="C72" s="74"/>
      <c r="D72" s="75"/>
      <c r="E72" s="76"/>
      <c r="F72" s="77">
        <f t="shared" si="14"/>
      </c>
      <c r="G72" s="78"/>
      <c r="H72" s="78"/>
      <c r="I72" s="78"/>
      <c r="J72" s="78"/>
      <c r="K72" s="79">
        <f t="shared" si="16"/>
      </c>
      <c r="L72" s="80">
        <f t="shared" si="15"/>
      </c>
      <c r="M72" s="81">
        <f t="shared" si="17"/>
      </c>
      <c r="N72" s="2"/>
      <c r="O72" s="30">
        <f t="shared" si="9"/>
      </c>
      <c r="P72" s="30">
        <f t="shared" si="10"/>
      </c>
      <c r="Q72" s="30">
        <f t="shared" si="11"/>
      </c>
      <c r="R72" s="30">
        <f t="shared" si="12"/>
      </c>
    </row>
    <row r="73" spans="1:18" hidden="1" outlineLevel="1" x14ac:dyDescent="0.45">
      <c r="A73" s="67">
        <f t="shared" si="13"/>
      </c>
      <c r="B73" s="74"/>
      <c r="C73" s="74"/>
      <c r="D73" s="75"/>
      <c r="E73" s="76"/>
      <c r="F73" s="77">
        <f t="shared" si="14"/>
      </c>
      <c r="G73" s="78"/>
      <c r="H73" s="78"/>
      <c r="I73" s="78"/>
      <c r="J73" s="78"/>
      <c r="K73" s="79">
        <f t="shared" si="16"/>
      </c>
      <c r="L73" s="80">
        <f t="shared" si="15"/>
      </c>
      <c r="M73" s="81">
        <f t="shared" si="17"/>
      </c>
      <c r="N73" s="2"/>
      <c r="O73" s="30">
        <f t="shared" si="9"/>
      </c>
      <c r="P73" s="30">
        <f t="shared" si="10"/>
      </c>
      <c r="Q73" s="30">
        <f t="shared" si="11"/>
      </c>
      <c r="R73" s="30">
        <f t="shared" si="12"/>
      </c>
    </row>
    <row r="74" spans="1:18" hidden="1" outlineLevel="1" x14ac:dyDescent="0.45">
      <c r="A74" s="67">
        <f t="shared" si="13"/>
      </c>
      <c r="B74" s="74"/>
      <c r="C74" s="74"/>
      <c r="D74" s="75"/>
      <c r="E74" s="76"/>
      <c r="F74" s="77">
        <f t="shared" si="14"/>
      </c>
      <c r="G74" s="78"/>
      <c r="H74" s="78"/>
      <c r="I74" s="78"/>
      <c r="J74" s="78"/>
      <c r="K74" s="79">
        <f t="shared" si="16"/>
      </c>
      <c r="L74" s="80">
        <f t="shared" si="15"/>
      </c>
      <c r="M74" s="81">
        <f t="shared" si="17"/>
      </c>
      <c r="N74" s="2"/>
      <c r="O74" s="30">
        <f t="shared" si="9"/>
      </c>
      <c r="P74" s="30">
        <f t="shared" si="10"/>
      </c>
      <c r="Q74" s="30">
        <f t="shared" si="11"/>
      </c>
      <c r="R74" s="30">
        <f t="shared" si="12"/>
      </c>
    </row>
    <row r="75" spans="1:18" hidden="1" outlineLevel="1" x14ac:dyDescent="0.45">
      <c r="A75" s="67">
        <f t="shared" si="13"/>
      </c>
      <c r="B75" s="74"/>
      <c r="C75" s="74"/>
      <c r="D75" s="75"/>
      <c r="E75" s="76"/>
      <c r="F75" s="77">
        <f t="shared" si="14"/>
      </c>
      <c r="G75" s="78"/>
      <c r="H75" s="78"/>
      <c r="I75" s="78"/>
      <c r="J75" s="78"/>
      <c r="K75" s="79">
        <f t="shared" si="16"/>
      </c>
      <c r="L75" s="80">
        <f t="shared" si="15"/>
      </c>
      <c r="M75" s="81">
        <f t="shared" si="17"/>
      </c>
      <c r="N75" s="2"/>
      <c r="O75" s="30">
        <f t="shared" si="9"/>
      </c>
      <c r="P75" s="30">
        <f t="shared" si="10"/>
      </c>
      <c r="Q75" s="30">
        <f t="shared" si="11"/>
      </c>
      <c r="R75" s="30">
        <f t="shared" si="12"/>
      </c>
    </row>
    <row r="76" spans="1:18" hidden="1" outlineLevel="1" x14ac:dyDescent="0.45">
      <c r="A76" s="67">
        <f t="shared" si="13"/>
      </c>
      <c r="B76" s="74"/>
      <c r="C76" s="74"/>
      <c r="D76" s="75"/>
      <c r="E76" s="76"/>
      <c r="F76" s="77">
        <f t="shared" si="14"/>
      </c>
      <c r="G76" s="78"/>
      <c r="H76" s="78"/>
      <c r="I76" s="78"/>
      <c r="J76" s="78"/>
      <c r="K76" s="79">
        <f t="shared" si="16"/>
      </c>
      <c r="L76" s="80">
        <f t="shared" si="15"/>
      </c>
      <c r="M76" s="81">
        <f t="shared" si="17"/>
      </c>
      <c r="N76" s="2"/>
      <c r="O76" s="30">
        <f t="shared" si="9"/>
      </c>
      <c r="P76" s="30">
        <f t="shared" si="10"/>
      </c>
      <c r="Q76" s="30">
        <f t="shared" si="11"/>
      </c>
      <c r="R76" s="30">
        <f t="shared" si="12"/>
      </c>
    </row>
    <row r="77" spans="1:18" hidden="1" outlineLevel="1" x14ac:dyDescent="0.45">
      <c r="A77" s="67">
        <f t="shared" si="13"/>
      </c>
      <c r="B77" s="74"/>
      <c r="C77" s="74"/>
      <c r="D77" s="75"/>
      <c r="E77" s="76"/>
      <c r="F77" s="77">
        <f t="shared" si="14"/>
      </c>
      <c r="G77" s="78"/>
      <c r="H77" s="78"/>
      <c r="I77" s="78"/>
      <c r="J77" s="78"/>
      <c r="K77" s="79">
        <f t="shared" si="16"/>
      </c>
      <c r="L77" s="80">
        <f t="shared" si="15"/>
      </c>
      <c r="M77" s="81">
        <f t="shared" si="17"/>
      </c>
      <c r="N77" s="2"/>
      <c r="O77" s="30">
        <f t="shared" si="9"/>
      </c>
      <c r="P77" s="30">
        <f t="shared" si="10"/>
      </c>
      <c r="Q77" s="30">
        <f t="shared" si="11"/>
      </c>
      <c r="R77" s="30">
        <f t="shared" si="12"/>
      </c>
    </row>
    <row r="78" spans="1:18" hidden="1" outlineLevel="1" x14ac:dyDescent="0.45">
      <c r="A78" s="67">
        <f t="shared" si="13"/>
      </c>
      <c r="B78" s="74"/>
      <c r="C78" s="74"/>
      <c r="D78" s="75"/>
      <c r="E78" s="76"/>
      <c r="F78" s="77">
        <f t="shared" si="14"/>
      </c>
      <c r="G78" s="78"/>
      <c r="H78" s="78"/>
      <c r="I78" s="78"/>
      <c r="J78" s="78"/>
      <c r="K78" s="79">
        <f t="shared" si="16"/>
      </c>
      <c r="L78" s="80">
        <f t="shared" si="15"/>
      </c>
      <c r="M78" s="81">
        <f t="shared" si="17"/>
      </c>
      <c r="N78" s="2"/>
      <c r="O78" s="30">
        <f t="shared" si="9"/>
      </c>
      <c r="P78" s="30">
        <f t="shared" si="10"/>
      </c>
      <c r="Q78" s="30">
        <f t="shared" si="11"/>
      </c>
      <c r="R78" s="30">
        <f t="shared" si="12"/>
      </c>
    </row>
    <row r="79" spans="1:18" hidden="1" outlineLevel="1" x14ac:dyDescent="0.45">
      <c r="A79" s="67">
        <f t="shared" si="13"/>
      </c>
      <c r="B79" s="74"/>
      <c r="C79" s="74"/>
      <c r="D79" s="75"/>
      <c r="E79" s="76"/>
      <c r="F79" s="77">
        <f t="shared" si="14"/>
      </c>
      <c r="G79" s="78"/>
      <c r="H79" s="78"/>
      <c r="I79" s="78"/>
      <c r="J79" s="78"/>
      <c r="K79" s="79">
        <f t="shared" si="16"/>
      </c>
      <c r="L79" s="80">
        <f t="shared" si="15"/>
      </c>
      <c r="M79" s="81">
        <f t="shared" si="17"/>
      </c>
      <c r="N79" s="2"/>
      <c r="O79" s="30">
        <f t="shared" si="9"/>
      </c>
      <c r="P79" s="30">
        <f t="shared" si="10"/>
      </c>
      <c r="Q79" s="30">
        <f t="shared" si="11"/>
      </c>
      <c r="R79" s="30">
        <f t="shared" si="12"/>
      </c>
    </row>
    <row r="80" spans="1:18" hidden="1" outlineLevel="1" x14ac:dyDescent="0.45">
      <c r="A80" s="67">
        <f t="shared" si="13"/>
      </c>
      <c r="B80" s="74"/>
      <c r="C80" s="74"/>
      <c r="D80" s="75"/>
      <c r="E80" s="76"/>
      <c r="F80" s="77">
        <f t="shared" si="14"/>
      </c>
      <c r="G80" s="78"/>
      <c r="H80" s="78"/>
      <c r="I80" s="78"/>
      <c r="J80" s="78"/>
      <c r="K80" s="79">
        <f t="shared" si="16"/>
      </c>
      <c r="L80" s="80">
        <f t="shared" si="15"/>
      </c>
      <c r="M80" s="81">
        <f t="shared" si="17"/>
      </c>
      <c r="N80" s="2"/>
      <c r="O80" s="30">
        <f t="shared" si="9"/>
      </c>
      <c r="P80" s="30">
        <f t="shared" si="10"/>
      </c>
      <c r="Q80" s="30">
        <f t="shared" si="11"/>
      </c>
      <c r="R80" s="30">
        <f t="shared" si="12"/>
      </c>
    </row>
    <row r="81" spans="1:18" hidden="1" outlineLevel="1" x14ac:dyDescent="0.45">
      <c r="A81" s="67">
        <f t="shared" si="13"/>
      </c>
      <c r="B81" s="74"/>
      <c r="C81" s="74"/>
      <c r="D81" s="75"/>
      <c r="E81" s="76"/>
      <c r="F81" s="77">
        <f t="shared" si="14"/>
      </c>
      <c r="G81" s="78"/>
      <c r="H81" s="78"/>
      <c r="I81" s="78"/>
      <c r="J81" s="78"/>
      <c r="K81" s="79">
        <f t="shared" si="16"/>
      </c>
      <c r="L81" s="80">
        <f t="shared" si="15"/>
      </c>
      <c r="M81" s="81">
        <f t="shared" si="17"/>
      </c>
      <c r="N81" s="2"/>
      <c r="O81" s="30">
        <f t="shared" si="9"/>
      </c>
      <c r="P81" s="30">
        <f t="shared" si="10"/>
      </c>
      <c r="Q81" s="30">
        <f t="shared" si="11"/>
      </c>
      <c r="R81" s="30">
        <f t="shared" si="12"/>
      </c>
    </row>
    <row r="82" spans="1:18" hidden="1" outlineLevel="1" x14ac:dyDescent="0.45">
      <c r="A82" s="67">
        <f t="shared" si="13"/>
      </c>
      <c r="B82" s="74"/>
      <c r="C82" s="74"/>
      <c r="D82" s="75"/>
      <c r="E82" s="76"/>
      <c r="F82" s="77">
        <f t="shared" si="14"/>
      </c>
      <c r="G82" s="78"/>
      <c r="H82" s="78"/>
      <c r="I82" s="78"/>
      <c r="J82" s="78"/>
      <c r="K82" s="79">
        <f t="shared" si="16"/>
      </c>
      <c r="L82" s="80">
        <f t="shared" si="15"/>
      </c>
      <c r="M82" s="81">
        <f t="shared" si="17"/>
      </c>
      <c r="N82" s="2"/>
      <c r="O82" s="30">
        <f t="shared" si="9"/>
      </c>
      <c r="P82" s="30">
        <f t="shared" si="10"/>
      </c>
      <c r="Q82" s="30">
        <f t="shared" si="11"/>
      </c>
      <c r="R82" s="30">
        <f t="shared" si="12"/>
      </c>
    </row>
    <row r="83" spans="1:18" hidden="1" outlineLevel="1" x14ac:dyDescent="0.45">
      <c r="A83" s="67">
        <f t="shared" si="13"/>
      </c>
      <c r="B83" s="74"/>
      <c r="C83" s="74"/>
      <c r="D83" s="75"/>
      <c r="E83" s="76"/>
      <c r="F83" s="77">
        <f t="shared" si="14"/>
      </c>
      <c r="G83" s="78"/>
      <c r="H83" s="78"/>
      <c r="I83" s="78"/>
      <c r="J83" s="78"/>
      <c r="K83" s="79">
        <f t="shared" si="16"/>
      </c>
      <c r="L83" s="80">
        <f t="shared" si="15"/>
      </c>
      <c r="M83" s="81">
        <f t="shared" si="17"/>
      </c>
      <c r="N83" s="2"/>
      <c r="O83" s="30">
        <f t="shared" si="9"/>
      </c>
      <c r="P83" s="30">
        <f t="shared" si="10"/>
      </c>
      <c r="Q83" s="30">
        <f t="shared" si="11"/>
      </c>
      <c r="R83" s="30">
        <f t="shared" si="12"/>
      </c>
    </row>
    <row r="84" spans="1:18" hidden="1" outlineLevel="1" x14ac:dyDescent="0.45">
      <c r="A84" s="67">
        <f t="shared" si="13"/>
      </c>
      <c r="B84" s="74"/>
      <c r="C84" s="74"/>
      <c r="D84" s="75"/>
      <c r="E84" s="76"/>
      <c r="F84" s="77">
        <f t="shared" si="14"/>
      </c>
      <c r="G84" s="78"/>
      <c r="H84" s="78"/>
      <c r="I84" s="78"/>
      <c r="J84" s="78"/>
      <c r="K84" s="79">
        <f t="shared" si="16"/>
      </c>
      <c r="L84" s="80">
        <f t="shared" si="15"/>
      </c>
      <c r="M84" s="81">
        <f t="shared" si="17"/>
      </c>
      <c r="N84" s="2"/>
      <c r="O84" s="30">
        <f t="shared" si="9"/>
      </c>
      <c r="P84" s="30">
        <f t="shared" si="10"/>
      </c>
      <c r="Q84" s="30">
        <f t="shared" si="11"/>
      </c>
      <c r="R84" s="30">
        <f t="shared" si="12"/>
      </c>
    </row>
    <row r="85" spans="1:18" hidden="1" outlineLevel="1" x14ac:dyDescent="0.45">
      <c r="A85" s="67">
        <f t="shared" si="13"/>
      </c>
      <c r="B85" s="74"/>
      <c r="C85" s="74"/>
      <c r="D85" s="75"/>
      <c r="E85" s="76"/>
      <c r="F85" s="77">
        <f t="shared" si="14"/>
      </c>
      <c r="G85" s="78"/>
      <c r="H85" s="78"/>
      <c r="I85" s="78"/>
      <c r="J85" s="78"/>
      <c r="K85" s="79">
        <f t="shared" si="16"/>
      </c>
      <c r="L85" s="80">
        <f t="shared" si="15"/>
      </c>
      <c r="M85" s="81">
        <f t="shared" si="17"/>
      </c>
      <c r="N85" s="2"/>
      <c r="O85" s="30">
        <f t="shared" si="9"/>
      </c>
      <c r="P85" s="30">
        <f t="shared" si="10"/>
      </c>
      <c r="Q85" s="30">
        <f t="shared" si="11"/>
      </c>
      <c r="R85" s="30">
        <f t="shared" si="12"/>
      </c>
    </row>
    <row r="86" spans="1:18" hidden="1" outlineLevel="1" x14ac:dyDescent="0.45">
      <c r="A86" s="67">
        <f t="shared" si="13"/>
      </c>
      <c r="B86" s="74"/>
      <c r="C86" s="74"/>
      <c r="D86" s="75"/>
      <c r="E86" s="76"/>
      <c r="F86" s="77">
        <f t="shared" si="14"/>
      </c>
      <c r="G86" s="78"/>
      <c r="H86" s="78"/>
      <c r="I86" s="78"/>
      <c r="J86" s="78"/>
      <c r="K86" s="79">
        <f t="shared" si="16"/>
      </c>
      <c r="L86" s="80">
        <f t="shared" si="15"/>
      </c>
      <c r="M86" s="81">
        <f t="shared" si="17"/>
      </c>
      <c r="N86" s="2"/>
      <c r="O86" s="30">
        <f t="shared" si="9"/>
      </c>
      <c r="P86" s="30">
        <f t="shared" si="10"/>
      </c>
      <c r="Q86" s="30">
        <f t="shared" si="11"/>
      </c>
      <c r="R86" s="30">
        <f t="shared" si="12"/>
      </c>
    </row>
    <row r="87" spans="1:18" hidden="1" outlineLevel="1" x14ac:dyDescent="0.45">
      <c r="A87" s="67">
        <f t="shared" si="13"/>
      </c>
      <c r="B87" s="74"/>
      <c r="C87" s="74"/>
      <c r="D87" s="75"/>
      <c r="E87" s="76"/>
      <c r="F87" s="77">
        <f t="shared" si="14"/>
      </c>
      <c r="G87" s="78"/>
      <c r="H87" s="78"/>
      <c r="I87" s="78"/>
      <c r="J87" s="78"/>
      <c r="K87" s="79">
        <f t="shared" si="16"/>
      </c>
      <c r="L87" s="80">
        <f t="shared" si="15"/>
      </c>
      <c r="M87" s="81">
        <f t="shared" si="17"/>
      </c>
      <c r="N87" s="2"/>
      <c r="O87" s="30">
        <f t="shared" si="9"/>
      </c>
      <c r="P87" s="30">
        <f t="shared" si="10"/>
      </c>
      <c r="Q87" s="30">
        <f t="shared" si="11"/>
      </c>
      <c r="R87" s="30">
        <f t="shared" si="12"/>
      </c>
    </row>
    <row r="88" spans="1:18" hidden="1" outlineLevel="1" x14ac:dyDescent="0.45">
      <c r="A88" s="67">
        <f t="shared" si="13"/>
      </c>
      <c r="B88" s="74"/>
      <c r="C88" s="74"/>
      <c r="D88" s="75"/>
      <c r="E88" s="76"/>
      <c r="F88" s="77">
        <f t="shared" si="14"/>
      </c>
      <c r="G88" s="78"/>
      <c r="H88" s="78"/>
      <c r="I88" s="78"/>
      <c r="J88" s="78"/>
      <c r="K88" s="79">
        <f t="shared" si="16"/>
      </c>
      <c r="L88" s="80">
        <f t="shared" si="15"/>
      </c>
      <c r="M88" s="81">
        <f t="shared" si="17"/>
      </c>
      <c r="N88" s="2"/>
      <c r="O88" s="30">
        <f t="shared" ref="O88:O103" si="18">IF(OR($B88="",N(G88)=0),"",$E88-ROW()/1000000)</f>
      </c>
      <c r="P88" s="30">
        <f t="shared" ref="P88:P103" si="19">IF(OR($B88="",N(H88)=0),"",$E88-ROW()/1000000)</f>
      </c>
      <c r="Q88" s="30">
        <f t="shared" ref="Q88:Q103" si="20">IF(OR($B88="",N(I88)=0),"",$E88-ROW()/1000000)</f>
      </c>
      <c r="R88" s="30">
        <f t="shared" ref="R88:R103" si="21">IF(OR($B88="",N(J88)=0),"",$E88-ROW()/1000000)</f>
      </c>
    </row>
    <row r="89" spans="1:18" hidden="1" outlineLevel="1" x14ac:dyDescent="0.45">
      <c r="A89" s="67">
        <f t="shared" si="13"/>
      </c>
      <c r="B89" s="74"/>
      <c r="C89" s="74"/>
      <c r="D89" s="75"/>
      <c r="E89" s="76"/>
      <c r="F89" s="77">
        <f t="shared" si="14"/>
      </c>
      <c r="G89" s="78"/>
      <c r="H89" s="78"/>
      <c r="I89" s="78"/>
      <c r="J89" s="78"/>
      <c r="K89" s="79">
        <f t="shared" si="16"/>
      </c>
      <c r="L89" s="80">
        <f t="shared" si="15"/>
      </c>
      <c r="M89" s="81">
        <f t="shared" si="17"/>
      </c>
      <c r="N89" s="2"/>
      <c r="O89" s="30">
        <f t="shared" si="18"/>
      </c>
      <c r="P89" s="30">
        <f t="shared" si="19"/>
      </c>
      <c r="Q89" s="30">
        <f t="shared" si="20"/>
      </c>
      <c r="R89" s="30">
        <f t="shared" si="21"/>
      </c>
    </row>
    <row r="90" spans="1:18" hidden="1" outlineLevel="1" x14ac:dyDescent="0.45">
      <c r="A90" s="67">
        <f t="shared" si="13"/>
      </c>
      <c r="B90" s="74"/>
      <c r="C90" s="74"/>
      <c r="D90" s="75"/>
      <c r="E90" s="76"/>
      <c r="F90" s="77">
        <f t="shared" si="14"/>
      </c>
      <c r="G90" s="78"/>
      <c r="H90" s="78"/>
      <c r="I90" s="78"/>
      <c r="J90" s="78"/>
      <c r="K90" s="79">
        <f t="shared" si="16"/>
      </c>
      <c r="L90" s="80">
        <f t="shared" si="15"/>
      </c>
      <c r="M90" s="81">
        <f t="shared" si="17"/>
      </c>
      <c r="N90" s="2"/>
      <c r="O90" s="30">
        <f t="shared" si="18"/>
      </c>
      <c r="P90" s="30">
        <f t="shared" si="19"/>
      </c>
      <c r="Q90" s="30">
        <f t="shared" si="20"/>
      </c>
      <c r="R90" s="30">
        <f t="shared" si="21"/>
      </c>
    </row>
    <row r="91" spans="1:18" hidden="1" outlineLevel="1" x14ac:dyDescent="0.45">
      <c r="A91" s="67">
        <f t="shared" si="13"/>
      </c>
      <c r="B91" s="74"/>
      <c r="C91" s="74"/>
      <c r="D91" s="75"/>
      <c r="E91" s="76"/>
      <c r="F91" s="77">
        <f t="shared" si="14"/>
      </c>
      <c r="G91" s="78"/>
      <c r="H91" s="78"/>
      <c r="I91" s="78"/>
      <c r="J91" s="78"/>
      <c r="K91" s="79">
        <f t="shared" si="16"/>
      </c>
      <c r="L91" s="80">
        <f t="shared" si="15"/>
      </c>
      <c r="M91" s="81">
        <f t="shared" si="17"/>
      </c>
      <c r="N91" s="2"/>
      <c r="O91" s="30">
        <f t="shared" si="18"/>
      </c>
      <c r="P91" s="30">
        <f t="shared" si="19"/>
      </c>
      <c r="Q91" s="30">
        <f t="shared" si="20"/>
      </c>
      <c r="R91" s="30">
        <f t="shared" si="21"/>
      </c>
    </row>
    <row r="92" spans="1:18" hidden="1" outlineLevel="1" x14ac:dyDescent="0.45">
      <c r="A92" s="67">
        <f t="shared" si="13"/>
      </c>
      <c r="B92" s="74"/>
      <c r="C92" s="74"/>
      <c r="D92" s="75"/>
      <c r="E92" s="76"/>
      <c r="F92" s="77">
        <f t="shared" si="14"/>
      </c>
      <c r="G92" s="78"/>
      <c r="H92" s="78"/>
      <c r="I92" s="78"/>
      <c r="J92" s="78"/>
      <c r="K92" s="79">
        <f t="shared" si="16"/>
      </c>
      <c r="L92" s="80">
        <f t="shared" si="15"/>
      </c>
      <c r="M92" s="81">
        <f t="shared" si="17"/>
      </c>
      <c r="N92" s="2"/>
      <c r="O92" s="30">
        <f t="shared" si="18"/>
      </c>
      <c r="P92" s="30">
        <f t="shared" si="19"/>
      </c>
      <c r="Q92" s="30">
        <f t="shared" si="20"/>
      </c>
      <c r="R92" s="30">
        <f t="shared" si="21"/>
      </c>
    </row>
    <row r="93" spans="1:18" hidden="1" outlineLevel="1" x14ac:dyDescent="0.45">
      <c r="A93" s="67">
        <f t="shared" si="13"/>
      </c>
      <c r="B93" s="74"/>
      <c r="C93" s="74"/>
      <c r="D93" s="75"/>
      <c r="E93" s="76"/>
      <c r="F93" s="77">
        <f t="shared" si="14"/>
      </c>
      <c r="G93" s="78"/>
      <c r="H93" s="78"/>
      <c r="I93" s="78"/>
      <c r="J93" s="78"/>
      <c r="K93" s="79">
        <f t="shared" si="16"/>
      </c>
      <c r="L93" s="80">
        <f t="shared" si="15"/>
      </c>
      <c r="M93" s="81">
        <f t="shared" si="17"/>
      </c>
      <c r="N93" s="2"/>
      <c r="O93" s="30">
        <f t="shared" si="18"/>
      </c>
      <c r="P93" s="30">
        <f t="shared" si="19"/>
      </c>
      <c r="Q93" s="30">
        <f t="shared" si="20"/>
      </c>
      <c r="R93" s="30">
        <f t="shared" si="21"/>
      </c>
    </row>
    <row r="94" spans="1:18" hidden="1" outlineLevel="1" x14ac:dyDescent="0.45">
      <c r="A94" s="67">
        <f t="shared" si="13"/>
      </c>
      <c r="B94" s="74"/>
      <c r="C94" s="74"/>
      <c r="D94" s="75"/>
      <c r="E94" s="76"/>
      <c r="F94" s="77">
        <f t="shared" si="14"/>
      </c>
      <c r="G94" s="78"/>
      <c r="H94" s="78"/>
      <c r="I94" s="78"/>
      <c r="J94" s="78"/>
      <c r="K94" s="79">
        <f t="shared" si="16"/>
      </c>
      <c r="L94" s="80">
        <f t="shared" si="15"/>
      </c>
      <c r="M94" s="81">
        <f t="shared" si="17"/>
      </c>
      <c r="N94" s="2"/>
      <c r="O94" s="30">
        <f t="shared" si="18"/>
      </c>
      <c r="P94" s="30">
        <f t="shared" si="19"/>
      </c>
      <c r="Q94" s="30">
        <f t="shared" si="20"/>
      </c>
      <c r="R94" s="30">
        <f t="shared" si="21"/>
      </c>
    </row>
    <row r="95" spans="1:18" hidden="1" outlineLevel="1" x14ac:dyDescent="0.45">
      <c r="A95" s="67">
        <f t="shared" si="13"/>
      </c>
      <c r="B95" s="74"/>
      <c r="C95" s="74"/>
      <c r="D95" s="75"/>
      <c r="E95" s="76"/>
      <c r="F95" s="77">
        <f t="shared" si="14"/>
      </c>
      <c r="G95" s="78"/>
      <c r="H95" s="78"/>
      <c r="I95" s="78"/>
      <c r="J95" s="78"/>
      <c r="K95" s="79">
        <f t="shared" si="16"/>
      </c>
      <c r="L95" s="80">
        <f t="shared" si="15"/>
      </c>
      <c r="M95" s="81">
        <f t="shared" si="17"/>
      </c>
      <c r="N95" s="2"/>
      <c r="O95" s="30">
        <f t="shared" si="18"/>
      </c>
      <c r="P95" s="30">
        <f t="shared" si="19"/>
      </c>
      <c r="Q95" s="30">
        <f t="shared" si="20"/>
      </c>
      <c r="R95" s="30">
        <f t="shared" si="21"/>
      </c>
    </row>
    <row r="96" spans="1:18" hidden="1" outlineLevel="1" x14ac:dyDescent="0.45">
      <c r="A96" s="67">
        <f t="shared" si="13"/>
      </c>
      <c r="B96" s="74"/>
      <c r="C96" s="74"/>
      <c r="D96" s="75"/>
      <c r="E96" s="76"/>
      <c r="F96" s="77">
        <f t="shared" si="14"/>
      </c>
      <c r="G96" s="78"/>
      <c r="H96" s="78"/>
      <c r="I96" s="78"/>
      <c r="J96" s="78"/>
      <c r="K96" s="79">
        <f t="shared" si="16"/>
      </c>
      <c r="L96" s="80">
        <f t="shared" si="15"/>
      </c>
      <c r="M96" s="81">
        <f t="shared" si="17"/>
      </c>
      <c r="N96" s="2"/>
      <c r="O96" s="30">
        <f t="shared" si="18"/>
      </c>
      <c r="P96" s="30">
        <f t="shared" si="19"/>
      </c>
      <c r="Q96" s="30">
        <f t="shared" si="20"/>
      </c>
      <c r="R96" s="30">
        <f t="shared" si="21"/>
      </c>
    </row>
    <row r="97" spans="1:18" hidden="1" outlineLevel="1" x14ac:dyDescent="0.45">
      <c r="A97" s="67">
        <f t="shared" si="13"/>
      </c>
      <c r="B97" s="74"/>
      <c r="C97" s="74"/>
      <c r="D97" s="75"/>
      <c r="E97" s="76"/>
      <c r="F97" s="77">
        <f t="shared" si="14"/>
      </c>
      <c r="G97" s="78"/>
      <c r="H97" s="78"/>
      <c r="I97" s="78"/>
      <c r="J97" s="78"/>
      <c r="K97" s="79">
        <f t="shared" si="16"/>
      </c>
      <c r="L97" s="80">
        <f t="shared" si="15"/>
      </c>
      <c r="M97" s="81">
        <f t="shared" si="17"/>
      </c>
      <c r="N97" s="2"/>
      <c r="O97" s="30">
        <f t="shared" si="18"/>
      </c>
      <c r="P97" s="30">
        <f t="shared" si="19"/>
      </c>
      <c r="Q97" s="30">
        <f t="shared" si="20"/>
      </c>
      <c r="R97" s="30">
        <f t="shared" si="21"/>
      </c>
    </row>
    <row r="98" spans="1:18" hidden="1" outlineLevel="1" x14ac:dyDescent="0.45">
      <c r="A98" s="67">
        <f t="shared" si="13"/>
      </c>
      <c r="B98" s="74"/>
      <c r="C98" s="74"/>
      <c r="D98" s="75"/>
      <c r="E98" s="76"/>
      <c r="F98" s="77">
        <f t="shared" si="14"/>
      </c>
      <c r="G98" s="78"/>
      <c r="H98" s="78"/>
      <c r="I98" s="78"/>
      <c r="J98" s="78"/>
      <c r="K98" s="79">
        <f t="shared" si="16"/>
      </c>
      <c r="L98" s="80">
        <f t="shared" si="15"/>
      </c>
      <c r="M98" s="81">
        <f t="shared" si="17"/>
      </c>
      <c r="N98" s="2"/>
      <c r="O98" s="30">
        <f t="shared" si="18"/>
      </c>
      <c r="P98" s="30">
        <f t="shared" si="19"/>
      </c>
      <c r="Q98" s="30">
        <f t="shared" si="20"/>
      </c>
      <c r="R98" s="30">
        <f t="shared" si="21"/>
      </c>
    </row>
    <row r="99" spans="1:18" hidden="1" outlineLevel="1" x14ac:dyDescent="0.45">
      <c r="A99" s="67">
        <f t="shared" si="13"/>
      </c>
      <c r="B99" s="74"/>
      <c r="C99" s="74"/>
      <c r="D99" s="75"/>
      <c r="E99" s="76"/>
      <c r="F99" s="77">
        <f t="shared" si="14"/>
      </c>
      <c r="G99" s="78"/>
      <c r="H99" s="78"/>
      <c r="I99" s="78"/>
      <c r="J99" s="78"/>
      <c r="K99" s="79">
        <f t="shared" si="16"/>
      </c>
      <c r="L99" s="80">
        <f t="shared" si="15"/>
      </c>
      <c r="M99" s="81">
        <f t="shared" si="17"/>
      </c>
      <c r="N99" s="2"/>
      <c r="O99" s="30">
        <f t="shared" si="18"/>
      </c>
      <c r="P99" s="30">
        <f t="shared" si="19"/>
      </c>
      <c r="Q99" s="30">
        <f t="shared" si="20"/>
      </c>
      <c r="R99" s="30">
        <f t="shared" si="21"/>
      </c>
    </row>
    <row r="100" spans="1:18" hidden="1" outlineLevel="1" x14ac:dyDescent="0.45">
      <c r="A100" s="67">
        <f t="shared" si="13"/>
      </c>
      <c r="B100" s="74"/>
      <c r="C100" s="74"/>
      <c r="D100" s="75"/>
      <c r="E100" s="76"/>
      <c r="F100" s="77">
        <f t="shared" si="14"/>
      </c>
      <c r="G100" s="78"/>
      <c r="H100" s="78"/>
      <c r="I100" s="78"/>
      <c r="J100" s="78"/>
      <c r="K100" s="79">
        <f t="shared" si="16"/>
      </c>
      <c r="L100" s="80">
        <f t="shared" si="15"/>
      </c>
      <c r="M100" s="81">
        <f t="shared" si="17"/>
      </c>
      <c r="N100" s="2"/>
      <c r="O100" s="30">
        <f t="shared" si="18"/>
      </c>
      <c r="P100" s="30">
        <f t="shared" si="19"/>
      </c>
      <c r="Q100" s="30">
        <f t="shared" si="20"/>
      </c>
      <c r="R100" s="30">
        <f t="shared" si="21"/>
      </c>
    </row>
    <row r="101" spans="1:18" hidden="1" outlineLevel="1" x14ac:dyDescent="0.45">
      <c r="A101" s="67">
        <f t="shared" si="13"/>
      </c>
      <c r="B101" s="74"/>
      <c r="C101" s="74"/>
      <c r="D101" s="75"/>
      <c r="E101" s="76"/>
      <c r="F101" s="77">
        <f t="shared" si="14"/>
      </c>
      <c r="G101" s="78"/>
      <c r="H101" s="78"/>
      <c r="I101" s="78"/>
      <c r="J101" s="78"/>
      <c r="K101" s="79">
        <f t="shared" si="16"/>
      </c>
      <c r="L101" s="80">
        <f t="shared" si="15"/>
      </c>
      <c r="M101" s="81">
        <f t="shared" si="17"/>
      </c>
      <c r="N101" s="2"/>
      <c r="O101" s="30">
        <f t="shared" si="18"/>
      </c>
      <c r="P101" s="30">
        <f t="shared" si="19"/>
      </c>
      <c r="Q101" s="30">
        <f t="shared" si="20"/>
      </c>
      <c r="R101" s="30">
        <f t="shared" si="21"/>
      </c>
    </row>
    <row r="102" spans="1:18" hidden="1" outlineLevel="1" x14ac:dyDescent="0.45">
      <c r="A102" s="67">
        <f t="shared" si="13"/>
      </c>
      <c r="B102" s="74"/>
      <c r="C102" s="74"/>
      <c r="D102" s="75"/>
      <c r="E102" s="76"/>
      <c r="F102" s="77">
        <f t="shared" si="14"/>
      </c>
      <c r="G102" s="78"/>
      <c r="H102" s="78"/>
      <c r="I102" s="78"/>
      <c r="J102" s="78"/>
      <c r="K102" s="79">
        <f t="shared" si="16"/>
      </c>
      <c r="L102" s="80">
        <f t="shared" si="15"/>
      </c>
      <c r="M102" s="81">
        <f t="shared" si="17"/>
      </c>
      <c r="N102" s="2"/>
      <c r="O102" s="30">
        <f t="shared" si="18"/>
      </c>
      <c r="P102" s="30">
        <f t="shared" si="19"/>
      </c>
      <c r="Q102" s="30">
        <f t="shared" si="20"/>
      </c>
      <c r="R102" s="30">
        <f t="shared" si="21"/>
      </c>
    </row>
    <row r="103" spans="1:18" hidden="1" outlineLevel="1" x14ac:dyDescent="0.45">
      <c r="A103" s="67">
        <f t="shared" si="13"/>
      </c>
      <c r="B103" s="74"/>
      <c r="C103" s="74"/>
      <c r="D103" s="75"/>
      <c r="E103" s="76"/>
      <c r="F103" s="77">
        <f t="shared" si="14"/>
      </c>
      <c r="G103" s="78"/>
      <c r="H103" s="78"/>
      <c r="I103" s="78"/>
      <c r="J103" s="78"/>
      <c r="K103" s="79">
        <f t="shared" si="16"/>
      </c>
      <c r="L103" s="80">
        <f t="shared" si="15"/>
      </c>
      <c r="M103" s="81">
        <f t="shared" si="17"/>
      </c>
      <c r="N103" s="2"/>
      <c r="O103" s="30">
        <f t="shared" si="18"/>
      </c>
      <c r="P103" s="30">
        <f t="shared" si="19"/>
      </c>
      <c r="Q103" s="30">
        <f t="shared" si="20"/>
      </c>
      <c r="R103" s="30">
        <f t="shared" si="21"/>
      </c>
    </row>
    <row r="104" spans="1:18" collapsed="1" x14ac:dyDescent="0.45">
      <c r="A104" s="67"/>
      <c r="B104" s="82" t="s">
        <v>91</v>
      </c>
      <c r="C104" s="82"/>
      <c r="D104" s="83">
        <f>SUM(D4:D103)</f>
      </c>
      <c r="E104" s="84"/>
      <c r="F104" s="84">
        <f t="shared" ref="F104:L104" si="22">SUM(F4:F103)</f>
      </c>
      <c r="G104" s="79">
        <f t="shared" si="22"/>
      </c>
      <c r="H104" s="79">
        <f t="shared" si="22"/>
      </c>
      <c r="I104" s="79">
        <f t="shared" si="22"/>
      </c>
      <c r="J104" s="79">
        <f t="shared" si="22"/>
      </c>
      <c r="K104" s="79">
        <f t="shared" si="22"/>
      </c>
      <c r="L104" s="80">
        <f t="shared" si="22"/>
      </c>
      <c r="M104" s="85">
        <f>IF(COUNTIF($L$4:$L$103,"&lt;0")&gt;0,"⚠ ADA "&amp;COUNTIF($L$4:$L$103,"&lt;0")&amp;" ITEM OVER ALOKASI - PENGADAAN TIDAK SESUAI PENERIMAAN","✓ Semua alokasi valid (tidak ada sisa minus)")</f>
      </c>
      <c r="N104" s="2"/>
      <c r="O104" s="2"/>
      <c r="P104" s="2"/>
      <c r="Q104" s="2"/>
      <c r="R104" s="2"/>
    </row>
    <row r="105" spans="1:18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45">
      <c r="A106" s="2"/>
      <c r="B106" s="86" t="s">
        <v>92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45">
      <c r="A107" s="2"/>
      <c r="B107" s="2" t="s">
        <v>93</v>
      </c>
      <c r="C107" s="87">
        <f>F104</f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45">
      <c r="A108" s="2"/>
      <c r="B108" s="2" t="s">
        <v>94</v>
      </c>
      <c r="C108" s="87">
        <f>ROUND(C107*INPUT!$B$45,0)</f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45">
      <c r="A109" s="2"/>
      <c r="B109" s="88" t="s">
        <v>95</v>
      </c>
      <c r="C109" s="89">
        <f>C107+C108</f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</sheetData>
  <conditionalFormatting sqref="L4:L103">
    <cfRule type="cellIs" dxfId="4" priority="1" operator="lessThan">
      <formula>0</formula>
    </cfRule>
  </conditionalFormatting>
  <conditionalFormatting sqref="M4:M103">
    <cfRule type="expression" dxfId="3" priority="2">
      <formula>AND($B4&lt;&gt;"",$L4&lt;0)</formula>
    </cfRule>
    <cfRule type="expression" dxfId="2" priority="3">
      <formula>AND($B4&lt;&gt;"",$L4&gt;=0)</formula>
    </cfRule>
  </conditionalFormatting>
  <conditionalFormatting sqref="M104">
    <cfRule type="expression" dxfId="1" priority="4">
      <formula>COUNTIF($L$4:$L$103,"&lt;0")&gt;0</formula>
    </cfRule>
    <cfRule type="expression" dxfId="0" priority="5">
      <formula>COUNTIF($L$4:$L$103,"&lt;0")=0</formula>
    </cfRule>
  </conditionalFormatting>
  <dataValidations count="1">
    <dataValidation type="custom" allowBlank="1" showInputMessage="1" showErrorMessage="1" errorTitle="Volume melebihi kontrak" error="Total alokasi VOL. BAP-1 s/d BAP-4 tidak boleh melebihi VOLUME KONTRAK item ini." sqref="G4:J103" xr:uid="{F0B770B4-AADB-44CB-B1B4-61E6DB0E6290}">
      <formula1>OR($B4="",SUM($G4:$J4)&lt;=$D4)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E4EC-E800-4A5B-946C-25CCEBA3BEBA}">
  <sheetPr>
    <tabColor rgb="FF1F3864"/>
    <pageSetUpPr fitToPage="1"/>
  </sheetPr>
  <dimension ref="A1:M150"/>
  <sheetViews>
    <sheetView showGridLines="0" showRowColHeaders="0" topLeftCell="A149" workbookViewId="0">
      <selection activeCell="D159" sqref="D159"/>
    </sheetView>
  </sheetViews>
  <sheetFormatPr defaultRowHeight="14.25" outlineLevelRow="2" x14ac:dyDescent="0.45"/>
  <cols>
    <col min="1" max="1" width="5.33203125" customWidth="1"/>
    <col min="2" max="2" width="19.53125" customWidth="1"/>
    <col min="3" max="3" width="33.796875" customWidth="1"/>
    <col min="4" max="4" width="9.796875" customWidth="1"/>
    <col min="5" max="5" width="10.6640625" customWidth="1"/>
    <col min="6" max="6" width="16" customWidth="1"/>
    <col min="7" max="7" width="18.6640625" customWidth="1"/>
  </cols>
  <sheetData>
    <row r="1" spans="1:13" ht="34.049999999999997" customHeight="1" x14ac:dyDescent="0.45">
      <c r="A1" s="139"/>
      <c r="B1" s="139"/>
      <c r="C1" s="139"/>
      <c r="D1" s="139"/>
      <c r="E1" s="139"/>
      <c r="F1" s="139"/>
      <c r="G1" s="139"/>
    </row>
    <row r="2" spans="1:13" ht="16.05" customHeight="1" x14ac:dyDescent="0.45">
      <c r="A2" s="50"/>
      <c r="B2" s="50"/>
      <c r="C2" s="147"/>
      <c r="D2" s="147"/>
      <c r="E2" s="147"/>
      <c r="F2" s="147"/>
      <c r="G2" s="147"/>
      <c r="H2" s="23"/>
      <c r="I2" s="23"/>
      <c r="J2" s="23"/>
      <c r="K2" s="23"/>
      <c r="L2" s="23"/>
      <c r="M2" s="23"/>
    </row>
    <row r="3" spans="1:13" ht="8" customHeight="1" x14ac:dyDescent="0.45">
      <c r="A3" s="2"/>
      <c r="B3" s="2"/>
      <c r="C3" s="2"/>
      <c r="D3" s="2"/>
      <c r="E3" s="2"/>
      <c r="F3" s="2"/>
      <c r="G3" s="2"/>
    </row>
    <row r="4" spans="1:13" ht="20" customHeight="1" x14ac:dyDescent="0.5">
      <c r="A4" s="140" t="s">
        <v>96</v>
      </c>
      <c r="B4" s="140"/>
      <c r="C4" s="125"/>
      <c r="D4" s="125"/>
      <c r="E4" s="125"/>
      <c r="F4" s="125"/>
      <c r="G4" s="125"/>
    </row>
    <row r="5" spans="1:13" ht="16.05" customHeight="1" x14ac:dyDescent="0.45">
      <c r="A5" s="122">
        <f>"Nomor : "&amp;INPUT!$B$35</f>
      </c>
      <c r="B5" s="122"/>
      <c r="C5" s="125"/>
      <c r="D5" s="125"/>
      <c r="E5" s="125"/>
      <c r="F5" s="125"/>
      <c r="G5" s="125"/>
    </row>
    <row r="6" spans="1:13" ht="13.05" customHeight="1" x14ac:dyDescent="0.45">
      <c r="A6" s="3"/>
      <c r="B6" s="3"/>
      <c r="C6" s="3"/>
      <c r="D6" s="3"/>
      <c r="E6" s="3"/>
      <c r="F6" s="3"/>
      <c r="G6" s="3"/>
    </row>
    <row r="7" spans="1:13" ht="13.05" customHeight="1" x14ac:dyDescent="0.45">
      <c r="A7" s="3" t="s">
        <v>97</v>
      </c>
      <c r="B7" s="3"/>
      <c r="C7" s="3"/>
      <c r="D7" s="3"/>
      <c r="E7" s="3"/>
      <c r="F7" s="3"/>
      <c r="G7" s="3"/>
    </row>
    <row r="8" spans="1:13" ht="13.05" customHeight="1" x14ac:dyDescent="0.45">
      <c r="A8" s="141" t="s">
        <v>98</v>
      </c>
      <c r="B8" s="142"/>
      <c r="C8" s="141">
        <f>": "&amp;INPUT!$B$24</f>
      </c>
      <c r="D8" s="143"/>
      <c r="E8" s="143"/>
      <c r="F8" s="143"/>
      <c r="G8" s="143"/>
    </row>
    <row r="9" spans="1:13" ht="24" customHeight="1" x14ac:dyDescent="0.45">
      <c r="A9" s="141" t="s">
        <v>99</v>
      </c>
      <c r="B9" s="142"/>
      <c r="C9" s="141">
        <f>": "&amp;INPUT!$B$25</f>
      </c>
      <c r="D9" s="143"/>
      <c r="E9" s="143"/>
      <c r="F9" s="143"/>
      <c r="G9" s="143"/>
    </row>
    <row r="10" spans="1:13" ht="13.05" customHeight="1" x14ac:dyDescent="0.45">
      <c r="A10" s="141" t="s">
        <v>36</v>
      </c>
      <c r="B10" s="142"/>
      <c r="C10" s="141">
        <f>": "&amp;INPUT!$B$26</f>
      </c>
      <c r="D10" s="143"/>
      <c r="E10" s="143"/>
      <c r="F10" s="143"/>
      <c r="G10" s="143"/>
    </row>
    <row r="11" spans="1:13" ht="13.05" customHeight="1" x14ac:dyDescent="0.45">
      <c r="A11" s="3"/>
      <c r="B11" s="3"/>
      <c r="C11" s="3"/>
      <c r="D11" s="3"/>
      <c r="E11" s="3"/>
      <c r="F11" s="3"/>
      <c r="G11" s="3"/>
    </row>
    <row r="12" spans="1:13" ht="28.05" customHeight="1" x14ac:dyDescent="0.45">
      <c r="A12" s="12" t="s">
        <v>73</v>
      </c>
      <c r="B12" s="144" t="s">
        <v>74</v>
      </c>
      <c r="C12" s="145"/>
      <c r="D12" s="12" t="s">
        <v>75</v>
      </c>
      <c r="E12" s="12" t="s">
        <v>100</v>
      </c>
      <c r="F12" s="12" t="s">
        <v>101</v>
      </c>
      <c r="G12" s="12" t="s">
        <v>102</v>
      </c>
    </row>
    <row r="13" spans="1:13" ht="13.05" customHeight="1" x14ac:dyDescent="0.45">
      <c r="A13" s="4">
        <f>IF(ITEM!$B4="","",ITEM!$A4)</f>
      </c>
      <c r="B13" s="137">
        <f>IF(ITEM!$B4="","",ITEM!$B4)</f>
      </c>
      <c r="C13" s="138"/>
      <c r="D13" s="4">
        <f>IF(ITEM!$B4="","",ITEM!$C4)</f>
      </c>
      <c r="E13" s="5">
        <f>IF(ITEM!$B4="","",ITEM!$D4)</f>
      </c>
      <c r="F13" s="6">
        <f>IF(ITEM!$B4="","",ITEM!$E4)</f>
      </c>
      <c r="G13" s="6">
        <f>IF(ITEM!$B4="","",ITEM!$F4)</f>
      </c>
    </row>
    <row r="14" spans="1:13" ht="13.05" customHeight="1" x14ac:dyDescent="0.45">
      <c r="A14" s="4">
        <f>IF(ITEM!$B5="","",ITEM!$A5)</f>
      </c>
      <c r="B14" s="137">
        <f>IF(ITEM!$B5="","",ITEM!$B5)</f>
      </c>
      <c r="C14" s="138"/>
      <c r="D14" s="4">
        <f>IF(ITEM!$B5="","",ITEM!$C5)</f>
      </c>
      <c r="E14" s="5">
        <f>IF(ITEM!$B5="","",ITEM!$D5)</f>
      </c>
      <c r="F14" s="6">
        <f>IF(ITEM!$B5="","",ITEM!$E5)</f>
      </c>
      <c r="G14" s="6">
        <f>IF(ITEM!$B5="","",ITEM!$F5)</f>
      </c>
    </row>
    <row r="15" spans="1:13" ht="13.05" customHeight="1" x14ac:dyDescent="0.45">
      <c r="A15" s="4">
        <f>IF(ITEM!$B6="","",ITEM!$A6)</f>
      </c>
      <c r="B15" s="137">
        <f>IF(ITEM!$B6="","",ITEM!$B6)</f>
      </c>
      <c r="C15" s="138"/>
      <c r="D15" s="4">
        <f>IF(ITEM!$B6="","",ITEM!$C6)</f>
      </c>
      <c r="E15" s="5">
        <f>IF(ITEM!$B6="","",ITEM!$D6)</f>
      </c>
      <c r="F15" s="6">
        <f>IF(ITEM!$B6="","",ITEM!$E6)</f>
      </c>
      <c r="G15" s="6">
        <f>IF(ITEM!$B6="","",ITEM!$F6)</f>
      </c>
    </row>
    <row r="16" spans="1:13" ht="13.05" customHeight="1" x14ac:dyDescent="0.45">
      <c r="A16" s="4">
        <f>IF(ITEM!$B7="","",ITEM!$A7)</f>
      </c>
      <c r="B16" s="137">
        <f>IF(ITEM!$B7="","",ITEM!$B7)</f>
      </c>
      <c r="C16" s="138"/>
      <c r="D16" s="4">
        <f>IF(ITEM!$B7="","",ITEM!$C7)</f>
      </c>
      <c r="E16" s="5">
        <f>IF(ITEM!$B7="","",ITEM!$D7)</f>
      </c>
      <c r="F16" s="6">
        <f>IF(ITEM!$B7="","",ITEM!$E7)</f>
      </c>
      <c r="G16" s="6">
        <f>IF(ITEM!$B7="","",ITEM!$F7)</f>
      </c>
    </row>
    <row r="17" spans="1:7" ht="13.05" customHeight="1" x14ac:dyDescent="0.45">
      <c r="A17" s="4">
        <f>IF(ITEM!$B8="","",ITEM!$A8)</f>
      </c>
      <c r="B17" s="137">
        <f>IF(ITEM!$B8="","",ITEM!$B8)</f>
      </c>
      <c r="C17" s="138"/>
      <c r="D17" s="4">
        <f>IF(ITEM!$B8="","",ITEM!$C8)</f>
      </c>
      <c r="E17" s="5">
        <f>IF(ITEM!$B8="","",ITEM!$D8)</f>
      </c>
      <c r="F17" s="6">
        <f>IF(ITEM!$B8="","",ITEM!$E8)</f>
      </c>
      <c r="G17" s="6">
        <f>IF(ITEM!$B8="","",ITEM!$F8)</f>
      </c>
    </row>
    <row r="18" spans="1:7" ht="13.05" customHeight="1" x14ac:dyDescent="0.45">
      <c r="A18" s="4">
        <f>IF(ITEM!$B9="","",ITEM!$A9)</f>
      </c>
      <c r="B18" s="137">
        <f>IF(ITEM!$B9="","",ITEM!$B9)</f>
      </c>
      <c r="C18" s="138"/>
      <c r="D18" s="4">
        <f>IF(ITEM!$B9="","",ITEM!$C9)</f>
      </c>
      <c r="E18" s="5">
        <f>IF(ITEM!$B9="","",ITEM!$D9)</f>
      </c>
      <c r="F18" s="6">
        <f>IF(ITEM!$B9="","",ITEM!$E9)</f>
      </c>
      <c r="G18" s="6">
        <f>IF(ITEM!$B9="","",ITEM!$F9)</f>
      </c>
    </row>
    <row r="19" spans="1:7" ht="13.05" customHeight="1" x14ac:dyDescent="0.45">
      <c r="A19" s="4">
        <f>IF(ITEM!$B10="","",ITEM!$A10)</f>
      </c>
      <c r="B19" s="137">
        <f>IF(ITEM!$B10="","",ITEM!$B10)</f>
      </c>
      <c r="C19" s="138"/>
      <c r="D19" s="4">
        <f>IF(ITEM!$B10="","",ITEM!$C10)</f>
      </c>
      <c r="E19" s="5">
        <f>IF(ITEM!$B10="","",ITEM!$D10)</f>
      </c>
      <c r="F19" s="6">
        <f>IF(ITEM!$B10="","",ITEM!$E10)</f>
      </c>
      <c r="G19" s="6">
        <f>IF(ITEM!$B10="","",ITEM!$F10)</f>
      </c>
    </row>
    <row r="20" spans="1:7" ht="13.05" customHeight="1" x14ac:dyDescent="0.45">
      <c r="A20" s="4">
        <f>IF(ITEM!$B11="","",ITEM!$A11)</f>
      </c>
      <c r="B20" s="137">
        <f>IF(ITEM!$B11="","",ITEM!$B11)</f>
      </c>
      <c r="C20" s="138"/>
      <c r="D20" s="4">
        <f>IF(ITEM!$B11="","",ITEM!$C11)</f>
      </c>
      <c r="E20" s="5">
        <f>IF(ITEM!$B11="","",ITEM!$D11)</f>
      </c>
      <c r="F20" s="6">
        <f>IF(ITEM!$B11="","",ITEM!$E11)</f>
      </c>
      <c r="G20" s="6">
        <f>IF(ITEM!$B11="","",ITEM!$F11)</f>
      </c>
    </row>
    <row r="21" spans="1:7" ht="13.05" customHeight="1" outlineLevel="1" x14ac:dyDescent="0.45">
      <c r="A21" s="4">
        <f>IF(ITEM!$B12="","",ITEM!$A12)</f>
      </c>
      <c r="B21" s="137">
        <f>IF(ITEM!$B12="","",ITEM!$B12)</f>
      </c>
      <c r="C21" s="138"/>
      <c r="D21" s="4">
        <f>IF(ITEM!$B12="","",ITEM!$C12)</f>
      </c>
      <c r="E21" s="5">
        <f>IF(ITEM!$B12="","",ITEM!$D12)</f>
      </c>
      <c r="F21" s="6">
        <f>IF(ITEM!$B12="","",ITEM!$E12)</f>
      </c>
      <c r="G21" s="6">
        <f>IF(ITEM!$B12="","",ITEM!$F12)</f>
      </c>
    </row>
    <row r="22" spans="1:7" ht="13.05" customHeight="1" outlineLevel="1" x14ac:dyDescent="0.45">
      <c r="A22" s="4">
        <f>IF(ITEM!$B13="","",ITEM!$A13)</f>
      </c>
      <c r="B22" s="137">
        <f>IF(ITEM!$B13="","",ITEM!$B13)</f>
      </c>
      <c r="C22" s="138"/>
      <c r="D22" s="4">
        <f>IF(ITEM!$B13="","",ITEM!$C13)</f>
      </c>
      <c r="E22" s="5">
        <f>IF(ITEM!$B13="","",ITEM!$D13)</f>
      </c>
      <c r="F22" s="6">
        <f>IF(ITEM!$B13="","",ITEM!$E13)</f>
      </c>
      <c r="G22" s="6">
        <f>IF(ITEM!$B13="","",ITEM!$F13)</f>
      </c>
    </row>
    <row r="23" spans="1:7" ht="13.05" customHeight="1" outlineLevel="1" x14ac:dyDescent="0.45">
      <c r="A23" s="4">
        <f>IF(ITEM!$B14="","",ITEM!$A14)</f>
      </c>
      <c r="B23" s="137">
        <f>IF(ITEM!$B14="","",ITEM!$B14)</f>
      </c>
      <c r="C23" s="138"/>
      <c r="D23" s="4">
        <f>IF(ITEM!$B14="","",ITEM!$C14)</f>
      </c>
      <c r="E23" s="5">
        <f>IF(ITEM!$B14="","",ITEM!$D14)</f>
      </c>
      <c r="F23" s="6">
        <f>IF(ITEM!$B14="","",ITEM!$E14)</f>
      </c>
      <c r="G23" s="6">
        <f>IF(ITEM!$B14="","",ITEM!$F14)</f>
      </c>
    </row>
    <row r="24" spans="1:7" ht="13.05" customHeight="1" outlineLevel="1" x14ac:dyDescent="0.45">
      <c r="A24" s="4">
        <f>IF(ITEM!$B15="","",ITEM!$A15)</f>
      </c>
      <c r="B24" s="137">
        <f>IF(ITEM!$B15="","",ITEM!$B15)</f>
      </c>
      <c r="C24" s="138"/>
      <c r="D24" s="4">
        <f>IF(ITEM!$B15="","",ITEM!$C15)</f>
      </c>
      <c r="E24" s="5">
        <f>IF(ITEM!$B15="","",ITEM!$D15)</f>
      </c>
      <c r="F24" s="6">
        <f>IF(ITEM!$B15="","",ITEM!$E15)</f>
      </c>
      <c r="G24" s="6">
        <f>IF(ITEM!$B15="","",ITEM!$F15)</f>
      </c>
    </row>
    <row r="25" spans="1:7" ht="13.05" customHeight="1" outlineLevel="1" x14ac:dyDescent="0.45">
      <c r="A25" s="4">
        <f>IF(ITEM!$B16="","",ITEM!$A16)</f>
      </c>
      <c r="B25" s="137">
        <f>IF(ITEM!$B16="","",ITEM!$B16)</f>
      </c>
      <c r="C25" s="138"/>
      <c r="D25" s="4">
        <f>IF(ITEM!$B16="","",ITEM!$C16)</f>
      </c>
      <c r="E25" s="5">
        <f>IF(ITEM!$B16="","",ITEM!$D16)</f>
      </c>
      <c r="F25" s="6">
        <f>IF(ITEM!$B16="","",ITEM!$E16)</f>
      </c>
      <c r="G25" s="6">
        <f>IF(ITEM!$B16="","",ITEM!$F16)</f>
      </c>
    </row>
    <row r="26" spans="1:7" ht="13.05" customHeight="1" outlineLevel="1" x14ac:dyDescent="0.45">
      <c r="A26" s="4">
        <f>IF(ITEM!$B17="","",ITEM!$A17)</f>
      </c>
      <c r="B26" s="137">
        <f>IF(ITEM!$B17="","",ITEM!$B17)</f>
      </c>
      <c r="C26" s="138"/>
      <c r="D26" s="4">
        <f>IF(ITEM!$B17="","",ITEM!$C17)</f>
      </c>
      <c r="E26" s="5">
        <f>IF(ITEM!$B17="","",ITEM!$D17)</f>
      </c>
      <c r="F26" s="6">
        <f>IF(ITEM!$B17="","",ITEM!$E17)</f>
      </c>
      <c r="G26" s="6">
        <f>IF(ITEM!$B17="","",ITEM!$F17)</f>
      </c>
    </row>
    <row r="27" spans="1:7" ht="13.05" customHeight="1" outlineLevel="1" x14ac:dyDescent="0.45">
      <c r="A27" s="4">
        <f>IF(ITEM!$B18="","",ITEM!$A18)</f>
      </c>
      <c r="B27" s="137">
        <f>IF(ITEM!$B18="","",ITEM!$B18)</f>
      </c>
      <c r="C27" s="138"/>
      <c r="D27" s="4">
        <f>IF(ITEM!$B18="","",ITEM!$C18)</f>
      </c>
      <c r="E27" s="5">
        <f>IF(ITEM!$B18="","",ITEM!$D18)</f>
      </c>
      <c r="F27" s="6">
        <f>IF(ITEM!$B18="","",ITEM!$E18)</f>
      </c>
      <c r="G27" s="6">
        <f>IF(ITEM!$B18="","",ITEM!$F18)</f>
      </c>
    </row>
    <row r="28" spans="1:7" ht="13.05" hidden="1" customHeight="1" outlineLevel="1" x14ac:dyDescent="0.45">
      <c r="A28" s="4">
        <f>IF(ITEM!$B19="","",ITEM!$A19)</f>
      </c>
      <c r="B28" s="137">
        <f>IF(ITEM!$B19="","",ITEM!$B19)</f>
      </c>
      <c r="C28" s="138"/>
      <c r="D28" s="4">
        <f>IF(ITEM!$B19="","",ITEM!$C19)</f>
      </c>
      <c r="E28" s="5">
        <f>IF(ITEM!$B19="","",ITEM!$D19)</f>
      </c>
      <c r="F28" s="6">
        <f>IF(ITEM!$B19="","",ITEM!$E19)</f>
      </c>
      <c r="G28" s="6">
        <f>IF(ITEM!$B19="","",ITEM!$F19)</f>
      </c>
    </row>
    <row r="29" spans="1:7" ht="13.05" hidden="1" customHeight="1" outlineLevel="1" x14ac:dyDescent="0.45">
      <c r="A29" s="4">
        <f>IF(ITEM!$B20="","",ITEM!$A20)</f>
      </c>
      <c r="B29" s="137">
        <f>IF(ITEM!$B20="","",ITEM!$B20)</f>
      </c>
      <c r="C29" s="138"/>
      <c r="D29" s="4">
        <f>IF(ITEM!$B20="","",ITEM!$C20)</f>
      </c>
      <c r="E29" s="5">
        <f>IF(ITEM!$B20="","",ITEM!$D20)</f>
      </c>
      <c r="F29" s="6">
        <f>IF(ITEM!$B20="","",ITEM!$E20)</f>
      </c>
      <c r="G29" s="6">
        <f>IF(ITEM!$B20="","",ITEM!$F20)</f>
      </c>
    </row>
    <row r="30" spans="1:7" ht="13.05" hidden="1" customHeight="1" outlineLevel="1" x14ac:dyDescent="0.45">
      <c r="A30" s="4">
        <f>IF(ITEM!$B21="","",ITEM!$A21)</f>
      </c>
      <c r="B30" s="137">
        <f>IF(ITEM!$B21="","",ITEM!$B21)</f>
      </c>
      <c r="C30" s="138"/>
      <c r="D30" s="4">
        <f>IF(ITEM!$B21="","",ITEM!$C21)</f>
      </c>
      <c r="E30" s="5">
        <f>IF(ITEM!$B21="","",ITEM!$D21)</f>
      </c>
      <c r="F30" s="6">
        <f>IF(ITEM!$B21="","",ITEM!$E21)</f>
      </c>
      <c r="G30" s="6">
        <f>IF(ITEM!$B21="","",ITEM!$F21)</f>
      </c>
    </row>
    <row r="31" spans="1:7" ht="13.05" hidden="1" customHeight="1" outlineLevel="1" x14ac:dyDescent="0.45">
      <c r="A31" s="4">
        <f>IF(ITEM!$B22="","",ITEM!$A22)</f>
      </c>
      <c r="B31" s="137">
        <f>IF(ITEM!$B22="","",ITEM!$B22)</f>
      </c>
      <c r="C31" s="138"/>
      <c r="D31" s="4">
        <f>IF(ITEM!$B22="","",ITEM!$C22)</f>
      </c>
      <c r="E31" s="5">
        <f>IF(ITEM!$B22="","",ITEM!$D22)</f>
      </c>
      <c r="F31" s="6">
        <f>IF(ITEM!$B22="","",ITEM!$E22)</f>
      </c>
      <c r="G31" s="6">
        <f>IF(ITEM!$B22="","",ITEM!$F22)</f>
      </c>
    </row>
    <row r="32" spans="1:7" ht="13.05" hidden="1" customHeight="1" outlineLevel="1" x14ac:dyDescent="0.45">
      <c r="A32" s="4">
        <f>IF(ITEM!$B23="","",ITEM!$A23)</f>
      </c>
      <c r="B32" s="137">
        <f>IF(ITEM!$B23="","",ITEM!$B23)</f>
      </c>
      <c r="C32" s="138"/>
      <c r="D32" s="4">
        <f>IF(ITEM!$B23="","",ITEM!$C23)</f>
      </c>
      <c r="E32" s="5">
        <f>IF(ITEM!$B23="","",ITEM!$D23)</f>
      </c>
      <c r="F32" s="6">
        <f>IF(ITEM!$B23="","",ITEM!$E23)</f>
      </c>
      <c r="G32" s="6">
        <f>IF(ITEM!$B23="","",ITEM!$F23)</f>
      </c>
    </row>
    <row r="33" spans="1:7" ht="13.05" hidden="1" customHeight="1" outlineLevel="2" x14ac:dyDescent="0.45">
      <c r="A33" s="4">
        <f>IF(ITEM!$B24="","",ITEM!$A24)</f>
      </c>
      <c r="B33" s="118">
        <f>IF(ITEM!$B24="","",ITEM!$B24)</f>
      </c>
      <c r="C33" s="119"/>
      <c r="D33" s="4">
        <f>IF(ITEM!$B24="","",ITEM!$C24)</f>
      </c>
      <c r="E33" s="5">
        <f>IF(ITEM!$B24="","",ITEM!$D24)</f>
      </c>
      <c r="F33" s="6">
        <f>IF(ITEM!$B24="","",ITEM!$E24)</f>
      </c>
      <c r="G33" s="6">
        <f>IF(ITEM!$B24="","",ITEM!$F24)</f>
      </c>
    </row>
    <row r="34" spans="1:7" ht="13.05" hidden="1" customHeight="1" outlineLevel="2" x14ac:dyDescent="0.45">
      <c r="A34" s="4">
        <f>IF(ITEM!$B25="","",ITEM!$A25)</f>
      </c>
      <c r="B34" s="118">
        <f>IF(ITEM!$B25="","",ITEM!$B25)</f>
      </c>
      <c r="C34" s="119"/>
      <c r="D34" s="4">
        <f>IF(ITEM!$B25="","",ITEM!$C25)</f>
      </c>
      <c r="E34" s="5">
        <f>IF(ITEM!$B25="","",ITEM!$D25)</f>
      </c>
      <c r="F34" s="6">
        <f>IF(ITEM!$B25="","",ITEM!$E25)</f>
      </c>
      <c r="G34" s="6">
        <f>IF(ITEM!$B25="","",ITEM!$F25)</f>
      </c>
    </row>
    <row r="35" spans="1:7" ht="13.05" hidden="1" customHeight="1" outlineLevel="2" x14ac:dyDescent="0.45">
      <c r="A35" s="4">
        <f>IF(ITEM!$B26="","",ITEM!$A26)</f>
      </c>
      <c r="B35" s="118">
        <f>IF(ITEM!$B26="","",ITEM!$B26)</f>
      </c>
      <c r="C35" s="119"/>
      <c r="D35" s="4">
        <f>IF(ITEM!$B26="","",ITEM!$C26)</f>
      </c>
      <c r="E35" s="5">
        <f>IF(ITEM!$B26="","",ITEM!$D26)</f>
      </c>
      <c r="F35" s="6">
        <f>IF(ITEM!$B26="","",ITEM!$E26)</f>
      </c>
      <c r="G35" s="6">
        <f>IF(ITEM!$B26="","",ITEM!$F26)</f>
      </c>
    </row>
    <row r="36" spans="1:7" ht="13.05" hidden="1" customHeight="1" outlineLevel="2" x14ac:dyDescent="0.45">
      <c r="A36" s="4">
        <f>IF(ITEM!$B27="","",ITEM!$A27)</f>
      </c>
      <c r="B36" s="118">
        <f>IF(ITEM!$B27="","",ITEM!$B27)</f>
      </c>
      <c r="C36" s="119"/>
      <c r="D36" s="4">
        <f>IF(ITEM!$B27="","",ITEM!$C27)</f>
      </c>
      <c r="E36" s="5">
        <f>IF(ITEM!$B27="","",ITEM!$D27)</f>
      </c>
      <c r="F36" s="6">
        <f>IF(ITEM!$B27="","",ITEM!$E27)</f>
      </c>
      <c r="G36" s="6">
        <f>IF(ITEM!$B27="","",ITEM!$F27)</f>
      </c>
    </row>
    <row r="37" spans="1:7" ht="13.05" hidden="1" customHeight="1" outlineLevel="2" x14ac:dyDescent="0.45">
      <c r="A37" s="4">
        <f>IF(ITEM!$B28="","",ITEM!$A28)</f>
      </c>
      <c r="B37" s="118">
        <f>IF(ITEM!$B28="","",ITEM!$B28)</f>
      </c>
      <c r="C37" s="119"/>
      <c r="D37" s="4">
        <f>IF(ITEM!$B28="","",ITEM!$C28)</f>
      </c>
      <c r="E37" s="5">
        <f>IF(ITEM!$B28="","",ITEM!$D28)</f>
      </c>
      <c r="F37" s="6">
        <f>IF(ITEM!$B28="","",ITEM!$E28)</f>
      </c>
      <c r="G37" s="6">
        <f>IF(ITEM!$B28="","",ITEM!$F28)</f>
      </c>
    </row>
    <row r="38" spans="1:7" ht="13.05" hidden="1" customHeight="1" outlineLevel="2" x14ac:dyDescent="0.45">
      <c r="A38" s="4">
        <f>IF(ITEM!$B29="","",ITEM!$A29)</f>
      </c>
      <c r="B38" s="118">
        <f>IF(ITEM!$B29="","",ITEM!$B29)</f>
      </c>
      <c r="C38" s="119"/>
      <c r="D38" s="4">
        <f>IF(ITEM!$B29="","",ITEM!$C29)</f>
      </c>
      <c r="E38" s="5">
        <f>IF(ITEM!$B29="","",ITEM!$D29)</f>
      </c>
      <c r="F38" s="6">
        <f>IF(ITEM!$B29="","",ITEM!$E29)</f>
      </c>
      <c r="G38" s="6">
        <f>IF(ITEM!$B29="","",ITEM!$F29)</f>
      </c>
    </row>
    <row r="39" spans="1:7" ht="13.05" hidden="1" customHeight="1" outlineLevel="2" x14ac:dyDescent="0.45">
      <c r="A39" s="4">
        <f>IF(ITEM!$B30="","",ITEM!$A30)</f>
      </c>
      <c r="B39" s="118">
        <f>IF(ITEM!$B30="","",ITEM!$B30)</f>
      </c>
      <c r="C39" s="119"/>
      <c r="D39" s="4">
        <f>IF(ITEM!$B30="","",ITEM!$C30)</f>
      </c>
      <c r="E39" s="5">
        <f>IF(ITEM!$B30="","",ITEM!$D30)</f>
      </c>
      <c r="F39" s="6">
        <f>IF(ITEM!$B30="","",ITEM!$E30)</f>
      </c>
      <c r="G39" s="6">
        <f>IF(ITEM!$B30="","",ITEM!$F30)</f>
      </c>
    </row>
    <row r="40" spans="1:7" ht="13.05" hidden="1" customHeight="1" outlineLevel="2" x14ac:dyDescent="0.45">
      <c r="A40" s="4">
        <f>IF(ITEM!$B31="","",ITEM!$A31)</f>
      </c>
      <c r="B40" s="118">
        <f>IF(ITEM!$B31="","",ITEM!$B31)</f>
      </c>
      <c r="C40" s="119"/>
      <c r="D40" s="4">
        <f>IF(ITEM!$B31="","",ITEM!$C31)</f>
      </c>
      <c r="E40" s="5">
        <f>IF(ITEM!$B31="","",ITEM!$D31)</f>
      </c>
      <c r="F40" s="6">
        <f>IF(ITEM!$B31="","",ITEM!$E31)</f>
      </c>
      <c r="G40" s="6">
        <f>IF(ITEM!$B31="","",ITEM!$F31)</f>
      </c>
    </row>
    <row r="41" spans="1:7" ht="13.05" hidden="1" customHeight="1" outlineLevel="2" x14ac:dyDescent="0.45">
      <c r="A41" s="4">
        <f>IF(ITEM!$B32="","",ITEM!$A32)</f>
      </c>
      <c r="B41" s="118">
        <f>IF(ITEM!$B32="","",ITEM!$B32)</f>
      </c>
      <c r="C41" s="119"/>
      <c r="D41" s="4">
        <f>IF(ITEM!$B32="","",ITEM!$C32)</f>
      </c>
      <c r="E41" s="5">
        <f>IF(ITEM!$B32="","",ITEM!$D32)</f>
      </c>
      <c r="F41" s="6">
        <f>IF(ITEM!$B32="","",ITEM!$E32)</f>
      </c>
      <c r="G41" s="6">
        <f>IF(ITEM!$B32="","",ITEM!$F32)</f>
      </c>
    </row>
    <row r="42" spans="1:7" ht="13.05" hidden="1" customHeight="1" outlineLevel="2" x14ac:dyDescent="0.45">
      <c r="A42" s="4">
        <f>IF(ITEM!$B33="","",ITEM!$A33)</f>
      </c>
      <c r="B42" s="118">
        <f>IF(ITEM!$B33="","",ITEM!$B33)</f>
      </c>
      <c r="C42" s="119"/>
      <c r="D42" s="4">
        <f>IF(ITEM!$B33="","",ITEM!$C33)</f>
      </c>
      <c r="E42" s="5">
        <f>IF(ITEM!$B33="","",ITEM!$D33)</f>
      </c>
      <c r="F42" s="6">
        <f>IF(ITEM!$B33="","",ITEM!$E33)</f>
      </c>
      <c r="G42" s="6">
        <f>IF(ITEM!$B33="","",ITEM!$F33)</f>
      </c>
    </row>
    <row r="43" spans="1:7" ht="13.05" hidden="1" customHeight="1" outlineLevel="2" x14ac:dyDescent="0.45">
      <c r="A43" s="4">
        <f>IF(ITEM!$B34="","",ITEM!$A34)</f>
      </c>
      <c r="B43" s="118">
        <f>IF(ITEM!$B34="","",ITEM!$B34)</f>
      </c>
      <c r="C43" s="119"/>
      <c r="D43" s="4">
        <f>IF(ITEM!$B34="","",ITEM!$C34)</f>
      </c>
      <c r="E43" s="5">
        <f>IF(ITEM!$B34="","",ITEM!$D34)</f>
      </c>
      <c r="F43" s="6">
        <f>IF(ITEM!$B34="","",ITEM!$E34)</f>
      </c>
      <c r="G43" s="6">
        <f>IF(ITEM!$B34="","",ITEM!$F34)</f>
      </c>
    </row>
    <row r="44" spans="1:7" ht="13.05" hidden="1" customHeight="1" outlineLevel="2" x14ac:dyDescent="0.45">
      <c r="A44" s="4">
        <f>IF(ITEM!$B35="","",ITEM!$A35)</f>
      </c>
      <c r="B44" s="118">
        <f>IF(ITEM!$B35="","",ITEM!$B35)</f>
      </c>
      <c r="C44" s="119"/>
      <c r="D44" s="4">
        <f>IF(ITEM!$B35="","",ITEM!$C35)</f>
      </c>
      <c r="E44" s="5">
        <f>IF(ITEM!$B35="","",ITEM!$D35)</f>
      </c>
      <c r="F44" s="6">
        <f>IF(ITEM!$B35="","",ITEM!$E35)</f>
      </c>
      <c r="G44" s="6">
        <f>IF(ITEM!$B35="","",ITEM!$F35)</f>
      </c>
    </row>
    <row r="45" spans="1:7" ht="13.05" hidden="1" customHeight="1" outlineLevel="2" x14ac:dyDescent="0.45">
      <c r="A45" s="4">
        <f>IF(ITEM!$B36="","",ITEM!$A36)</f>
      </c>
      <c r="B45" s="118">
        <f>IF(ITEM!$B36="","",ITEM!$B36)</f>
      </c>
      <c r="C45" s="119"/>
      <c r="D45" s="4">
        <f>IF(ITEM!$B36="","",ITEM!$C36)</f>
      </c>
      <c r="E45" s="5">
        <f>IF(ITEM!$B36="","",ITEM!$D36)</f>
      </c>
      <c r="F45" s="6">
        <f>IF(ITEM!$B36="","",ITEM!$E36)</f>
      </c>
      <c r="G45" s="6">
        <f>IF(ITEM!$B36="","",ITEM!$F36)</f>
      </c>
    </row>
    <row r="46" spans="1:7" ht="13.05" hidden="1" customHeight="1" outlineLevel="2" x14ac:dyDescent="0.45">
      <c r="A46" s="4">
        <f>IF(ITEM!$B37="","",ITEM!$A37)</f>
      </c>
      <c r="B46" s="118">
        <f>IF(ITEM!$B37="","",ITEM!$B37)</f>
      </c>
      <c r="C46" s="119"/>
      <c r="D46" s="4">
        <f>IF(ITEM!$B37="","",ITEM!$C37)</f>
      </c>
      <c r="E46" s="5">
        <f>IF(ITEM!$B37="","",ITEM!$D37)</f>
      </c>
      <c r="F46" s="6">
        <f>IF(ITEM!$B37="","",ITEM!$E37)</f>
      </c>
      <c r="G46" s="6">
        <f>IF(ITEM!$B37="","",ITEM!$F37)</f>
      </c>
    </row>
    <row r="47" spans="1:7" ht="13.05" hidden="1" customHeight="1" outlineLevel="2" x14ac:dyDescent="0.45">
      <c r="A47" s="4">
        <f>IF(ITEM!$B38="","",ITEM!$A38)</f>
      </c>
      <c r="B47" s="118">
        <f>IF(ITEM!$B38="","",ITEM!$B38)</f>
      </c>
      <c r="C47" s="119"/>
      <c r="D47" s="4">
        <f>IF(ITEM!$B38="","",ITEM!$C38)</f>
      </c>
      <c r="E47" s="5">
        <f>IF(ITEM!$B38="","",ITEM!$D38)</f>
      </c>
      <c r="F47" s="6">
        <f>IF(ITEM!$B38="","",ITEM!$E38)</f>
      </c>
      <c r="G47" s="6">
        <f>IF(ITEM!$B38="","",ITEM!$F38)</f>
      </c>
    </row>
    <row r="48" spans="1:7" ht="13.05" hidden="1" customHeight="1" outlineLevel="2" x14ac:dyDescent="0.45">
      <c r="A48" s="4">
        <f>IF(ITEM!$B39="","",ITEM!$A39)</f>
      </c>
      <c r="B48" s="118">
        <f>IF(ITEM!$B39="","",ITEM!$B39)</f>
      </c>
      <c r="C48" s="119"/>
      <c r="D48" s="4">
        <f>IF(ITEM!$B39="","",ITEM!$C39)</f>
      </c>
      <c r="E48" s="5">
        <f>IF(ITEM!$B39="","",ITEM!$D39)</f>
      </c>
      <c r="F48" s="6">
        <f>IF(ITEM!$B39="","",ITEM!$E39)</f>
      </c>
      <c r="G48" s="6">
        <f>IF(ITEM!$B39="","",ITEM!$F39)</f>
      </c>
    </row>
    <row r="49" spans="1:7" ht="13.05" hidden="1" customHeight="1" outlineLevel="2" x14ac:dyDescent="0.45">
      <c r="A49" s="4">
        <f>IF(ITEM!$B40="","",ITEM!$A40)</f>
      </c>
      <c r="B49" s="118">
        <f>IF(ITEM!$B40="","",ITEM!$B40)</f>
      </c>
      <c r="C49" s="119"/>
      <c r="D49" s="4">
        <f>IF(ITEM!$B40="","",ITEM!$C40)</f>
      </c>
      <c r="E49" s="5">
        <f>IF(ITEM!$B40="","",ITEM!$D40)</f>
      </c>
      <c r="F49" s="6">
        <f>IF(ITEM!$B40="","",ITEM!$E40)</f>
      </c>
      <c r="G49" s="6">
        <f>IF(ITEM!$B40="","",ITEM!$F40)</f>
      </c>
    </row>
    <row r="50" spans="1:7" ht="13.05" hidden="1" customHeight="1" outlineLevel="2" x14ac:dyDescent="0.45">
      <c r="A50" s="4">
        <f>IF(ITEM!$B41="","",ITEM!$A41)</f>
      </c>
      <c r="B50" s="118">
        <f>IF(ITEM!$B41="","",ITEM!$B41)</f>
      </c>
      <c r="C50" s="119"/>
      <c r="D50" s="4">
        <f>IF(ITEM!$B41="","",ITEM!$C41)</f>
      </c>
      <c r="E50" s="5">
        <f>IF(ITEM!$B41="","",ITEM!$D41)</f>
      </c>
      <c r="F50" s="6">
        <f>IF(ITEM!$B41="","",ITEM!$E41)</f>
      </c>
      <c r="G50" s="6">
        <f>IF(ITEM!$B41="","",ITEM!$F41)</f>
      </c>
    </row>
    <row r="51" spans="1:7" ht="13.05" hidden="1" customHeight="1" outlineLevel="2" x14ac:dyDescent="0.45">
      <c r="A51" s="4">
        <f>IF(ITEM!$B42="","",ITEM!$A42)</f>
      </c>
      <c r="B51" s="118">
        <f>IF(ITEM!$B42="","",ITEM!$B42)</f>
      </c>
      <c r="C51" s="119"/>
      <c r="D51" s="4">
        <f>IF(ITEM!$B42="","",ITEM!$C42)</f>
      </c>
      <c r="E51" s="5">
        <f>IF(ITEM!$B42="","",ITEM!$D42)</f>
      </c>
      <c r="F51" s="6">
        <f>IF(ITEM!$B42="","",ITEM!$E42)</f>
      </c>
      <c r="G51" s="6">
        <f>IF(ITEM!$B42="","",ITEM!$F42)</f>
      </c>
    </row>
    <row r="52" spans="1:7" ht="13.05" hidden="1" customHeight="1" outlineLevel="2" x14ac:dyDescent="0.45">
      <c r="A52" s="4">
        <f>IF(ITEM!$B43="","",ITEM!$A43)</f>
      </c>
      <c r="B52" s="118">
        <f>IF(ITEM!$B43="","",ITEM!$B43)</f>
      </c>
      <c r="C52" s="119"/>
      <c r="D52" s="4">
        <f>IF(ITEM!$B43="","",ITEM!$C43)</f>
      </c>
      <c r="E52" s="5">
        <f>IF(ITEM!$B43="","",ITEM!$D43)</f>
      </c>
      <c r="F52" s="6">
        <f>IF(ITEM!$B43="","",ITEM!$E43)</f>
      </c>
      <c r="G52" s="6">
        <f>IF(ITEM!$B43="","",ITEM!$F43)</f>
      </c>
    </row>
    <row r="53" spans="1:7" ht="13.05" hidden="1" customHeight="1" outlineLevel="2" x14ac:dyDescent="0.45">
      <c r="A53" s="4">
        <f>IF(ITEM!$B44="","",ITEM!$A44)</f>
      </c>
      <c r="B53" s="118">
        <f>IF(ITEM!$B44="","",ITEM!$B44)</f>
      </c>
      <c r="C53" s="119"/>
      <c r="D53" s="4">
        <f>IF(ITEM!$B44="","",ITEM!$C44)</f>
      </c>
      <c r="E53" s="5">
        <f>IF(ITEM!$B44="","",ITEM!$D44)</f>
      </c>
      <c r="F53" s="6">
        <f>IF(ITEM!$B44="","",ITEM!$E44)</f>
      </c>
      <c r="G53" s="6">
        <f>IF(ITEM!$B44="","",ITEM!$F44)</f>
      </c>
    </row>
    <row r="54" spans="1:7" ht="13.05" hidden="1" customHeight="1" outlineLevel="2" x14ac:dyDescent="0.45">
      <c r="A54" s="4">
        <f>IF(ITEM!$B45="","",ITEM!$A45)</f>
      </c>
      <c r="B54" s="118">
        <f>IF(ITEM!$B45="","",ITEM!$B45)</f>
      </c>
      <c r="C54" s="119"/>
      <c r="D54" s="4">
        <f>IF(ITEM!$B45="","",ITEM!$C45)</f>
      </c>
      <c r="E54" s="5">
        <f>IF(ITEM!$B45="","",ITEM!$D45)</f>
      </c>
      <c r="F54" s="6">
        <f>IF(ITEM!$B45="","",ITEM!$E45)</f>
      </c>
      <c r="G54" s="6">
        <f>IF(ITEM!$B45="","",ITEM!$F45)</f>
      </c>
    </row>
    <row r="55" spans="1:7" ht="13.05" hidden="1" customHeight="1" outlineLevel="2" x14ac:dyDescent="0.45">
      <c r="A55" s="4">
        <f>IF(ITEM!$B46="","",ITEM!$A46)</f>
      </c>
      <c r="B55" s="118">
        <f>IF(ITEM!$B46="","",ITEM!$B46)</f>
      </c>
      <c r="C55" s="119"/>
      <c r="D55" s="4">
        <f>IF(ITEM!$B46="","",ITEM!$C46)</f>
      </c>
      <c r="E55" s="5">
        <f>IF(ITEM!$B46="","",ITEM!$D46)</f>
      </c>
      <c r="F55" s="6">
        <f>IF(ITEM!$B46="","",ITEM!$E46)</f>
      </c>
      <c r="G55" s="6">
        <f>IF(ITEM!$B46="","",ITEM!$F46)</f>
      </c>
    </row>
    <row r="56" spans="1:7" ht="13.05" hidden="1" customHeight="1" outlineLevel="2" x14ac:dyDescent="0.45">
      <c r="A56" s="4">
        <f>IF(ITEM!$B47="","",ITEM!$A47)</f>
      </c>
      <c r="B56" s="118">
        <f>IF(ITEM!$B47="","",ITEM!$B47)</f>
      </c>
      <c r="C56" s="119"/>
      <c r="D56" s="4">
        <f>IF(ITEM!$B47="","",ITEM!$C47)</f>
      </c>
      <c r="E56" s="5">
        <f>IF(ITEM!$B47="","",ITEM!$D47)</f>
      </c>
      <c r="F56" s="6">
        <f>IF(ITEM!$B47="","",ITEM!$E47)</f>
      </c>
      <c r="G56" s="6">
        <f>IF(ITEM!$B47="","",ITEM!$F47)</f>
      </c>
    </row>
    <row r="57" spans="1:7" ht="13.05" hidden="1" customHeight="1" outlineLevel="2" x14ac:dyDescent="0.45">
      <c r="A57" s="4">
        <f>IF(ITEM!$B48="","",ITEM!$A48)</f>
      </c>
      <c r="B57" s="118">
        <f>IF(ITEM!$B48="","",ITEM!$B48)</f>
      </c>
      <c r="C57" s="119"/>
      <c r="D57" s="4">
        <f>IF(ITEM!$B48="","",ITEM!$C48)</f>
      </c>
      <c r="E57" s="5">
        <f>IF(ITEM!$B48="","",ITEM!$D48)</f>
      </c>
      <c r="F57" s="6">
        <f>IF(ITEM!$B48="","",ITEM!$E48)</f>
      </c>
      <c r="G57" s="6">
        <f>IF(ITEM!$B48="","",ITEM!$F48)</f>
      </c>
    </row>
    <row r="58" spans="1:7" ht="13.05" hidden="1" customHeight="1" outlineLevel="2" x14ac:dyDescent="0.45">
      <c r="A58" s="4">
        <f>IF(ITEM!$B49="","",ITEM!$A49)</f>
      </c>
      <c r="B58" s="118">
        <f>IF(ITEM!$B49="","",ITEM!$B49)</f>
      </c>
      <c r="C58" s="119"/>
      <c r="D58" s="4">
        <f>IF(ITEM!$B49="","",ITEM!$C49)</f>
      </c>
      <c r="E58" s="5">
        <f>IF(ITEM!$B49="","",ITEM!$D49)</f>
      </c>
      <c r="F58" s="6">
        <f>IF(ITEM!$B49="","",ITEM!$E49)</f>
      </c>
      <c r="G58" s="6">
        <f>IF(ITEM!$B49="","",ITEM!$F49)</f>
      </c>
    </row>
    <row r="59" spans="1:7" ht="13.05" hidden="1" customHeight="1" outlineLevel="2" x14ac:dyDescent="0.45">
      <c r="A59" s="4">
        <f>IF(ITEM!$B50="","",ITEM!$A50)</f>
      </c>
      <c r="B59" s="118">
        <f>IF(ITEM!$B50="","",ITEM!$B50)</f>
      </c>
      <c r="C59" s="119"/>
      <c r="D59" s="4">
        <f>IF(ITEM!$B50="","",ITEM!$C50)</f>
      </c>
      <c r="E59" s="5">
        <f>IF(ITEM!$B50="","",ITEM!$D50)</f>
      </c>
      <c r="F59" s="6">
        <f>IF(ITEM!$B50="","",ITEM!$E50)</f>
      </c>
      <c r="G59" s="6">
        <f>IF(ITEM!$B50="","",ITEM!$F50)</f>
      </c>
    </row>
    <row r="60" spans="1:7" ht="13.05" hidden="1" customHeight="1" outlineLevel="2" x14ac:dyDescent="0.45">
      <c r="A60" s="4">
        <f>IF(ITEM!$B51="","",ITEM!$A51)</f>
      </c>
      <c r="B60" s="118">
        <f>IF(ITEM!$B51="","",ITEM!$B51)</f>
      </c>
      <c r="C60" s="119"/>
      <c r="D60" s="4">
        <f>IF(ITEM!$B51="","",ITEM!$C51)</f>
      </c>
      <c r="E60" s="5">
        <f>IF(ITEM!$B51="","",ITEM!$D51)</f>
      </c>
      <c r="F60" s="6">
        <f>IF(ITEM!$B51="","",ITEM!$E51)</f>
      </c>
      <c r="G60" s="6">
        <f>IF(ITEM!$B51="","",ITEM!$F51)</f>
      </c>
    </row>
    <row r="61" spans="1:7" ht="13.05" hidden="1" customHeight="1" outlineLevel="2" x14ac:dyDescent="0.45">
      <c r="A61" s="4">
        <f>IF(ITEM!$B52="","",ITEM!$A52)</f>
      </c>
      <c r="B61" s="118">
        <f>IF(ITEM!$B52="","",ITEM!$B52)</f>
      </c>
      <c r="C61" s="119"/>
      <c r="D61" s="4">
        <f>IF(ITEM!$B52="","",ITEM!$C52)</f>
      </c>
      <c r="E61" s="5">
        <f>IF(ITEM!$B52="","",ITEM!$D52)</f>
      </c>
      <c r="F61" s="6">
        <f>IF(ITEM!$B52="","",ITEM!$E52)</f>
      </c>
      <c r="G61" s="6">
        <f>IF(ITEM!$B52="","",ITEM!$F52)</f>
      </c>
    </row>
    <row r="62" spans="1:7" ht="13.05" hidden="1" customHeight="1" outlineLevel="2" x14ac:dyDescent="0.45">
      <c r="A62" s="4">
        <f>IF(ITEM!$B53="","",ITEM!$A53)</f>
      </c>
      <c r="B62" s="118">
        <f>IF(ITEM!$B53="","",ITEM!$B53)</f>
      </c>
      <c r="C62" s="119"/>
      <c r="D62" s="4">
        <f>IF(ITEM!$B53="","",ITEM!$C53)</f>
      </c>
      <c r="E62" s="5">
        <f>IF(ITEM!$B53="","",ITEM!$D53)</f>
      </c>
      <c r="F62" s="6">
        <f>IF(ITEM!$B53="","",ITEM!$E53)</f>
      </c>
      <c r="G62" s="6">
        <f>IF(ITEM!$B53="","",ITEM!$F53)</f>
      </c>
    </row>
    <row r="63" spans="1:7" ht="13.05" hidden="1" customHeight="1" outlineLevel="2" x14ac:dyDescent="0.45">
      <c r="A63" s="4">
        <f>IF(ITEM!$B54="","",ITEM!$A54)</f>
      </c>
      <c r="B63" s="118">
        <f>IF(ITEM!$B54="","",ITEM!$B54)</f>
      </c>
      <c r="C63" s="119"/>
      <c r="D63" s="4">
        <f>IF(ITEM!$B54="","",ITEM!$C54)</f>
      </c>
      <c r="E63" s="5">
        <f>IF(ITEM!$B54="","",ITEM!$D54)</f>
      </c>
      <c r="F63" s="6">
        <f>IF(ITEM!$B54="","",ITEM!$E54)</f>
      </c>
      <c r="G63" s="6">
        <f>IF(ITEM!$B54="","",ITEM!$F54)</f>
      </c>
    </row>
    <row r="64" spans="1:7" ht="13.05" hidden="1" customHeight="1" outlineLevel="2" x14ac:dyDescent="0.45">
      <c r="A64" s="4">
        <f>IF(ITEM!$B55="","",ITEM!$A55)</f>
      </c>
      <c r="B64" s="118">
        <f>IF(ITEM!$B55="","",ITEM!$B55)</f>
      </c>
      <c r="C64" s="119"/>
      <c r="D64" s="4">
        <f>IF(ITEM!$B55="","",ITEM!$C55)</f>
      </c>
      <c r="E64" s="5">
        <f>IF(ITEM!$B55="","",ITEM!$D55)</f>
      </c>
      <c r="F64" s="6">
        <f>IF(ITEM!$B55="","",ITEM!$E55)</f>
      </c>
      <c r="G64" s="6">
        <f>IF(ITEM!$B55="","",ITEM!$F55)</f>
      </c>
    </row>
    <row r="65" spans="1:7" ht="13.05" hidden="1" customHeight="1" outlineLevel="2" x14ac:dyDescent="0.45">
      <c r="A65" s="4">
        <f>IF(ITEM!$B56="","",ITEM!$A56)</f>
      </c>
      <c r="B65" s="118">
        <f>IF(ITEM!$B56="","",ITEM!$B56)</f>
      </c>
      <c r="C65" s="119"/>
      <c r="D65" s="4">
        <f>IF(ITEM!$B56="","",ITEM!$C56)</f>
      </c>
      <c r="E65" s="5">
        <f>IF(ITEM!$B56="","",ITEM!$D56)</f>
      </c>
      <c r="F65" s="6">
        <f>IF(ITEM!$B56="","",ITEM!$E56)</f>
      </c>
      <c r="G65" s="6">
        <f>IF(ITEM!$B56="","",ITEM!$F56)</f>
      </c>
    </row>
    <row r="66" spans="1:7" ht="13.05" hidden="1" customHeight="1" outlineLevel="2" x14ac:dyDescent="0.45">
      <c r="A66" s="4">
        <f>IF(ITEM!$B57="","",ITEM!$A57)</f>
      </c>
      <c r="B66" s="118">
        <f>IF(ITEM!$B57="","",ITEM!$B57)</f>
      </c>
      <c r="C66" s="119"/>
      <c r="D66" s="4">
        <f>IF(ITEM!$B57="","",ITEM!$C57)</f>
      </c>
      <c r="E66" s="5">
        <f>IF(ITEM!$B57="","",ITEM!$D57)</f>
      </c>
      <c r="F66" s="6">
        <f>IF(ITEM!$B57="","",ITEM!$E57)</f>
      </c>
      <c r="G66" s="6">
        <f>IF(ITEM!$B57="","",ITEM!$F57)</f>
      </c>
    </row>
    <row r="67" spans="1:7" ht="13.05" hidden="1" customHeight="1" outlineLevel="2" x14ac:dyDescent="0.45">
      <c r="A67" s="4">
        <f>IF(ITEM!$B58="","",ITEM!$A58)</f>
      </c>
      <c r="B67" s="118">
        <f>IF(ITEM!$B58="","",ITEM!$B58)</f>
      </c>
      <c r="C67" s="119"/>
      <c r="D67" s="4">
        <f>IF(ITEM!$B58="","",ITEM!$C58)</f>
      </c>
      <c r="E67" s="5">
        <f>IF(ITEM!$B58="","",ITEM!$D58)</f>
      </c>
      <c r="F67" s="6">
        <f>IF(ITEM!$B58="","",ITEM!$E58)</f>
      </c>
      <c r="G67" s="6">
        <f>IF(ITEM!$B58="","",ITEM!$F58)</f>
      </c>
    </row>
    <row r="68" spans="1:7" ht="13.05" hidden="1" customHeight="1" outlineLevel="2" x14ac:dyDescent="0.45">
      <c r="A68" s="4">
        <f>IF(ITEM!$B59="","",ITEM!$A59)</f>
      </c>
      <c r="B68" s="118">
        <f>IF(ITEM!$B59="","",ITEM!$B59)</f>
      </c>
      <c r="C68" s="119"/>
      <c r="D68" s="4">
        <f>IF(ITEM!$B59="","",ITEM!$C59)</f>
      </c>
      <c r="E68" s="5">
        <f>IF(ITEM!$B59="","",ITEM!$D59)</f>
      </c>
      <c r="F68" s="6">
        <f>IF(ITEM!$B59="","",ITEM!$E59)</f>
      </c>
      <c r="G68" s="6">
        <f>IF(ITEM!$B59="","",ITEM!$F59)</f>
      </c>
    </row>
    <row r="69" spans="1:7" ht="13.05" hidden="1" customHeight="1" outlineLevel="2" x14ac:dyDescent="0.45">
      <c r="A69" s="4">
        <f>IF(ITEM!$B60="","",ITEM!$A60)</f>
      </c>
      <c r="B69" s="118">
        <f>IF(ITEM!$B60="","",ITEM!$B60)</f>
      </c>
      <c r="C69" s="119"/>
      <c r="D69" s="4">
        <f>IF(ITEM!$B60="","",ITEM!$C60)</f>
      </c>
      <c r="E69" s="5">
        <f>IF(ITEM!$B60="","",ITEM!$D60)</f>
      </c>
      <c r="F69" s="6">
        <f>IF(ITEM!$B60="","",ITEM!$E60)</f>
      </c>
      <c r="G69" s="6">
        <f>IF(ITEM!$B60="","",ITEM!$F60)</f>
      </c>
    </row>
    <row r="70" spans="1:7" ht="13.05" hidden="1" customHeight="1" outlineLevel="2" x14ac:dyDescent="0.45">
      <c r="A70" s="4">
        <f>IF(ITEM!$B61="","",ITEM!$A61)</f>
      </c>
      <c r="B70" s="118">
        <f>IF(ITEM!$B61="","",ITEM!$B61)</f>
      </c>
      <c r="C70" s="119"/>
      <c r="D70" s="4">
        <f>IF(ITEM!$B61="","",ITEM!$C61)</f>
      </c>
      <c r="E70" s="5">
        <f>IF(ITEM!$B61="","",ITEM!$D61)</f>
      </c>
      <c r="F70" s="6">
        <f>IF(ITEM!$B61="","",ITEM!$E61)</f>
      </c>
      <c r="G70" s="6">
        <f>IF(ITEM!$B61="","",ITEM!$F61)</f>
      </c>
    </row>
    <row r="71" spans="1:7" ht="13.05" hidden="1" customHeight="1" outlineLevel="2" x14ac:dyDescent="0.45">
      <c r="A71" s="4">
        <f>IF(ITEM!$B62="","",ITEM!$A62)</f>
      </c>
      <c r="B71" s="118">
        <f>IF(ITEM!$B62="","",ITEM!$B62)</f>
      </c>
      <c r="C71" s="119"/>
      <c r="D71" s="4">
        <f>IF(ITEM!$B62="","",ITEM!$C62)</f>
      </c>
      <c r="E71" s="5">
        <f>IF(ITEM!$B62="","",ITEM!$D62)</f>
      </c>
      <c r="F71" s="6">
        <f>IF(ITEM!$B62="","",ITEM!$E62)</f>
      </c>
      <c r="G71" s="6">
        <f>IF(ITEM!$B62="","",ITEM!$F62)</f>
      </c>
    </row>
    <row r="72" spans="1:7" ht="13.05" hidden="1" customHeight="1" outlineLevel="2" x14ac:dyDescent="0.45">
      <c r="A72" s="4">
        <f>IF(ITEM!$B63="","",ITEM!$A63)</f>
      </c>
      <c r="B72" s="118">
        <f>IF(ITEM!$B63="","",ITEM!$B63)</f>
      </c>
      <c r="C72" s="119"/>
      <c r="D72" s="4">
        <f>IF(ITEM!$B63="","",ITEM!$C63)</f>
      </c>
      <c r="E72" s="5">
        <f>IF(ITEM!$B63="","",ITEM!$D63)</f>
      </c>
      <c r="F72" s="6">
        <f>IF(ITEM!$B63="","",ITEM!$E63)</f>
      </c>
      <c r="G72" s="6">
        <f>IF(ITEM!$B63="","",ITEM!$F63)</f>
      </c>
    </row>
    <row r="73" spans="1:7" ht="13.05" hidden="1" customHeight="1" outlineLevel="2" x14ac:dyDescent="0.45">
      <c r="A73" s="4">
        <f>IF(ITEM!$B64="","",ITEM!$A64)</f>
      </c>
      <c r="B73" s="118">
        <f>IF(ITEM!$B64="","",ITEM!$B64)</f>
      </c>
      <c r="C73" s="119"/>
      <c r="D73" s="4">
        <f>IF(ITEM!$B64="","",ITEM!$C64)</f>
      </c>
      <c r="E73" s="5">
        <f>IF(ITEM!$B64="","",ITEM!$D64)</f>
      </c>
      <c r="F73" s="6">
        <f>IF(ITEM!$B64="","",ITEM!$E64)</f>
      </c>
      <c r="G73" s="6">
        <f>IF(ITEM!$B64="","",ITEM!$F64)</f>
      </c>
    </row>
    <row r="74" spans="1:7" ht="13.05" hidden="1" customHeight="1" outlineLevel="2" x14ac:dyDescent="0.45">
      <c r="A74" s="4">
        <f>IF(ITEM!$B65="","",ITEM!$A65)</f>
      </c>
      <c r="B74" s="118">
        <f>IF(ITEM!$B65="","",ITEM!$B65)</f>
      </c>
      <c r="C74" s="119"/>
      <c r="D74" s="4">
        <f>IF(ITEM!$B65="","",ITEM!$C65)</f>
      </c>
      <c r="E74" s="5">
        <f>IF(ITEM!$B65="","",ITEM!$D65)</f>
      </c>
      <c r="F74" s="6">
        <f>IF(ITEM!$B65="","",ITEM!$E65)</f>
      </c>
      <c r="G74" s="6">
        <f>IF(ITEM!$B65="","",ITEM!$F65)</f>
      </c>
    </row>
    <row r="75" spans="1:7" ht="13.05" hidden="1" customHeight="1" outlineLevel="2" x14ac:dyDescent="0.45">
      <c r="A75" s="4">
        <f>IF(ITEM!$B66="","",ITEM!$A66)</f>
      </c>
      <c r="B75" s="118">
        <f>IF(ITEM!$B66="","",ITEM!$B66)</f>
      </c>
      <c r="C75" s="119"/>
      <c r="D75" s="4">
        <f>IF(ITEM!$B66="","",ITEM!$C66)</f>
      </c>
      <c r="E75" s="5">
        <f>IF(ITEM!$B66="","",ITEM!$D66)</f>
      </c>
      <c r="F75" s="6">
        <f>IF(ITEM!$B66="","",ITEM!$E66)</f>
      </c>
      <c r="G75" s="6">
        <f>IF(ITEM!$B66="","",ITEM!$F66)</f>
      </c>
    </row>
    <row r="76" spans="1:7" ht="13.05" hidden="1" customHeight="1" outlineLevel="2" x14ac:dyDescent="0.45">
      <c r="A76" s="4">
        <f>IF(ITEM!$B67="","",ITEM!$A67)</f>
      </c>
      <c r="B76" s="118">
        <f>IF(ITEM!$B67="","",ITEM!$B67)</f>
      </c>
      <c r="C76" s="119"/>
      <c r="D76" s="4">
        <f>IF(ITEM!$B67="","",ITEM!$C67)</f>
      </c>
      <c r="E76" s="5">
        <f>IF(ITEM!$B67="","",ITEM!$D67)</f>
      </c>
      <c r="F76" s="6">
        <f>IF(ITEM!$B67="","",ITEM!$E67)</f>
      </c>
      <c r="G76" s="6">
        <f>IF(ITEM!$B67="","",ITEM!$F67)</f>
      </c>
    </row>
    <row r="77" spans="1:7" ht="13.05" hidden="1" customHeight="1" outlineLevel="2" x14ac:dyDescent="0.45">
      <c r="A77" s="4">
        <f>IF(ITEM!$B68="","",ITEM!$A68)</f>
      </c>
      <c r="B77" s="118">
        <f>IF(ITEM!$B68="","",ITEM!$B68)</f>
      </c>
      <c r="C77" s="119"/>
      <c r="D77" s="4">
        <f>IF(ITEM!$B68="","",ITEM!$C68)</f>
      </c>
      <c r="E77" s="5">
        <f>IF(ITEM!$B68="","",ITEM!$D68)</f>
      </c>
      <c r="F77" s="6">
        <f>IF(ITEM!$B68="","",ITEM!$E68)</f>
      </c>
      <c r="G77" s="6">
        <f>IF(ITEM!$B68="","",ITEM!$F68)</f>
      </c>
    </row>
    <row r="78" spans="1:7" ht="13.05" hidden="1" customHeight="1" outlineLevel="2" x14ac:dyDescent="0.45">
      <c r="A78" s="4">
        <f>IF(ITEM!$B69="","",ITEM!$A69)</f>
      </c>
      <c r="B78" s="118">
        <f>IF(ITEM!$B69="","",ITEM!$B69)</f>
      </c>
      <c r="C78" s="119"/>
      <c r="D78" s="4">
        <f>IF(ITEM!$B69="","",ITEM!$C69)</f>
      </c>
      <c r="E78" s="5">
        <f>IF(ITEM!$B69="","",ITEM!$D69)</f>
      </c>
      <c r="F78" s="6">
        <f>IF(ITEM!$B69="","",ITEM!$E69)</f>
      </c>
      <c r="G78" s="6">
        <f>IF(ITEM!$B69="","",ITEM!$F69)</f>
      </c>
    </row>
    <row r="79" spans="1:7" ht="13.05" hidden="1" customHeight="1" outlineLevel="2" x14ac:dyDescent="0.45">
      <c r="A79" s="4">
        <f>IF(ITEM!$B70="","",ITEM!$A70)</f>
      </c>
      <c r="B79" s="118">
        <f>IF(ITEM!$B70="","",ITEM!$B70)</f>
      </c>
      <c r="C79" s="119"/>
      <c r="D79" s="4">
        <f>IF(ITEM!$B70="","",ITEM!$C70)</f>
      </c>
      <c r="E79" s="5">
        <f>IF(ITEM!$B70="","",ITEM!$D70)</f>
      </c>
      <c r="F79" s="6">
        <f>IF(ITEM!$B70="","",ITEM!$E70)</f>
      </c>
      <c r="G79" s="6">
        <f>IF(ITEM!$B70="","",ITEM!$F70)</f>
      </c>
    </row>
    <row r="80" spans="1:7" ht="13.05" hidden="1" customHeight="1" outlineLevel="2" x14ac:dyDescent="0.45">
      <c r="A80" s="4">
        <f>IF(ITEM!$B71="","",ITEM!$A71)</f>
      </c>
      <c r="B80" s="118">
        <f>IF(ITEM!$B71="","",ITEM!$B71)</f>
      </c>
      <c r="C80" s="119"/>
      <c r="D80" s="4">
        <f>IF(ITEM!$B71="","",ITEM!$C71)</f>
      </c>
      <c r="E80" s="5">
        <f>IF(ITEM!$B71="","",ITEM!$D71)</f>
      </c>
      <c r="F80" s="6">
        <f>IF(ITEM!$B71="","",ITEM!$E71)</f>
      </c>
      <c r="G80" s="6">
        <f>IF(ITEM!$B71="","",ITEM!$F71)</f>
      </c>
    </row>
    <row r="81" spans="1:7" ht="13.05" hidden="1" customHeight="1" outlineLevel="2" x14ac:dyDescent="0.45">
      <c r="A81" s="4">
        <f>IF(ITEM!$B72="","",ITEM!$A72)</f>
      </c>
      <c r="B81" s="118">
        <f>IF(ITEM!$B72="","",ITEM!$B72)</f>
      </c>
      <c r="C81" s="119"/>
      <c r="D81" s="4">
        <f>IF(ITEM!$B72="","",ITEM!$C72)</f>
      </c>
      <c r="E81" s="5">
        <f>IF(ITEM!$B72="","",ITEM!$D72)</f>
      </c>
      <c r="F81" s="6">
        <f>IF(ITEM!$B72="","",ITEM!$E72)</f>
      </c>
      <c r="G81" s="6">
        <f>IF(ITEM!$B72="","",ITEM!$F72)</f>
      </c>
    </row>
    <row r="82" spans="1:7" ht="13.05" hidden="1" customHeight="1" outlineLevel="2" x14ac:dyDescent="0.45">
      <c r="A82" s="4">
        <f>IF(ITEM!$B73="","",ITEM!$A73)</f>
      </c>
      <c r="B82" s="118">
        <f>IF(ITEM!$B73="","",ITEM!$B73)</f>
      </c>
      <c r="C82" s="119"/>
      <c r="D82" s="4">
        <f>IF(ITEM!$B73="","",ITEM!$C73)</f>
      </c>
      <c r="E82" s="5">
        <f>IF(ITEM!$B73="","",ITEM!$D73)</f>
      </c>
      <c r="F82" s="6">
        <f>IF(ITEM!$B73="","",ITEM!$E73)</f>
      </c>
      <c r="G82" s="6">
        <f>IF(ITEM!$B73="","",ITEM!$F73)</f>
      </c>
    </row>
    <row r="83" spans="1:7" ht="13.05" hidden="1" customHeight="1" outlineLevel="2" x14ac:dyDescent="0.45">
      <c r="A83" s="4">
        <f>IF(ITEM!$B74="","",ITEM!$A74)</f>
      </c>
      <c r="B83" s="118">
        <f>IF(ITEM!$B74="","",ITEM!$B74)</f>
      </c>
      <c r="C83" s="119"/>
      <c r="D83" s="4">
        <f>IF(ITEM!$B74="","",ITEM!$C74)</f>
      </c>
      <c r="E83" s="5">
        <f>IF(ITEM!$B74="","",ITEM!$D74)</f>
      </c>
      <c r="F83" s="6">
        <f>IF(ITEM!$B74="","",ITEM!$E74)</f>
      </c>
      <c r="G83" s="6">
        <f>IF(ITEM!$B74="","",ITEM!$F74)</f>
      </c>
    </row>
    <row r="84" spans="1:7" ht="13.05" hidden="1" customHeight="1" outlineLevel="2" x14ac:dyDescent="0.45">
      <c r="A84" s="4">
        <f>IF(ITEM!$B75="","",ITEM!$A75)</f>
      </c>
      <c r="B84" s="118">
        <f>IF(ITEM!$B75="","",ITEM!$B75)</f>
      </c>
      <c r="C84" s="119"/>
      <c r="D84" s="4">
        <f>IF(ITEM!$B75="","",ITEM!$C75)</f>
      </c>
      <c r="E84" s="5">
        <f>IF(ITEM!$B75="","",ITEM!$D75)</f>
      </c>
      <c r="F84" s="6">
        <f>IF(ITEM!$B75="","",ITEM!$E75)</f>
      </c>
      <c r="G84" s="6">
        <f>IF(ITEM!$B75="","",ITEM!$F75)</f>
      </c>
    </row>
    <row r="85" spans="1:7" ht="13.05" hidden="1" customHeight="1" outlineLevel="2" x14ac:dyDescent="0.45">
      <c r="A85" s="4">
        <f>IF(ITEM!$B76="","",ITEM!$A76)</f>
      </c>
      <c r="B85" s="118">
        <f>IF(ITEM!$B76="","",ITEM!$B76)</f>
      </c>
      <c r="C85" s="119"/>
      <c r="D85" s="4">
        <f>IF(ITEM!$B76="","",ITEM!$C76)</f>
      </c>
      <c r="E85" s="5">
        <f>IF(ITEM!$B76="","",ITEM!$D76)</f>
      </c>
      <c r="F85" s="6">
        <f>IF(ITEM!$B76="","",ITEM!$E76)</f>
      </c>
      <c r="G85" s="6">
        <f>IF(ITEM!$B76="","",ITEM!$F76)</f>
      </c>
    </row>
    <row r="86" spans="1:7" ht="13.05" hidden="1" customHeight="1" outlineLevel="2" x14ac:dyDescent="0.45">
      <c r="A86" s="4">
        <f>IF(ITEM!$B77="","",ITEM!$A77)</f>
      </c>
      <c r="B86" s="118">
        <f>IF(ITEM!$B77="","",ITEM!$B77)</f>
      </c>
      <c r="C86" s="119"/>
      <c r="D86" s="4">
        <f>IF(ITEM!$B77="","",ITEM!$C77)</f>
      </c>
      <c r="E86" s="5">
        <f>IF(ITEM!$B77="","",ITEM!$D77)</f>
      </c>
      <c r="F86" s="6">
        <f>IF(ITEM!$B77="","",ITEM!$E77)</f>
      </c>
      <c r="G86" s="6">
        <f>IF(ITEM!$B77="","",ITEM!$F77)</f>
      </c>
    </row>
    <row r="87" spans="1:7" ht="13.05" hidden="1" customHeight="1" outlineLevel="2" x14ac:dyDescent="0.45">
      <c r="A87" s="4">
        <f>IF(ITEM!$B78="","",ITEM!$A78)</f>
      </c>
      <c r="B87" s="118">
        <f>IF(ITEM!$B78="","",ITEM!$B78)</f>
      </c>
      <c r="C87" s="119"/>
      <c r="D87" s="4">
        <f>IF(ITEM!$B78="","",ITEM!$C78)</f>
      </c>
      <c r="E87" s="5">
        <f>IF(ITEM!$B78="","",ITEM!$D78)</f>
      </c>
      <c r="F87" s="6">
        <f>IF(ITEM!$B78="","",ITEM!$E78)</f>
      </c>
      <c r="G87" s="6">
        <f>IF(ITEM!$B78="","",ITEM!$F78)</f>
      </c>
    </row>
    <row r="88" spans="1:7" ht="13.05" hidden="1" customHeight="1" outlineLevel="2" x14ac:dyDescent="0.45">
      <c r="A88" s="4">
        <f>IF(ITEM!$B79="","",ITEM!$A79)</f>
      </c>
      <c r="B88" s="118">
        <f>IF(ITEM!$B79="","",ITEM!$B79)</f>
      </c>
      <c r="C88" s="119"/>
      <c r="D88" s="4">
        <f>IF(ITEM!$B79="","",ITEM!$C79)</f>
      </c>
      <c r="E88" s="5">
        <f>IF(ITEM!$B79="","",ITEM!$D79)</f>
      </c>
      <c r="F88" s="6">
        <f>IF(ITEM!$B79="","",ITEM!$E79)</f>
      </c>
      <c r="G88" s="6">
        <f>IF(ITEM!$B79="","",ITEM!$F79)</f>
      </c>
    </row>
    <row r="89" spans="1:7" ht="13.05" hidden="1" customHeight="1" outlineLevel="2" x14ac:dyDescent="0.45">
      <c r="A89" s="4">
        <f>IF(ITEM!$B80="","",ITEM!$A80)</f>
      </c>
      <c r="B89" s="118">
        <f>IF(ITEM!$B80="","",ITEM!$B80)</f>
      </c>
      <c r="C89" s="119"/>
      <c r="D89" s="4">
        <f>IF(ITEM!$B80="","",ITEM!$C80)</f>
      </c>
      <c r="E89" s="5">
        <f>IF(ITEM!$B80="","",ITEM!$D80)</f>
      </c>
      <c r="F89" s="6">
        <f>IF(ITEM!$B80="","",ITEM!$E80)</f>
      </c>
      <c r="G89" s="6">
        <f>IF(ITEM!$B80="","",ITEM!$F80)</f>
      </c>
    </row>
    <row r="90" spans="1:7" ht="13.05" hidden="1" customHeight="1" outlineLevel="2" x14ac:dyDescent="0.45">
      <c r="A90" s="4">
        <f>IF(ITEM!$B81="","",ITEM!$A81)</f>
      </c>
      <c r="B90" s="118">
        <f>IF(ITEM!$B81="","",ITEM!$B81)</f>
      </c>
      <c r="C90" s="119"/>
      <c r="D90" s="4">
        <f>IF(ITEM!$B81="","",ITEM!$C81)</f>
      </c>
      <c r="E90" s="5">
        <f>IF(ITEM!$B81="","",ITEM!$D81)</f>
      </c>
      <c r="F90" s="6">
        <f>IF(ITEM!$B81="","",ITEM!$E81)</f>
      </c>
      <c r="G90" s="6">
        <f>IF(ITEM!$B81="","",ITEM!$F81)</f>
      </c>
    </row>
    <row r="91" spans="1:7" ht="13.05" hidden="1" customHeight="1" outlineLevel="2" x14ac:dyDescent="0.45">
      <c r="A91" s="4">
        <f>IF(ITEM!$B82="","",ITEM!$A82)</f>
      </c>
      <c r="B91" s="118">
        <f>IF(ITEM!$B82="","",ITEM!$B82)</f>
      </c>
      <c r="C91" s="119"/>
      <c r="D91" s="4">
        <f>IF(ITEM!$B82="","",ITEM!$C82)</f>
      </c>
      <c r="E91" s="5">
        <f>IF(ITEM!$B82="","",ITEM!$D82)</f>
      </c>
      <c r="F91" s="6">
        <f>IF(ITEM!$B82="","",ITEM!$E82)</f>
      </c>
      <c r="G91" s="6">
        <f>IF(ITEM!$B82="","",ITEM!$F82)</f>
      </c>
    </row>
    <row r="92" spans="1:7" ht="13.05" hidden="1" customHeight="1" outlineLevel="2" x14ac:dyDescent="0.45">
      <c r="A92" s="4">
        <f>IF(ITEM!$B83="","",ITEM!$A83)</f>
      </c>
      <c r="B92" s="118">
        <f>IF(ITEM!$B83="","",ITEM!$B83)</f>
      </c>
      <c r="C92" s="119"/>
      <c r="D92" s="4">
        <f>IF(ITEM!$B83="","",ITEM!$C83)</f>
      </c>
      <c r="E92" s="5">
        <f>IF(ITEM!$B83="","",ITEM!$D83)</f>
      </c>
      <c r="F92" s="6">
        <f>IF(ITEM!$B83="","",ITEM!$E83)</f>
      </c>
      <c r="G92" s="6">
        <f>IF(ITEM!$B83="","",ITEM!$F83)</f>
      </c>
    </row>
    <row r="93" spans="1:7" ht="13.05" hidden="1" customHeight="1" outlineLevel="2" x14ac:dyDescent="0.45">
      <c r="A93" s="4">
        <f>IF(ITEM!$B84="","",ITEM!$A84)</f>
      </c>
      <c r="B93" s="118">
        <f>IF(ITEM!$B84="","",ITEM!$B84)</f>
      </c>
      <c r="C93" s="119"/>
      <c r="D93" s="4">
        <f>IF(ITEM!$B84="","",ITEM!$C84)</f>
      </c>
      <c r="E93" s="5">
        <f>IF(ITEM!$B84="","",ITEM!$D84)</f>
      </c>
      <c r="F93" s="6">
        <f>IF(ITEM!$B84="","",ITEM!$E84)</f>
      </c>
      <c r="G93" s="6">
        <f>IF(ITEM!$B84="","",ITEM!$F84)</f>
      </c>
    </row>
    <row r="94" spans="1:7" ht="13.05" hidden="1" customHeight="1" outlineLevel="2" x14ac:dyDescent="0.45">
      <c r="A94" s="4">
        <f>IF(ITEM!$B85="","",ITEM!$A85)</f>
      </c>
      <c r="B94" s="118">
        <f>IF(ITEM!$B85="","",ITEM!$B85)</f>
      </c>
      <c r="C94" s="119"/>
      <c r="D94" s="4">
        <f>IF(ITEM!$B85="","",ITEM!$C85)</f>
      </c>
      <c r="E94" s="5">
        <f>IF(ITEM!$B85="","",ITEM!$D85)</f>
      </c>
      <c r="F94" s="6">
        <f>IF(ITEM!$B85="","",ITEM!$E85)</f>
      </c>
      <c r="G94" s="6">
        <f>IF(ITEM!$B85="","",ITEM!$F85)</f>
      </c>
    </row>
    <row r="95" spans="1:7" ht="13.05" hidden="1" customHeight="1" outlineLevel="2" x14ac:dyDescent="0.45">
      <c r="A95" s="4">
        <f>IF(ITEM!$B86="","",ITEM!$A86)</f>
      </c>
      <c r="B95" s="118">
        <f>IF(ITEM!$B86="","",ITEM!$B86)</f>
      </c>
      <c r="C95" s="119"/>
      <c r="D95" s="4">
        <f>IF(ITEM!$B86="","",ITEM!$C86)</f>
      </c>
      <c r="E95" s="5">
        <f>IF(ITEM!$B86="","",ITEM!$D86)</f>
      </c>
      <c r="F95" s="6">
        <f>IF(ITEM!$B86="","",ITEM!$E86)</f>
      </c>
      <c r="G95" s="6">
        <f>IF(ITEM!$B86="","",ITEM!$F86)</f>
      </c>
    </row>
    <row r="96" spans="1:7" ht="13.05" hidden="1" customHeight="1" outlineLevel="2" x14ac:dyDescent="0.45">
      <c r="A96" s="4">
        <f>IF(ITEM!$B87="","",ITEM!$A87)</f>
      </c>
      <c r="B96" s="118">
        <f>IF(ITEM!$B87="","",ITEM!$B87)</f>
      </c>
      <c r="C96" s="119"/>
      <c r="D96" s="4">
        <f>IF(ITEM!$B87="","",ITEM!$C87)</f>
      </c>
      <c r="E96" s="5">
        <f>IF(ITEM!$B87="","",ITEM!$D87)</f>
      </c>
      <c r="F96" s="6">
        <f>IF(ITEM!$B87="","",ITEM!$E87)</f>
      </c>
      <c r="G96" s="6">
        <f>IF(ITEM!$B87="","",ITEM!$F87)</f>
      </c>
    </row>
    <row r="97" spans="1:7" ht="13.05" hidden="1" customHeight="1" outlineLevel="2" x14ac:dyDescent="0.45">
      <c r="A97" s="4">
        <f>IF(ITEM!$B88="","",ITEM!$A88)</f>
      </c>
      <c r="B97" s="118">
        <f>IF(ITEM!$B88="","",ITEM!$B88)</f>
      </c>
      <c r="C97" s="119"/>
      <c r="D97" s="4">
        <f>IF(ITEM!$B88="","",ITEM!$C88)</f>
      </c>
      <c r="E97" s="5">
        <f>IF(ITEM!$B88="","",ITEM!$D88)</f>
      </c>
      <c r="F97" s="6">
        <f>IF(ITEM!$B88="","",ITEM!$E88)</f>
      </c>
      <c r="G97" s="6">
        <f>IF(ITEM!$B88="","",ITEM!$F88)</f>
      </c>
    </row>
    <row r="98" spans="1:7" ht="13.05" hidden="1" customHeight="1" outlineLevel="2" x14ac:dyDescent="0.45">
      <c r="A98" s="4">
        <f>IF(ITEM!$B89="","",ITEM!$A89)</f>
      </c>
      <c r="B98" s="118">
        <f>IF(ITEM!$B89="","",ITEM!$B89)</f>
      </c>
      <c r="C98" s="119"/>
      <c r="D98" s="4">
        <f>IF(ITEM!$B89="","",ITEM!$C89)</f>
      </c>
      <c r="E98" s="5">
        <f>IF(ITEM!$B89="","",ITEM!$D89)</f>
      </c>
      <c r="F98" s="6">
        <f>IF(ITEM!$B89="","",ITEM!$E89)</f>
      </c>
      <c r="G98" s="6">
        <f>IF(ITEM!$B89="","",ITEM!$F89)</f>
      </c>
    </row>
    <row r="99" spans="1:7" ht="13.05" hidden="1" customHeight="1" outlineLevel="2" x14ac:dyDescent="0.45">
      <c r="A99" s="4">
        <f>IF(ITEM!$B90="","",ITEM!$A90)</f>
      </c>
      <c r="B99" s="118">
        <f>IF(ITEM!$B90="","",ITEM!$B90)</f>
      </c>
      <c r="C99" s="119"/>
      <c r="D99" s="4">
        <f>IF(ITEM!$B90="","",ITEM!$C90)</f>
      </c>
      <c r="E99" s="5">
        <f>IF(ITEM!$B90="","",ITEM!$D90)</f>
      </c>
      <c r="F99" s="6">
        <f>IF(ITEM!$B90="","",ITEM!$E90)</f>
      </c>
      <c r="G99" s="6">
        <f>IF(ITEM!$B90="","",ITEM!$F90)</f>
      </c>
    </row>
    <row r="100" spans="1:7" ht="13.05" hidden="1" customHeight="1" outlineLevel="2" x14ac:dyDescent="0.45">
      <c r="A100" s="4">
        <f>IF(ITEM!$B91="","",ITEM!$A91)</f>
      </c>
      <c r="B100" s="118">
        <f>IF(ITEM!$B91="","",ITEM!$B91)</f>
      </c>
      <c r="C100" s="119"/>
      <c r="D100" s="4">
        <f>IF(ITEM!$B91="","",ITEM!$C91)</f>
      </c>
      <c r="E100" s="5">
        <f>IF(ITEM!$B91="","",ITEM!$D91)</f>
      </c>
      <c r="F100" s="6">
        <f>IF(ITEM!$B91="","",ITEM!$E91)</f>
      </c>
      <c r="G100" s="6">
        <f>IF(ITEM!$B91="","",ITEM!$F91)</f>
      </c>
    </row>
    <row r="101" spans="1:7" ht="13.05" hidden="1" customHeight="1" outlineLevel="2" x14ac:dyDescent="0.45">
      <c r="A101" s="4">
        <f>IF(ITEM!$B92="","",ITEM!$A92)</f>
      </c>
      <c r="B101" s="118">
        <f>IF(ITEM!$B92="","",ITEM!$B92)</f>
      </c>
      <c r="C101" s="119"/>
      <c r="D101" s="4">
        <f>IF(ITEM!$B92="","",ITEM!$C92)</f>
      </c>
      <c r="E101" s="5">
        <f>IF(ITEM!$B92="","",ITEM!$D92)</f>
      </c>
      <c r="F101" s="6">
        <f>IF(ITEM!$B92="","",ITEM!$E92)</f>
      </c>
      <c r="G101" s="6">
        <f>IF(ITEM!$B92="","",ITEM!$F92)</f>
      </c>
    </row>
    <row r="102" spans="1:7" ht="13.05" hidden="1" customHeight="1" outlineLevel="2" x14ac:dyDescent="0.45">
      <c r="A102" s="4">
        <f>IF(ITEM!$B93="","",ITEM!$A93)</f>
      </c>
      <c r="B102" s="118">
        <f>IF(ITEM!$B93="","",ITEM!$B93)</f>
      </c>
      <c r="C102" s="119"/>
      <c r="D102" s="4">
        <f>IF(ITEM!$B93="","",ITEM!$C93)</f>
      </c>
      <c r="E102" s="5">
        <f>IF(ITEM!$B93="","",ITEM!$D93)</f>
      </c>
      <c r="F102" s="6">
        <f>IF(ITEM!$B93="","",ITEM!$E93)</f>
      </c>
      <c r="G102" s="6">
        <f>IF(ITEM!$B93="","",ITEM!$F93)</f>
      </c>
    </row>
    <row r="103" spans="1:7" ht="13.05" hidden="1" customHeight="1" outlineLevel="2" x14ac:dyDescent="0.45">
      <c r="A103" s="4">
        <f>IF(ITEM!$B94="","",ITEM!$A94)</f>
      </c>
      <c r="B103" s="118">
        <f>IF(ITEM!$B94="","",ITEM!$B94)</f>
      </c>
      <c r="C103" s="119"/>
      <c r="D103" s="4">
        <f>IF(ITEM!$B94="","",ITEM!$C94)</f>
      </c>
      <c r="E103" s="5">
        <f>IF(ITEM!$B94="","",ITEM!$D94)</f>
      </c>
      <c r="F103" s="6">
        <f>IF(ITEM!$B94="","",ITEM!$E94)</f>
      </c>
      <c r="G103" s="6">
        <f>IF(ITEM!$B94="","",ITEM!$F94)</f>
      </c>
    </row>
    <row r="104" spans="1:7" ht="13.05" hidden="1" customHeight="1" outlineLevel="2" x14ac:dyDescent="0.45">
      <c r="A104" s="4">
        <f>IF(ITEM!$B95="","",ITEM!$A95)</f>
      </c>
      <c r="B104" s="118">
        <f>IF(ITEM!$B95="","",ITEM!$B95)</f>
      </c>
      <c r="C104" s="119"/>
      <c r="D104" s="4">
        <f>IF(ITEM!$B95="","",ITEM!$C95)</f>
      </c>
      <c r="E104" s="5">
        <f>IF(ITEM!$B95="","",ITEM!$D95)</f>
      </c>
      <c r="F104" s="6">
        <f>IF(ITEM!$B95="","",ITEM!$E95)</f>
      </c>
      <c r="G104" s="6">
        <f>IF(ITEM!$B95="","",ITEM!$F95)</f>
      </c>
    </row>
    <row r="105" spans="1:7" ht="13.05" hidden="1" customHeight="1" outlineLevel="2" x14ac:dyDescent="0.45">
      <c r="A105" s="4">
        <f>IF(ITEM!$B96="","",ITEM!$A96)</f>
      </c>
      <c r="B105" s="118">
        <f>IF(ITEM!$B96="","",ITEM!$B96)</f>
      </c>
      <c r="C105" s="119"/>
      <c r="D105" s="4">
        <f>IF(ITEM!$B96="","",ITEM!$C96)</f>
      </c>
      <c r="E105" s="5">
        <f>IF(ITEM!$B96="","",ITEM!$D96)</f>
      </c>
      <c r="F105" s="6">
        <f>IF(ITEM!$B96="","",ITEM!$E96)</f>
      </c>
      <c r="G105" s="6">
        <f>IF(ITEM!$B96="","",ITEM!$F96)</f>
      </c>
    </row>
    <row r="106" spans="1:7" ht="13.05" hidden="1" customHeight="1" outlineLevel="2" x14ac:dyDescent="0.45">
      <c r="A106" s="4">
        <f>IF(ITEM!$B97="","",ITEM!$A97)</f>
      </c>
      <c r="B106" s="118">
        <f>IF(ITEM!$B97="","",ITEM!$B97)</f>
      </c>
      <c r="C106" s="119"/>
      <c r="D106" s="4">
        <f>IF(ITEM!$B97="","",ITEM!$C97)</f>
      </c>
      <c r="E106" s="5">
        <f>IF(ITEM!$B97="","",ITEM!$D97)</f>
      </c>
      <c r="F106" s="6">
        <f>IF(ITEM!$B97="","",ITEM!$E97)</f>
      </c>
      <c r="G106" s="6">
        <f>IF(ITEM!$B97="","",ITEM!$F97)</f>
      </c>
    </row>
    <row r="107" spans="1:7" ht="13.05" hidden="1" customHeight="1" outlineLevel="2" x14ac:dyDescent="0.45">
      <c r="A107" s="4">
        <f>IF(ITEM!$B98="","",ITEM!$A98)</f>
      </c>
      <c r="B107" s="118">
        <f>IF(ITEM!$B98="","",ITEM!$B98)</f>
      </c>
      <c r="C107" s="119"/>
      <c r="D107" s="4">
        <f>IF(ITEM!$B98="","",ITEM!$C98)</f>
      </c>
      <c r="E107" s="5">
        <f>IF(ITEM!$B98="","",ITEM!$D98)</f>
      </c>
      <c r="F107" s="6">
        <f>IF(ITEM!$B98="","",ITEM!$E98)</f>
      </c>
      <c r="G107" s="6">
        <f>IF(ITEM!$B98="","",ITEM!$F98)</f>
      </c>
    </row>
    <row r="108" spans="1:7" ht="13.05" hidden="1" customHeight="1" outlineLevel="2" x14ac:dyDescent="0.45">
      <c r="A108" s="4">
        <f>IF(ITEM!$B99="","",ITEM!$A99)</f>
      </c>
      <c r="B108" s="118">
        <f>IF(ITEM!$B99="","",ITEM!$B99)</f>
      </c>
      <c r="C108" s="119"/>
      <c r="D108" s="4">
        <f>IF(ITEM!$B99="","",ITEM!$C99)</f>
      </c>
      <c r="E108" s="5">
        <f>IF(ITEM!$B99="","",ITEM!$D99)</f>
      </c>
      <c r="F108" s="6">
        <f>IF(ITEM!$B99="","",ITEM!$E99)</f>
      </c>
      <c r="G108" s="6">
        <f>IF(ITEM!$B99="","",ITEM!$F99)</f>
      </c>
    </row>
    <row r="109" spans="1:7" ht="13.05" hidden="1" customHeight="1" outlineLevel="2" x14ac:dyDescent="0.45">
      <c r="A109" s="4">
        <f>IF(ITEM!$B100="","",ITEM!$A100)</f>
      </c>
      <c r="B109" s="118">
        <f>IF(ITEM!$B100="","",ITEM!$B100)</f>
      </c>
      <c r="C109" s="119"/>
      <c r="D109" s="4">
        <f>IF(ITEM!$B100="","",ITEM!$C100)</f>
      </c>
      <c r="E109" s="5">
        <f>IF(ITEM!$B100="","",ITEM!$D100)</f>
      </c>
      <c r="F109" s="6">
        <f>IF(ITEM!$B100="","",ITEM!$E100)</f>
      </c>
      <c r="G109" s="6">
        <f>IF(ITEM!$B100="","",ITEM!$F100)</f>
      </c>
    </row>
    <row r="110" spans="1:7" ht="13.05" hidden="1" customHeight="1" outlineLevel="2" x14ac:dyDescent="0.45">
      <c r="A110" s="4">
        <f>IF(ITEM!$B101="","",ITEM!$A101)</f>
      </c>
      <c r="B110" s="118">
        <f>IF(ITEM!$B101="","",ITEM!$B101)</f>
      </c>
      <c r="C110" s="119"/>
      <c r="D110" s="4">
        <f>IF(ITEM!$B101="","",ITEM!$C101)</f>
      </c>
      <c r="E110" s="5">
        <f>IF(ITEM!$B101="","",ITEM!$D101)</f>
      </c>
      <c r="F110" s="6">
        <f>IF(ITEM!$B101="","",ITEM!$E101)</f>
      </c>
      <c r="G110" s="6">
        <f>IF(ITEM!$B101="","",ITEM!$F101)</f>
      </c>
    </row>
    <row r="111" spans="1:7" ht="13.05" hidden="1" customHeight="1" outlineLevel="2" x14ac:dyDescent="0.45">
      <c r="A111" s="4">
        <f>IF(ITEM!$B102="","",ITEM!$A102)</f>
      </c>
      <c r="B111" s="118">
        <f>IF(ITEM!$B102="","",ITEM!$B102)</f>
      </c>
      <c r="C111" s="119"/>
      <c r="D111" s="4">
        <f>IF(ITEM!$B102="","",ITEM!$C102)</f>
      </c>
      <c r="E111" s="5">
        <f>IF(ITEM!$B102="","",ITEM!$D102)</f>
      </c>
      <c r="F111" s="6">
        <f>IF(ITEM!$B102="","",ITEM!$E102)</f>
      </c>
      <c r="G111" s="6">
        <f>IF(ITEM!$B102="","",ITEM!$F102)</f>
      </c>
    </row>
    <row r="112" spans="1:7" ht="13.05" hidden="1" customHeight="1" outlineLevel="2" x14ac:dyDescent="0.45">
      <c r="A112" s="4">
        <f>IF(ITEM!$B103="","",ITEM!$A103)</f>
      </c>
      <c r="B112" s="118">
        <f>IF(ITEM!$B103="","",ITEM!$B103)</f>
      </c>
      <c r="C112" s="119"/>
      <c r="D112" s="4">
        <f>IF(ITEM!$B103="","",ITEM!$C103)</f>
      </c>
      <c r="E112" s="5">
        <f>IF(ITEM!$B103="","",ITEM!$D103)</f>
      </c>
      <c r="F112" s="6">
        <f>IF(ITEM!$B103="","",ITEM!$E103)</f>
      </c>
      <c r="G112" s="6">
        <f>IF(ITEM!$B103="","",ITEM!$F103)</f>
      </c>
    </row>
    <row r="113" spans="1:7" ht="13.05" customHeight="1" x14ac:dyDescent="0.45">
      <c r="A113" s="126" t="s">
        <v>103</v>
      </c>
      <c r="B113" s="127"/>
      <c r="C113" s="127"/>
      <c r="D113" s="127"/>
      <c r="E113" s="127"/>
      <c r="F113" s="128"/>
      <c r="G113" s="7">
        <f>ITEM!$C$107</f>
      </c>
    </row>
    <row r="114" spans="1:7" ht="13.05" customHeight="1" x14ac:dyDescent="0.45">
      <c r="A114" s="126" t="s">
        <v>94</v>
      </c>
      <c r="B114" s="127"/>
      <c r="C114" s="127"/>
      <c r="D114" s="127"/>
      <c r="E114" s="127"/>
      <c r="F114" s="128"/>
      <c r="G114" s="7">
        <f>ITEM!$C$108</f>
      </c>
    </row>
    <row r="115" spans="1:7" ht="13.05" customHeight="1" x14ac:dyDescent="0.45">
      <c r="A115" s="126" t="s">
        <v>104</v>
      </c>
      <c r="B115" s="127"/>
      <c r="C115" s="127"/>
      <c r="D115" s="127"/>
      <c r="E115" s="127"/>
      <c r="F115" s="128"/>
      <c r="G115" s="7">
        <f>ITEM!$C$109</f>
      </c>
    </row>
    <row r="116" spans="1:7" ht="24" customHeight="1" x14ac:dyDescent="0.45">
      <c r="A116" s="133" t="s">
        <v>105</v>
      </c>
      <c r="B116" s="134"/>
      <c r="C116" s="135">
        <f>": "&amp;HELPER!$L$4</f>
      </c>
      <c r="D116" s="136"/>
      <c r="E116" s="136"/>
      <c r="F116" s="136"/>
      <c r="G116" s="136"/>
    </row>
    <row r="117" spans="1:7" ht="13.05" customHeight="1" x14ac:dyDescent="0.45">
      <c r="A117" s="3"/>
      <c r="B117" s="3"/>
      <c r="C117" s="3"/>
      <c r="D117" s="3"/>
      <c r="E117" s="3"/>
      <c r="F117" s="3"/>
      <c r="G117" s="3"/>
    </row>
    <row r="118" spans="1:7" ht="13.05" customHeight="1" x14ac:dyDescent="0.45">
      <c r="A118" s="9" t="s">
        <v>106</v>
      </c>
      <c r="B118" s="9"/>
      <c r="C118" s="3"/>
      <c r="D118" s="3"/>
      <c r="E118" s="3"/>
      <c r="F118" s="3"/>
      <c r="G118" s="3"/>
    </row>
    <row r="119" spans="1:7" ht="13.05" customHeight="1" x14ac:dyDescent="0.45">
      <c r="A119" s="22">
        <v>1</v>
      </c>
      <c r="B119" s="120" t="s">
        <v>107</v>
      </c>
      <c r="C119" s="121"/>
      <c r="D119" s="130">
        <f>"Rp "&amp;HELPER!$H$27</f>
      </c>
      <c r="E119" s="121"/>
      <c r="F119" s="121"/>
      <c r="G119" s="121"/>
    </row>
    <row r="120" spans="1:7" ht="13.05" customHeight="1" x14ac:dyDescent="0.45">
      <c r="A120" s="22">
        <v>2</v>
      </c>
      <c r="B120" s="120" t="s">
        <v>108</v>
      </c>
      <c r="C120" s="121"/>
      <c r="D120" s="121"/>
      <c r="E120" s="121"/>
      <c r="F120" s="121"/>
      <c r="G120" s="121"/>
    </row>
    <row r="121" spans="1:7" ht="13.05" customHeight="1" x14ac:dyDescent="0.45">
      <c r="A121" s="22"/>
      <c r="B121" s="131" t="s">
        <v>109</v>
      </c>
      <c r="C121" s="132"/>
      <c r="D121" s="132"/>
      <c r="E121" s="132"/>
      <c r="F121" s="132"/>
      <c r="G121" s="132"/>
    </row>
    <row r="122" spans="1:7" ht="13.05" customHeight="1" x14ac:dyDescent="0.45">
      <c r="A122" s="22"/>
      <c r="B122" s="131" t="s">
        <v>110</v>
      </c>
      <c r="C122" s="132"/>
      <c r="D122" s="132"/>
      <c r="E122" s="132"/>
      <c r="F122" s="132"/>
      <c r="G122" s="132"/>
    </row>
    <row r="123" spans="1:7" ht="13.05" customHeight="1" x14ac:dyDescent="0.45">
      <c r="A123" s="22"/>
      <c r="B123" s="131" t="s">
        <v>111</v>
      </c>
      <c r="C123" s="132"/>
      <c r="D123" s="132"/>
      <c r="E123" s="132"/>
      <c r="F123" s="132"/>
      <c r="G123" s="132"/>
    </row>
    <row r="124" spans="1:7" ht="13.05" customHeight="1" x14ac:dyDescent="0.45">
      <c r="A124" s="22">
        <v>3</v>
      </c>
      <c r="B124" s="120">
        <f>"Waktu pengadaan material / alat terhitung sejak tanggal dikeluarkannya sampai dengan Tanggal. "&amp;TEXT(INPUT!$B$37,"dd mmmm yyyy")</f>
      </c>
      <c r="C124" s="121"/>
      <c r="D124" s="121"/>
      <c r="E124" s="121"/>
      <c r="F124" s="121"/>
      <c r="G124" s="121"/>
    </row>
    <row r="125" spans="1:7" ht="13.05" customHeight="1" x14ac:dyDescent="0.45">
      <c r="A125" s="22">
        <v>4</v>
      </c>
      <c r="B125" s="120">
        <f>"Lokasi Serah Terima Material / Franco : "&amp;INPUT!$B$39</f>
      </c>
      <c r="C125" s="121"/>
      <c r="D125" s="121"/>
      <c r="E125" s="121"/>
      <c r="F125" s="121"/>
      <c r="G125" s="121"/>
    </row>
    <row r="126" spans="1:7" ht="27.5" customHeight="1" x14ac:dyDescent="0.45">
      <c r="A126" s="22">
        <v>5</v>
      </c>
      <c r="B126" s="120" t="s">
        <v>112</v>
      </c>
      <c r="C126" s="148"/>
      <c r="D126" s="148"/>
      <c r="E126" s="148"/>
      <c r="F126" s="148"/>
      <c r="G126" s="148"/>
    </row>
    <row r="127" spans="1:7" ht="13.05" customHeight="1" x14ac:dyDescent="0.45">
      <c r="A127" s="22">
        <v>6</v>
      </c>
      <c r="B127" s="120" t="s">
        <v>113</v>
      </c>
      <c r="C127" s="121"/>
      <c r="D127" s="121"/>
      <c r="E127" s="121"/>
      <c r="F127" s="121"/>
      <c r="G127" s="121"/>
    </row>
    <row r="128" spans="1:7" ht="27.5" customHeight="1" x14ac:dyDescent="0.45">
      <c r="A128" s="22">
        <v>7</v>
      </c>
      <c r="B128" s="120" t="s">
        <v>114</v>
      </c>
      <c r="C128" s="149"/>
      <c r="D128" s="149"/>
      <c r="E128" s="149"/>
      <c r="F128" s="149"/>
      <c r="G128" s="149"/>
    </row>
    <row r="129" spans="1:7" ht="27.5" customHeight="1" x14ac:dyDescent="0.45">
      <c r="A129" s="22">
        <v>8</v>
      </c>
      <c r="B129" s="120" t="s">
        <v>115</v>
      </c>
      <c r="C129" s="150"/>
      <c r="D129" s="150"/>
      <c r="E129" s="150"/>
      <c r="F129" s="150"/>
      <c r="G129" s="150"/>
    </row>
    <row r="130" spans="1:7" ht="13.05" customHeight="1" x14ac:dyDescent="0.45">
      <c r="A130" s="22">
        <v>9</v>
      </c>
      <c r="B130" s="120">
        <f>"Pembayaran dilakukan dengan Reguler Tempo "&amp;INPUT!$B$43&amp;" ("&amp;INPUT!$B$44&amp;") hari Kerja, setelah invoice diterima dengan benar dan lengkap,"</f>
      </c>
      <c r="C130" s="121"/>
      <c r="D130" s="121"/>
      <c r="E130" s="121"/>
      <c r="F130" s="121"/>
      <c r="G130" s="121"/>
    </row>
    <row r="131" spans="1:7" ht="13.05" customHeight="1" x14ac:dyDescent="0.45">
      <c r="A131" s="22"/>
      <c r="B131" s="120" t="s">
        <v>116</v>
      </c>
      <c r="C131" s="129"/>
      <c r="D131" s="129"/>
      <c r="E131" s="129"/>
      <c r="F131" s="129"/>
      <c r="G131" s="129"/>
    </row>
    <row r="132" spans="1:7" ht="13.05" customHeight="1" x14ac:dyDescent="0.45">
      <c r="A132" s="22"/>
      <c r="B132" s="120" t="s">
        <v>117</v>
      </c>
      <c r="C132" s="129"/>
      <c r="D132" s="129"/>
      <c r="E132" s="129"/>
      <c r="F132" s="129"/>
      <c r="G132" s="129"/>
    </row>
    <row r="133" spans="1:7" ht="13.05" customHeight="1" x14ac:dyDescent="0.45">
      <c r="A133" s="22"/>
      <c r="B133" s="120">
        <f>"Ac. Name : "&amp;INPUT!$B$27</f>
      </c>
      <c r="C133" s="121"/>
      <c r="D133" s="121"/>
      <c r="E133" s="121"/>
      <c r="F133" s="121"/>
      <c r="G133" s="121"/>
    </row>
    <row r="134" spans="1:7" ht="13.05" customHeight="1" x14ac:dyDescent="0.45">
      <c r="A134" s="22"/>
      <c r="B134" s="120">
        <f>"Ac. Number : "&amp;INPUT!$B$28</f>
      </c>
      <c r="C134" s="121"/>
      <c r="D134" s="121"/>
      <c r="E134" s="121"/>
      <c r="F134" s="121"/>
      <c r="G134" s="121"/>
    </row>
    <row r="135" spans="1:7" ht="13.05" customHeight="1" x14ac:dyDescent="0.45">
      <c r="A135" s="22"/>
      <c r="B135" s="120">
        <f>"Bank : "&amp;INPUT!$B$29</f>
      </c>
      <c r="C135" s="121"/>
      <c r="D135" s="121"/>
      <c r="E135" s="121"/>
      <c r="F135" s="121"/>
      <c r="G135" s="121"/>
    </row>
    <row r="136" spans="1:7" ht="13.05" customHeight="1" x14ac:dyDescent="0.45">
      <c r="A136" s="22">
        <v>10</v>
      </c>
      <c r="B136" s="120">
        <f>"Nomor NPWP : "&amp;INPUT!$B$15&amp;" atas nama "&amp;UPPER(INPUT!$B$6)</f>
      </c>
      <c r="C136" s="121"/>
      <c r="D136" s="121"/>
      <c r="E136" s="121"/>
      <c r="F136" s="121"/>
      <c r="G136" s="121"/>
    </row>
    <row r="137" spans="1:7" ht="13.05" customHeight="1" x14ac:dyDescent="0.45">
      <c r="A137" s="22">
        <v>11</v>
      </c>
      <c r="B137" s="120">
        <f>"Korespondensi atau informasi pengiriman ditujukan ke Sdr. "&amp;INPUT!$B$14</f>
      </c>
      <c r="C137" s="121"/>
      <c r="D137" s="121"/>
      <c r="E137" s="121"/>
      <c r="F137" s="121"/>
      <c r="G137" s="121"/>
    </row>
    <row r="138" spans="1:7" ht="27.5" customHeight="1" x14ac:dyDescent="0.45">
      <c r="A138" s="22">
        <v>12</v>
      </c>
      <c r="B138" s="120">
        <f>"Keberterimaan : "&amp;INPUT!$B$50</f>
      </c>
      <c r="C138" s="121"/>
      <c r="D138" s="121"/>
      <c r="E138" s="121"/>
      <c r="F138" s="121"/>
      <c r="G138" s="121"/>
    </row>
    <row r="139" spans="1:7" ht="13.05" customHeight="1" x14ac:dyDescent="0.45">
      <c r="A139" s="3"/>
      <c r="B139" s="3"/>
      <c r="C139" s="3"/>
      <c r="D139" s="3"/>
      <c r="E139" s="10"/>
      <c r="F139" s="10"/>
      <c r="G139" s="10"/>
    </row>
    <row r="140" spans="1:7" ht="13.05" customHeight="1" x14ac:dyDescent="0.45">
      <c r="A140" s="2" t="s">
        <v>118</v>
      </c>
      <c r="B140" s="2"/>
      <c r="C140" s="2"/>
      <c r="D140" s="2"/>
      <c r="E140" s="2"/>
      <c r="F140" s="2"/>
      <c r="G140" s="2"/>
    </row>
    <row r="141" spans="1:7" ht="13.05" customHeight="1" x14ac:dyDescent="0.45">
      <c r="A141" s="2" t="s">
        <v>119</v>
      </c>
      <c r="B141" s="2"/>
      <c r="C141" s="2"/>
      <c r="D141" s="2"/>
      <c r="E141" s="125">
        <f>"Jakarta, "&amp;TEXT(INPUT!$B$36,"dd mmmm yyyy")</f>
      </c>
      <c r="F141" s="121"/>
      <c r="G141" s="121"/>
    </row>
    <row r="142" spans="1:7" ht="13.05" customHeight="1" x14ac:dyDescent="0.45">
      <c r="A142" s="3"/>
      <c r="B142" s="122">
        <f>UPPER(INPUT!$B$24)</f>
      </c>
      <c r="C142" s="121"/>
      <c r="D142" s="121"/>
      <c r="E142" s="2"/>
      <c r="F142" s="122">
        <f>UPPER(INPUT!$B$6)</f>
      </c>
      <c r="G142" s="125"/>
    </row>
    <row r="143" spans="1:7" ht="30" customHeight="1" x14ac:dyDescent="0.45">
      <c r="A143" s="3"/>
      <c r="B143" s="2"/>
      <c r="C143" s="2"/>
      <c r="D143" s="2"/>
      <c r="E143" s="2"/>
      <c r="F143" s="2"/>
      <c r="G143" s="2"/>
    </row>
    <row r="144" spans="1:7" ht="30" customHeight="1" x14ac:dyDescent="0.45">
      <c r="A144" s="3"/>
      <c r="B144" s="2"/>
      <c r="C144" s="2"/>
      <c r="D144" s="2"/>
      <c r="E144" s="2"/>
      <c r="F144" s="2"/>
      <c r="G144" s="2"/>
    </row>
    <row r="145" spans="1:7" ht="30" customHeight="1" x14ac:dyDescent="0.45">
      <c r="A145" s="3"/>
      <c r="B145" s="2"/>
      <c r="C145" s="2"/>
      <c r="D145" s="2"/>
      <c r="E145" s="2"/>
      <c r="F145" s="2"/>
      <c r="G145" s="2"/>
    </row>
    <row r="146" spans="1:7" ht="13.05" customHeight="1" x14ac:dyDescent="0.45">
      <c r="A146" s="3"/>
      <c r="B146" s="123">
        <f>INPUT!$B$23</f>
      </c>
      <c r="C146" s="124"/>
      <c r="D146" s="124"/>
      <c r="E146" s="2"/>
      <c r="F146" s="123">
        <f>INPUT!$B$19</f>
      </c>
      <c r="G146" s="146"/>
    </row>
    <row r="147" spans="1:7" ht="13.05" customHeight="1" x14ac:dyDescent="0.45">
      <c r="A147" s="3"/>
      <c r="B147" s="125" t="s">
        <v>120</v>
      </c>
      <c r="C147" s="121"/>
      <c r="D147" s="121"/>
      <c r="E147" s="2"/>
      <c r="F147" s="125">
        <f>INPUT!$B$20</f>
      </c>
      <c r="G147" s="125"/>
    </row>
    <row r="148" spans="1:7" ht="13.05" customHeight="1" x14ac:dyDescent="0.45">
      <c r="A148" s="3"/>
      <c r="B148" s="3"/>
      <c r="C148" s="3"/>
      <c r="D148" s="3"/>
      <c r="E148" s="3"/>
      <c r="F148" s="3"/>
      <c r="G148" s="3"/>
    </row>
    <row r="149" spans="1:7" ht="13.05" customHeight="1" x14ac:dyDescent="0.45">
      <c r="A149" s="90" t="s">
        <v>121</v>
      </c>
      <c r="B149" s="8"/>
      <c r="C149" s="3"/>
      <c r="D149" s="3"/>
      <c r="E149" s="3"/>
      <c r="F149" s="3"/>
      <c r="G149" s="3"/>
    </row>
    <row r="150" spans="1:7" ht="13.05" customHeight="1" x14ac:dyDescent="0.45">
      <c r="A150" s="92" t="s">
        <v>122</v>
      </c>
      <c r="B150" s="3"/>
      <c r="C150" s="3"/>
      <c r="D150" s="3"/>
      <c r="E150" s="3"/>
      <c r="F150" s="3"/>
      <c r="G150" s="3"/>
    </row>
  </sheetData>
  <mergeCells count="144">
    <mergeCell ref="B22:C22"/>
    <mergeCell ref="B23:C23"/>
    <mergeCell ref="B24:C24"/>
    <mergeCell ref="B25:C25"/>
    <mergeCell ref="B26:C26"/>
    <mergeCell ref="B27:C27"/>
    <mergeCell ref="F146:G146"/>
    <mergeCell ref="F147:G147"/>
    <mergeCell ref="C2:G2"/>
    <mergeCell ref="F142:G142"/>
    <mergeCell ref="E141:G141"/>
    <mergeCell ref="B123:G123"/>
    <mergeCell ref="B124:G124"/>
    <mergeCell ref="B125:G125"/>
    <mergeCell ref="B126:G126"/>
    <mergeCell ref="B127:G127"/>
    <mergeCell ref="B128:G128"/>
    <mergeCell ref="B129:G129"/>
    <mergeCell ref="B135:G135"/>
    <mergeCell ref="B136:G136"/>
    <mergeCell ref="B137:G137"/>
    <mergeCell ref="B57:C57"/>
    <mergeCell ref="B58:C58"/>
    <mergeCell ref="B59:C59"/>
    <mergeCell ref="B28:C28"/>
    <mergeCell ref="B29:C29"/>
    <mergeCell ref="B30:C30"/>
    <mergeCell ref="B31:C31"/>
    <mergeCell ref="B32:C32"/>
    <mergeCell ref="A1:G1"/>
    <mergeCell ref="A4:G4"/>
    <mergeCell ref="A5:G5"/>
    <mergeCell ref="A8:B8"/>
    <mergeCell ref="C8:G8"/>
    <mergeCell ref="A9:B9"/>
    <mergeCell ref="C9:G9"/>
    <mergeCell ref="A10:B10"/>
    <mergeCell ref="C10:G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3:C33"/>
    <mergeCell ref="B34:C34"/>
    <mergeCell ref="B35:C35"/>
    <mergeCell ref="A116:B116"/>
    <mergeCell ref="C116:G116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138:G138"/>
    <mergeCell ref="B142:D142"/>
    <mergeCell ref="B146:D146"/>
    <mergeCell ref="B147:D147"/>
    <mergeCell ref="A113:F113"/>
    <mergeCell ref="A114:F114"/>
    <mergeCell ref="A115:F115"/>
    <mergeCell ref="B130:G130"/>
    <mergeCell ref="B131:G131"/>
    <mergeCell ref="B132:G132"/>
    <mergeCell ref="B133:G133"/>
    <mergeCell ref="B134:G134"/>
    <mergeCell ref="B119:C119"/>
    <mergeCell ref="D119:G119"/>
    <mergeCell ref="B120:G120"/>
    <mergeCell ref="B121:G121"/>
    <mergeCell ref="B122:G122"/>
    <mergeCell ref="B65:C65"/>
    <mergeCell ref="B66:C66"/>
    <mergeCell ref="B67:C67"/>
    <mergeCell ref="B68:C68"/>
    <mergeCell ref="B69:C69"/>
    <mergeCell ref="B52:C52"/>
    <mergeCell ref="B53:C53"/>
    <mergeCell ref="B54:C54"/>
    <mergeCell ref="B55:C55"/>
    <mergeCell ref="B56:C56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110:C110"/>
    <mergeCell ref="B111:C111"/>
    <mergeCell ref="B112:C112"/>
    <mergeCell ref="B105:C105"/>
    <mergeCell ref="B106:C106"/>
    <mergeCell ref="B107:C107"/>
    <mergeCell ref="B108:C108"/>
    <mergeCell ref="B109:C109"/>
    <mergeCell ref="B100:C100"/>
    <mergeCell ref="B101:C101"/>
    <mergeCell ref="B102:C102"/>
    <mergeCell ref="B103:C103"/>
    <mergeCell ref="B104:C104"/>
  </mergeCells>
  <printOptions horizontalCentered="1"/>
  <pageMargins left="0.34722222222222221" right="0.34722222222222221" top="0.3888888888888889" bottom="0.3888888888888889" header="0.16666666666666666" footer="0.16666666666666666"/>
  <pageSetup paperSize="9" scale="69" orientation="portrait" r:id="rId1"/>
  <headerFooter>
    <oddFooter>&amp;RHal &amp;P dari &amp;N&amp;L&amp;Z&amp;F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002C-9EBA-43FF-9726-75C8EF1ACACA}">
  <sheetPr>
    <tabColor rgb="FF1F3864"/>
    <pageSetUpPr fitToPage="1"/>
  </sheetPr>
  <dimension ref="A1:O150"/>
  <sheetViews>
    <sheetView showGridLines="0" showRowColHeaders="0" topLeftCell="A15" zoomScale="70" zoomScaleNormal="70" workbookViewId="0">
      <selection activeCell="J27" sqref="J27"/>
    </sheetView>
  </sheetViews>
  <sheetFormatPr defaultRowHeight="14.25" outlineLevelRow="2" x14ac:dyDescent="0.45"/>
  <cols>
    <col min="1" max="1" width="5" customWidth="1"/>
    <col min="2" max="2" width="19.53125" customWidth="1"/>
    <col min="3" max="3" width="13.33203125" customWidth="1"/>
    <col min="4" max="4" width="11" customWidth="1"/>
    <col min="5" max="5" width="6.73046875" customWidth="1"/>
    <col min="6" max="9" width="10.33203125" customWidth="1"/>
    <col min="10" max="10" width="14.19921875" customWidth="1"/>
    <col min="11" max="11" width="16.33203125" customWidth="1"/>
  </cols>
  <sheetData>
    <row r="1" spans="1:15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2"/>
      <c r="M1" s="2"/>
      <c r="N1" s="90" t="s">
        <v>123</v>
      </c>
      <c r="O1" s="91">
        <v>1</v>
      </c>
    </row>
    <row r="2" spans="1:15" ht="13.05" customHeight="1" x14ac:dyDescent="0.45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2"/>
      <c r="M2" s="2"/>
      <c r="N2" s="90" t="s">
        <v>124</v>
      </c>
      <c r="O2" s="92" cm="1">
        <f t="array" ref="O2">IF(IFERROR(INDEX(INPUT!$B$55:$B$58,$O$1),0)=0,"",INDEX(INPUT!$B$55:$B$58,$O$1))</f>
      </c>
    </row>
    <row r="3" spans="1:15" ht="16.05" customHeight="1" x14ac:dyDescent="0.4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93"/>
      <c r="M3" s="93"/>
      <c r="N3" s="90" t="s">
        <v>125</v>
      </c>
      <c r="O3" s="92">
        <f>IF($O$2="","",TEXT($O$2,"dddd"))</f>
      </c>
    </row>
    <row r="4" spans="1:15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90" t="s">
        <v>126</v>
      </c>
      <c r="O4" s="92">
        <f>IF($O$2="","",IF(DAY($O$2)&lt;20,VLOOKUP(DAY($O$2),HELPER!$A$3:$B$22,2,0),IF(DAY($O$2)&lt;30,TRIM("Dua Puluh "&amp;VLOOKUP(DAY($O$2)-20,HELPER!$A$3:$B$22,2,0)),TRIM("Tiga Puluh "&amp;VLOOKUP(DAY($O$2)-30,HELPER!$A$3:$B$22,2,0)))))</f>
      </c>
    </row>
    <row r="5" spans="1:15" ht="22.05" customHeight="1" x14ac:dyDescent="0.5">
      <c r="A5" s="140" t="s">
        <v>127</v>
      </c>
      <c r="B5" s="140"/>
      <c r="C5" s="125"/>
      <c r="D5" s="125"/>
      <c r="E5" s="125"/>
      <c r="F5" s="125"/>
      <c r="G5" s="125"/>
      <c r="H5" s="125"/>
      <c r="I5" s="125"/>
      <c r="J5" s="125"/>
      <c r="K5" s="125"/>
      <c r="L5" s="2"/>
      <c r="M5" s="2"/>
      <c r="N5" s="90" t="s">
        <v>128</v>
      </c>
      <c r="O5" s="92">
        <f>IF($O$2="","",TEXT($O$2,"mmmm"))</f>
      </c>
    </row>
    <row r="6" spans="1:15" ht="16.05" customHeight="1" x14ac:dyDescent="0.45">
      <c r="A6" s="161" cm="1">
        <f t="array" ref="A6">IF($O$2="","","Nomor : "&amp;INDEX(INPUT!$C$55:$C$58,$O$1))</f>
      </c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2"/>
      <c r="M6" s="2"/>
      <c r="N6" s="90" t="s">
        <v>129</v>
      </c>
      <c r="O6" s="92">
        <f>IF($O$2="","",TRIM(IF(INT(YEAR($O$2)/1000)=1,"Seribu ",IF(INT(YEAR($O$2)/1000)=0,"",IF(INT(INT(YEAR($O$2)/1000)/100)=0,"",IF(INT(INT(YEAR($O$2)/1000)/100)=1,"Seratus ",VLOOKUP(INT(INT(YEAR($O$2)/1000)/100),HELPER!$A$3:$B$22,2,0)&amp;" Ratus "))&amp;IF(MOD(INT(YEAR($O$2)/1000),100)=0,"",IF(MOD(INT(YEAR($O$2)/1000),100)&lt;20,VLOOKUP(MOD(INT(YEAR($O$2)/1000),100),HELPER!$A$3:$B$22,2,0),VLOOKUP(INT(MOD(INT(YEAR($O$2)/1000),100)/10),HELPER!$A$3:$B$22,2,0)&amp;" Puluh "&amp;IF(MOD(INT(YEAR($O$2)/1000),10)=0,"",VLOOKUP(MOD(INT(YEAR($O$2)/1000),10),HELPER!$A$3:$B$22,2,0)))))&amp;" Ribu ")&amp;IF(MOD(YEAR($O$2),1000)=0,"",IF(INT(MOD(YEAR($O$2),1000)/100)=0,"",IF(INT(MOD(YEAR($O$2),1000)/100)=1,"Seratus ",VLOOKUP(INT(MOD(YEAR($O$2),1000)/100),HELPER!$A$3:$B$22,2,0)&amp;" Ratus "))&amp;IF(MOD(MOD(YEAR($O$2),1000),100)=0,"",IF(MOD(MOD(YEAR($O$2),1000),100)&lt;20,VLOOKUP(MOD(MOD(YEAR($O$2),1000),100),HELPER!$A$3:$B$22,2,0),VLOOKUP(INT(MOD(MOD(YEAR($O$2),1000),100)/10),HELPER!$A$3:$B$22,2,0)&amp;" Puluh "&amp;IF(MOD(MOD(YEAR($O$2),1000),10)=0,"",VLOOKUP(MOD(MOD(YEAR($O$2),1000),10),HELPER!$A$3:$B$22,2,0)))))))</f>
      </c>
    </row>
    <row r="7" spans="1:15" ht="13.05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90" t="s">
        <v>130</v>
      </c>
      <c r="O7" s="92">
        <f>IF($O$2="","","Pada hari ini "&amp;$O$3&amp;", tanggal "&amp;$O$4&amp;" bulan "&amp;$O$5&amp;" tahun "&amp;$O$6&amp;" ("&amp;TEXT($O$2,"dd/mm/yyyy")&amp;")")</f>
      </c>
    </row>
    <row r="8" spans="1:15" ht="13.05" customHeight="1" x14ac:dyDescent="0.45">
      <c r="A8" s="153">
        <f>IF($O$7="","",$O$7&amp;", telah diterima alat :")</f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2"/>
      <c r="M8" s="2"/>
      <c r="N8" s="90"/>
      <c r="O8" s="92"/>
    </row>
    <row r="9" spans="1:15" ht="13.0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2"/>
      <c r="M9" s="2"/>
      <c r="N9" s="90" t="s">
        <v>131</v>
      </c>
      <c r="O9" s="92">
        <f>$K$135</f>
      </c>
    </row>
    <row r="10" spans="1:15" ht="13.05" customHeight="1" x14ac:dyDescent="0.45">
      <c r="A10" s="3" t="s">
        <v>132</v>
      </c>
      <c r="B10" s="25" t="s">
        <v>133</v>
      </c>
      <c r="C10" s="130">
        <f>": "&amp;UPPER(INPUT!$B$24)</f>
      </c>
      <c r="D10" s="121"/>
      <c r="E10" s="121"/>
      <c r="F10" s="121"/>
      <c r="G10" s="121"/>
      <c r="H10" s="121"/>
      <c r="I10" s="121"/>
      <c r="J10" s="121"/>
      <c r="K10" s="121"/>
      <c r="L10" s="2"/>
      <c r="M10" s="2"/>
      <c r="N10" s="90" t="s">
        <v>134</v>
      </c>
      <c r="O10" s="92">
        <f>INT(ROUND($O$9,0)/1000000000)</f>
      </c>
    </row>
    <row r="11" spans="1:15" ht="13.05" customHeight="1" x14ac:dyDescent="0.45">
      <c r="A11" s="3"/>
      <c r="B11" s="3"/>
      <c r="C11" s="130">
        <f>"Sebagai Pihak Kedua"</f>
      </c>
      <c r="D11" s="121"/>
      <c r="E11" s="121"/>
      <c r="F11" s="121"/>
      <c r="G11" s="121"/>
      <c r="H11" s="121"/>
      <c r="I11" s="121"/>
      <c r="J11" s="121"/>
      <c r="K11" s="121"/>
      <c r="L11" s="2"/>
      <c r="M11" s="2"/>
      <c r="N11" s="90" t="s">
        <v>135</v>
      </c>
      <c r="O11" s="92">
        <f>MOD(INT(ROUND($O$9,0)/1000000),1000)</f>
      </c>
    </row>
    <row r="12" spans="1:15" ht="24" customHeight="1" x14ac:dyDescent="0.45">
      <c r="A12" s="24" t="s">
        <v>136</v>
      </c>
      <c r="B12" s="51" t="s">
        <v>137</v>
      </c>
      <c r="C12" s="130">
        <f>": "&amp;UPPER(INPUT!$B$6)&amp;" Proyek Pekerjaan "&amp;INPUT!$B$5</f>
      </c>
      <c r="D12" s="121"/>
      <c r="E12" s="121"/>
      <c r="F12" s="121"/>
      <c r="G12" s="121"/>
      <c r="H12" s="121"/>
      <c r="I12" s="121"/>
      <c r="J12" s="121"/>
      <c r="K12" s="121"/>
      <c r="L12" s="2"/>
      <c r="M12" s="2"/>
      <c r="N12" s="90" t="s">
        <v>138</v>
      </c>
      <c r="O12" s="92">
        <f>MOD(INT(ROUND($O$9,0)/1000),1000)</f>
      </c>
    </row>
    <row r="13" spans="1:15" ht="13.05" customHeight="1" x14ac:dyDescent="0.45">
      <c r="A13" s="3"/>
      <c r="B13" s="3"/>
      <c r="C13" s="130">
        <f>"Sebagai Pihak Pertama"</f>
      </c>
      <c r="D13" s="121"/>
      <c r="E13" s="121"/>
      <c r="F13" s="121"/>
      <c r="G13" s="121"/>
      <c r="H13" s="121"/>
      <c r="I13" s="121"/>
      <c r="J13" s="121"/>
      <c r="K13" s="121"/>
      <c r="L13" s="2"/>
      <c r="M13" s="2"/>
      <c r="N13" s="90" t="s">
        <v>139</v>
      </c>
      <c r="O13" s="92">
        <f>MOD(ROUND($O$9,0),1000)</f>
      </c>
    </row>
    <row r="14" spans="1:15" ht="13.0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2"/>
      <c r="M14" s="2"/>
      <c r="N14" s="90" t="s">
        <v>105</v>
      </c>
      <c r="O14" s="92">
        <f>IF(ROUND($O$9,0)=0,"== Nol Rupiah ==","== "&amp;TRIM(IF($O$10=0,"",IF($O$10=0,"",IF(INT($O$10/100)=0,"",IF(INT($O$10/100)=1,"Seratus ",VLOOKUP(INT($O$10/100),HELPER!$A$3:$B$22,2,0)&amp;" Ratus "))&amp;IF(MOD($O$10,100)=0,"",IF(MOD($O$10,100)&lt;20,VLOOKUP(MOD($O$10,100),HELPER!$A$3:$B$22,2,0),VLOOKUP(INT(MOD($O$10,100)/10),HELPER!$A$3:$B$22,2,0)&amp;" Puluh "&amp;IF(MOD($O$10,10)=0,"",VLOOKUP(MOD($O$10,10),HELPER!$A$3:$B$22,2,0)))))&amp;" Miliar ")&amp;IF($O$11=0,"",IF($O$11=1,"Satu Juta ",IF($O$11=0,"",IF(INT($O$11/100)=0,"",IF(INT($O$11/100)=1,"Seratus ",VLOOKUP(INT($O$11/100),HELPER!$A$3:$B$22,2,0)&amp;" Ratus "))&amp;IF(MOD($O$11,100)=0,"",IF(MOD($O$11,100)&lt;20,VLOOKUP(MOD($O$11,100),HELPER!$A$3:$B$22,2,0),VLOOKUP(INT(MOD($O$11,100)/10),HELPER!$A$3:$B$22,2,0)&amp;" Puluh "&amp;IF(MOD($O$11,10)=0,"",VLOOKUP(MOD($O$11,10),HELPER!$A$3:$B$22,2,0)))))&amp;" Juta "))&amp;IF($O$12=0,"",IF($O$12=1,"Seribu ",IF($O$12=0,"",IF(INT($O$12/100)=0,"",IF(INT($O$12/100)=1,"Seratus ",VLOOKUP(INT($O$12/100),HELPER!$A$3:$B$22,2,0)&amp;" Ratus "))&amp;IF(MOD($O$12,100)=0,"",IF(MOD($O$12,100)&lt;20,VLOOKUP(MOD($O$12,100),HELPER!$A$3:$B$22,2,0),VLOOKUP(INT(MOD($O$12,100)/10),HELPER!$A$3:$B$22,2,0)&amp;" Puluh "&amp;IF(MOD($O$12,10)=0,"",VLOOKUP(MOD($O$12,10),HELPER!$A$3:$B$22,2,0)))))&amp;" Ribu "))&amp;IF($O$13=0,"",IF(INT($O$13/100)=0,"",IF(INT($O$13/100)=1,"Seratus ",VLOOKUP(INT($O$13/100),HELPER!$A$3:$B$22,2,0)&amp;" Ratus "))&amp;IF(MOD($O$13,100)=0,"",IF(MOD($O$13,100)&lt;20,VLOOKUP(MOD($O$13,100),HELPER!$A$3:$B$22,2,0),VLOOKUP(INT(MOD($O$13,100)/10),HELPER!$A$3:$B$22,2,0)&amp;" Puluh "&amp;IF(MOD($O$13,10)=0,"",VLOOKUP(MOD($O$13,10),HELPER!$A$3:$B$22,2,0))))))&amp;" Rupiah ==")</f>
      </c>
    </row>
    <row r="15" spans="1:15" ht="13.05" customHeight="1" x14ac:dyDescent="0.45">
      <c r="A15" s="153" t="s">
        <v>140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2"/>
      <c r="M15" s="2"/>
      <c r="N15" s="2"/>
      <c r="O15" s="2"/>
    </row>
    <row r="16" spans="1:15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</row>
    <row r="17" spans="1:15" ht="13.05" customHeight="1" x14ac:dyDescent="0.45">
      <c r="A17" s="26">
        <v>1</v>
      </c>
      <c r="B17" s="52" t="s">
        <v>141</v>
      </c>
      <c r="C17" s="130">
        <f>": "&amp;INPUT!$B$35&amp;"     Tanggal : "&amp;TEXT(INPUT!$B$36,"dd mmmm yyyy")</f>
      </c>
      <c r="D17" s="121"/>
      <c r="E17" s="121"/>
      <c r="F17" s="121"/>
      <c r="G17" s="121"/>
      <c r="H17" s="121"/>
      <c r="I17" s="121"/>
      <c r="J17" s="121"/>
      <c r="K17" s="121"/>
      <c r="L17" s="2"/>
      <c r="M17" s="2"/>
      <c r="N17" s="2"/>
      <c r="O17" s="2"/>
    </row>
    <row r="18" spans="1:15" ht="13.05" customHeight="1" x14ac:dyDescent="0.45">
      <c r="A18" s="26">
        <v>2</v>
      </c>
      <c r="B18" s="52" t="s">
        <v>142</v>
      </c>
      <c r="C18" s="130">
        <f>": Rp "&amp;HELPER!$I$28&amp;" (Exclude PPN)"</f>
      </c>
      <c r="D18" s="121"/>
      <c r="E18" s="121"/>
      <c r="F18" s="121"/>
      <c r="G18" s="121"/>
      <c r="H18" s="121"/>
      <c r="I18" s="121"/>
      <c r="J18" s="121"/>
      <c r="K18" s="121"/>
      <c r="L18" s="2"/>
      <c r="M18" s="2"/>
      <c r="N18" s="2"/>
      <c r="O18" s="2"/>
    </row>
    <row r="19" spans="1:15" ht="13.05" customHeight="1" x14ac:dyDescent="0.45">
      <c r="A19" s="26">
        <v>3</v>
      </c>
      <c r="B19" s="52" t="s">
        <v>143</v>
      </c>
      <c r="C19" s="130">
        <f>": "&amp;TEXT(INPUT!$B$36,"dd mmmm yyyy")&amp;" s/d "&amp;TEXT(INPUT!$B$37,"dd mmmm yyyy")</f>
      </c>
      <c r="D19" s="121"/>
      <c r="E19" s="121"/>
      <c r="F19" s="121"/>
      <c r="G19" s="121"/>
      <c r="H19" s="121"/>
      <c r="I19" s="121"/>
      <c r="J19" s="121"/>
      <c r="K19" s="121"/>
      <c r="L19" s="2"/>
      <c r="M19" s="2"/>
      <c r="N19" s="2"/>
      <c r="O19" s="2"/>
    </row>
    <row r="20" spans="1:15" ht="13.05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2"/>
      <c r="M20" s="2"/>
      <c r="N20" s="2"/>
      <c r="O20" s="2"/>
    </row>
    <row r="21" spans="1:15" ht="13.05" customHeight="1" x14ac:dyDescent="0.45">
      <c r="A21" s="153" t="s">
        <v>144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2"/>
      <c r="M21" s="2"/>
      <c r="N21" s="2"/>
      <c r="O21" s="2"/>
    </row>
    <row r="22" spans="1:15" ht="13.05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2"/>
      <c r="M22" s="2"/>
      <c r="N22" s="2"/>
      <c r="O22" s="2"/>
    </row>
    <row r="23" spans="1:15" ht="26" customHeight="1" x14ac:dyDescent="0.45">
      <c r="A23" s="155" t="s">
        <v>73</v>
      </c>
      <c r="B23" s="144" t="s">
        <v>145</v>
      </c>
      <c r="C23" s="145"/>
      <c r="D23" s="155" t="s">
        <v>76</v>
      </c>
      <c r="E23" s="155" t="s">
        <v>146</v>
      </c>
      <c r="F23" s="154" t="s">
        <v>147</v>
      </c>
      <c r="G23" s="154"/>
      <c r="H23" s="154"/>
      <c r="I23" s="154"/>
      <c r="J23" s="155" t="s">
        <v>148</v>
      </c>
      <c r="K23" s="155" t="s">
        <v>78</v>
      </c>
      <c r="L23" s="2"/>
      <c r="M23" s="2"/>
      <c r="N23" s="2"/>
      <c r="O23" s="2"/>
    </row>
    <row r="24" spans="1:15" ht="24" customHeight="1" x14ac:dyDescent="0.45">
      <c r="A24" s="156"/>
      <c r="B24" s="157"/>
      <c r="C24" s="158"/>
      <c r="D24" s="156"/>
      <c r="E24" s="156"/>
      <c r="F24" s="12" t="s">
        <v>149</v>
      </c>
      <c r="G24" s="12" t="s">
        <v>150</v>
      </c>
      <c r="H24" s="12" t="s">
        <v>151</v>
      </c>
      <c r="I24" s="12" t="s">
        <v>152</v>
      </c>
      <c r="J24" s="156"/>
      <c r="K24" s="156"/>
      <c r="L24" s="2"/>
      <c r="M24" s="2"/>
      <c r="N24" s="2"/>
      <c r="O24" s="2"/>
    </row>
    <row r="25" spans="1:15" ht="12" customHeight="1" x14ac:dyDescent="0.45">
      <c r="A25" s="21">
        <v>1</v>
      </c>
      <c r="B25" s="163">
        <v>2</v>
      </c>
      <c r="C25" s="164"/>
      <c r="D25" s="21">
        <v>3</v>
      </c>
      <c r="E25" s="21">
        <v>4</v>
      </c>
      <c r="F25" s="21">
        <v>5</v>
      </c>
      <c r="G25" s="21">
        <v>6</v>
      </c>
      <c r="H25" s="21" t="s">
        <v>153</v>
      </c>
      <c r="I25" s="21" t="s">
        <v>154</v>
      </c>
      <c r="J25" s="21">
        <v>9</v>
      </c>
      <c r="K25" s="21" t="s">
        <v>155</v>
      </c>
      <c r="L25" s="2"/>
      <c r="M25" s="2"/>
      <c r="N25" s="2"/>
      <c r="O25" s="2"/>
    </row>
    <row r="26" spans="1:15" ht="13.05" customHeight="1" x14ac:dyDescent="0.45">
      <c r="A26" s="4">
        <f>IF(ITEM!$B4="","",ITEM!$A4)</f>
      </c>
      <c r="B26" s="118">
        <f>IF(ITEM!$B4="","",ITEM!$B4)</f>
      </c>
      <c r="C26" s="119"/>
      <c r="D26" s="13">
        <f>IF(ITEM!$B4="","",ITEM!$D4)</f>
      </c>
      <c r="E26" s="5">
        <f>IF(ITEM!$B4="","",ITEM!$C4)</f>
      </c>
      <c r="F26" s="13" cm="1">
        <f t="array" ref="F26">IF(ITEM!$B4="","",SUMPRODUCT((COLUMN(ITEM!$G4:$J4)-COLUMN(ITEM!$G4)+1&lt;$O$1)*ITEM!$G4:$J4))</f>
      </c>
      <c r="G26" s="13" cm="1">
        <f t="array" ref="G26">IF(ITEM!$B4="","",INDEX(ITEM!$G4:$J4,1,$O$1))</f>
      </c>
      <c r="H26" s="13">
        <f>IF(ITEM!$B4="","",$F26+$G26)</f>
      </c>
      <c r="I26" s="13">
        <f>IF(ITEM!$B4="","",$D26-$H26)</f>
      </c>
      <c r="J26" s="6">
        <f>IF(ITEM!$B4="","",ITEM!$E4)</f>
      </c>
      <c r="K26" s="6">
        <f>IF(ITEM!$B4="","",$G26*$J26)</f>
      </c>
      <c r="L26" s="2"/>
      <c r="M26" s="2"/>
      <c r="N26" s="2"/>
      <c r="O26" s="2"/>
    </row>
    <row r="27" spans="1:15" ht="13.05" customHeight="1" x14ac:dyDescent="0.45">
      <c r="A27" s="4">
        <f>IF(ITEM!$B5="","",ITEM!$A5)</f>
      </c>
      <c r="B27" s="118">
        <f>IF(ITEM!$B5="","",ITEM!$B5)</f>
      </c>
      <c r="C27" s="119"/>
      <c r="D27" s="13">
        <f>IF(ITEM!$B5="","",ITEM!$D5)</f>
      </c>
      <c r="E27" s="5">
        <f>IF(ITEM!$B5="","",ITEM!$C5)</f>
      </c>
      <c r="F27" s="13" cm="1">
        <f t="array" ref="F27">IF(ITEM!$B5="","",SUMPRODUCT((COLUMN(ITEM!$G5:$J5)-COLUMN(ITEM!$G5)+1&lt;$O$1)*ITEM!$G5:$J5))</f>
      </c>
      <c r="G27" s="13" cm="1">
        <f t="array" ref="G27">IF(ITEM!$B5="","",INDEX(ITEM!$G5:$J5,1,$O$1))</f>
      </c>
      <c r="H27" s="13">
        <f>IF(ITEM!$B5="","",$F27+$G27)</f>
      </c>
      <c r="I27" s="13">
        <f>IF(ITEM!$B5="","",$D27-$H27)</f>
      </c>
      <c r="J27" s="6">
        <f>IF(ITEM!$B5="","",ITEM!$E5)</f>
      </c>
      <c r="K27" s="6">
        <f>IF(ITEM!$B5="","",$G27*$J27)</f>
      </c>
      <c r="L27" s="2"/>
      <c r="M27" s="2"/>
      <c r="N27" s="2"/>
      <c r="O27" s="2"/>
    </row>
    <row r="28" spans="1:15" ht="13.05" customHeight="1" x14ac:dyDescent="0.45">
      <c r="A28" s="4">
        <f>IF(ITEM!$B6="","",ITEM!$A6)</f>
      </c>
      <c r="B28" s="118">
        <f>IF(ITEM!$B6="","",ITEM!$B6)</f>
      </c>
      <c r="C28" s="119"/>
      <c r="D28" s="13">
        <f>IF(ITEM!$B6="","",ITEM!$D6)</f>
      </c>
      <c r="E28" s="5">
        <f>IF(ITEM!$B6="","",ITEM!$C6)</f>
      </c>
      <c r="F28" s="13" cm="1">
        <f t="array" ref="F28">IF(ITEM!$B6="","",SUMPRODUCT((COLUMN(ITEM!$G6:$J6)-COLUMN(ITEM!$G6)+1&lt;$O$1)*ITEM!$G6:$J6))</f>
      </c>
      <c r="G28" s="13" cm="1">
        <f t="array" ref="G28">IF(ITEM!$B6="","",INDEX(ITEM!$G6:$J6,1,$O$1))</f>
      </c>
      <c r="H28" s="13">
        <f>IF(ITEM!$B6="","",$F28+$G28)</f>
      </c>
      <c r="I28" s="13">
        <f>IF(ITEM!$B6="","",$D28-$H28)</f>
      </c>
      <c r="J28" s="6">
        <f>IF(ITEM!$B6="","",ITEM!$E6)</f>
      </c>
      <c r="K28" s="6">
        <f>IF(ITEM!$B6="","",$G28*$J28)</f>
      </c>
      <c r="L28" s="2"/>
      <c r="M28" s="2"/>
      <c r="N28" s="2"/>
      <c r="O28" s="2"/>
    </row>
    <row r="29" spans="1:15" ht="13.05" customHeight="1" x14ac:dyDescent="0.45">
      <c r="A29" s="4">
        <f>IF(ITEM!$B7="","",ITEM!$A7)</f>
      </c>
      <c r="B29" s="118">
        <f>IF(ITEM!$B7="","",ITEM!$B7)</f>
      </c>
      <c r="C29" s="119"/>
      <c r="D29" s="13">
        <f>IF(ITEM!$B7="","",ITEM!$D7)</f>
      </c>
      <c r="E29" s="5">
        <f>IF(ITEM!$B7="","",ITEM!$C7)</f>
      </c>
      <c r="F29" s="13" cm="1">
        <f t="array" ref="F29">IF(ITEM!$B7="","",SUMPRODUCT((COLUMN(ITEM!$G7:$J7)-COLUMN(ITEM!$G7)+1&lt;$O$1)*ITEM!$G7:$J7))</f>
      </c>
      <c r="G29" s="13" cm="1">
        <f t="array" ref="G29">IF(ITEM!$B7="","",INDEX(ITEM!$G7:$J7,1,$O$1))</f>
      </c>
      <c r="H29" s="13">
        <f>IF(ITEM!$B7="","",$F29+$G29)</f>
      </c>
      <c r="I29" s="13">
        <f>IF(ITEM!$B7="","",$D29-$H29)</f>
      </c>
      <c r="J29" s="6">
        <f>IF(ITEM!$B7="","",ITEM!$E7)</f>
      </c>
      <c r="K29" s="6">
        <f>IF(ITEM!$B7="","",$G29*$J29)</f>
      </c>
      <c r="L29" s="2"/>
      <c r="M29" s="2"/>
      <c r="N29" s="2"/>
      <c r="O29" s="2"/>
    </row>
    <row r="30" spans="1:15" ht="13.05" customHeight="1" x14ac:dyDescent="0.45">
      <c r="A30" s="4">
        <f>IF(ITEM!$B8="","",ITEM!$A8)</f>
      </c>
      <c r="B30" s="118">
        <f>IF(ITEM!$B8="","",ITEM!$B8)</f>
      </c>
      <c r="C30" s="119"/>
      <c r="D30" s="13">
        <f>IF(ITEM!$B8="","",ITEM!$D8)</f>
      </c>
      <c r="E30" s="5">
        <f>IF(ITEM!$B8="","",ITEM!$C8)</f>
      </c>
      <c r="F30" s="13" cm="1">
        <f t="array" ref="F30">IF(ITEM!$B8="","",SUMPRODUCT((COLUMN(ITEM!$G8:$J8)-COLUMN(ITEM!$G8)+1&lt;$O$1)*ITEM!$G8:$J8))</f>
      </c>
      <c r="G30" s="13" cm="1">
        <f t="array" ref="G30">IF(ITEM!$B8="","",INDEX(ITEM!$G8:$J8,1,$O$1))</f>
      </c>
      <c r="H30" s="13">
        <f>IF(ITEM!$B8="","",$F30+$G30)</f>
      </c>
      <c r="I30" s="13">
        <f>IF(ITEM!$B8="","",$D30-$H30)</f>
      </c>
      <c r="J30" s="6">
        <f>IF(ITEM!$B8="","",ITEM!$E8)</f>
      </c>
      <c r="K30" s="6">
        <f>IF(ITEM!$B8="","",$G30*$J30)</f>
      </c>
      <c r="L30" s="2"/>
      <c r="M30" s="2"/>
      <c r="N30" s="2"/>
      <c r="O30" s="2"/>
    </row>
    <row r="31" spans="1:15" ht="13.05" customHeight="1" x14ac:dyDescent="0.45">
      <c r="A31" s="4">
        <f>IF(ITEM!$B9="","",ITEM!$A9)</f>
      </c>
      <c r="B31" s="118">
        <f>IF(ITEM!$B9="","",ITEM!$B9)</f>
      </c>
      <c r="C31" s="119"/>
      <c r="D31" s="13">
        <f>IF(ITEM!$B9="","",ITEM!$D9)</f>
      </c>
      <c r="E31" s="5">
        <f>IF(ITEM!$B9="","",ITEM!$C9)</f>
      </c>
      <c r="F31" s="13" cm="1">
        <f t="array" ref="F31">IF(ITEM!$B9="","",SUMPRODUCT((COLUMN(ITEM!$G9:$J9)-COLUMN(ITEM!$G9)+1&lt;$O$1)*ITEM!$G9:$J9))</f>
      </c>
      <c r="G31" s="13" cm="1">
        <f t="array" ref="G31">IF(ITEM!$B9="","",INDEX(ITEM!$G9:$J9,1,$O$1))</f>
      </c>
      <c r="H31" s="13">
        <f>IF(ITEM!$B9="","",$F31+$G31)</f>
      </c>
      <c r="I31" s="13">
        <f>IF(ITEM!$B9="","",$D31-$H31)</f>
      </c>
      <c r="J31" s="6">
        <f>IF(ITEM!$B9="","",ITEM!$E9)</f>
      </c>
      <c r="K31" s="6">
        <f>IF(ITEM!$B9="","",$G31*$J31)</f>
      </c>
      <c r="L31" s="2"/>
      <c r="M31" s="2"/>
      <c r="N31" s="2"/>
      <c r="O31" s="2"/>
    </row>
    <row r="32" spans="1:15" ht="13.05" customHeight="1" x14ac:dyDescent="0.45">
      <c r="A32" s="4">
        <f>IF(ITEM!$B10="","",ITEM!$A10)</f>
      </c>
      <c r="B32" s="118">
        <f>IF(ITEM!$B10="","",ITEM!$B10)</f>
      </c>
      <c r="C32" s="119"/>
      <c r="D32" s="13">
        <f>IF(ITEM!$B10="","",ITEM!$D10)</f>
      </c>
      <c r="E32" s="5">
        <f>IF(ITEM!$B10="","",ITEM!$C10)</f>
      </c>
      <c r="F32" s="13" cm="1">
        <f t="array" ref="F32">IF(ITEM!$B10="","",SUMPRODUCT((COLUMN(ITEM!$G10:$J10)-COLUMN(ITEM!$G10)+1&lt;$O$1)*ITEM!$G10:$J10))</f>
      </c>
      <c r="G32" s="13" cm="1">
        <f t="array" ref="G32">IF(ITEM!$B10="","",INDEX(ITEM!$G10:$J10,1,$O$1))</f>
      </c>
      <c r="H32" s="13">
        <f>IF(ITEM!$B10="","",$F32+$G32)</f>
      </c>
      <c r="I32" s="13">
        <f>IF(ITEM!$B10="","",$D32-$H32)</f>
      </c>
      <c r="J32" s="6">
        <f>IF(ITEM!$B10="","",ITEM!$E10)</f>
      </c>
      <c r="K32" s="6">
        <f>IF(ITEM!$B10="","",$G32*$J32)</f>
      </c>
      <c r="L32" s="2"/>
      <c r="M32" s="2"/>
      <c r="N32" s="2"/>
      <c r="O32" s="2"/>
    </row>
    <row r="33" spans="1:15" ht="13.05" customHeight="1" x14ac:dyDescent="0.45">
      <c r="A33" s="4">
        <f>IF(ITEM!$B11="","",ITEM!$A11)</f>
      </c>
      <c r="B33" s="118">
        <f>IF(ITEM!$B11="","",ITEM!$B11)</f>
      </c>
      <c r="C33" s="119"/>
      <c r="D33" s="13">
        <f>IF(ITEM!$B11="","",ITEM!$D11)</f>
      </c>
      <c r="E33" s="5">
        <f>IF(ITEM!$B11="","",ITEM!$C11)</f>
      </c>
      <c r="F33" s="13" cm="1">
        <f t="array" ref="F33">IF(ITEM!$B11="","",SUMPRODUCT((COLUMN(ITEM!$G11:$J11)-COLUMN(ITEM!$G11)+1&lt;$O$1)*ITEM!$G11:$J11))</f>
      </c>
      <c r="G33" s="13" cm="1">
        <f t="array" ref="G33">IF(ITEM!$B11="","",INDEX(ITEM!$G11:$J11,1,$O$1))</f>
      </c>
      <c r="H33" s="13">
        <f>IF(ITEM!$B11="","",$F33+$G33)</f>
      </c>
      <c r="I33" s="13">
        <f>IF(ITEM!$B11="","",$D33-$H33)</f>
      </c>
      <c r="J33" s="6">
        <f>IF(ITEM!$B11="","",ITEM!$E11)</f>
      </c>
      <c r="K33" s="6">
        <f>IF(ITEM!$B11="","",$G33*$J33)</f>
      </c>
      <c r="L33" s="2"/>
      <c r="M33" s="2"/>
      <c r="N33" s="2"/>
      <c r="O33" s="2"/>
    </row>
    <row r="34" spans="1:15" ht="13.05" customHeight="1" outlineLevel="1" x14ac:dyDescent="0.45">
      <c r="A34" s="4">
        <f>IF(ITEM!$B12="","",ITEM!$A12)</f>
      </c>
      <c r="B34" s="118">
        <f>IF(ITEM!$B12="","",ITEM!$B12)</f>
      </c>
      <c r="C34" s="119"/>
      <c r="D34" s="13">
        <f>IF(ITEM!$B12="","",ITEM!$D12)</f>
      </c>
      <c r="E34" s="5">
        <f>IF(ITEM!$B12="","",ITEM!$C12)</f>
      </c>
      <c r="F34" s="13" cm="1">
        <f t="array" ref="F34">IF(ITEM!$B12="","",SUMPRODUCT((COLUMN(ITEM!$G12:$J12)-COLUMN(ITEM!$G12)+1&lt;$O$1)*ITEM!$G12:$J12))</f>
      </c>
      <c r="G34" s="13" cm="1">
        <f t="array" ref="G34">IF(ITEM!$B12="","",INDEX(ITEM!$G12:$J12,1,$O$1))</f>
      </c>
      <c r="H34" s="13">
        <f>IF(ITEM!$B12="","",$F34+$G34)</f>
      </c>
      <c r="I34" s="13">
        <f>IF(ITEM!$B12="","",$D34-$H34)</f>
      </c>
      <c r="J34" s="6">
        <f>IF(ITEM!$B12="","",ITEM!$E12)</f>
      </c>
      <c r="K34" s="6">
        <f>IF(ITEM!$B12="","",$G34*$J34)</f>
      </c>
      <c r="L34" s="2"/>
      <c r="M34" s="2"/>
      <c r="N34" s="2"/>
      <c r="O34" s="2"/>
    </row>
    <row r="35" spans="1:15" ht="13.05" customHeight="1" outlineLevel="1" x14ac:dyDescent="0.45">
      <c r="A35" s="4">
        <f>IF(ITEM!$B13="","",ITEM!$A13)</f>
      </c>
      <c r="B35" s="118">
        <f>IF(ITEM!$B13="","",ITEM!$B13)</f>
      </c>
      <c r="C35" s="119"/>
      <c r="D35" s="13">
        <f>IF(ITEM!$B13="","",ITEM!$D13)</f>
      </c>
      <c r="E35" s="5">
        <f>IF(ITEM!$B13="","",ITEM!$C13)</f>
      </c>
      <c r="F35" s="13" cm="1">
        <f t="array" ref="F35">IF(ITEM!$B13="","",SUMPRODUCT((COLUMN(ITEM!$G13:$J13)-COLUMN(ITEM!$G13)+1&lt;$O$1)*ITEM!$G13:$J13))</f>
      </c>
      <c r="G35" s="13" cm="1">
        <f t="array" ref="G35">IF(ITEM!$B13="","",INDEX(ITEM!$G13:$J13,1,$O$1))</f>
      </c>
      <c r="H35" s="13">
        <f>IF(ITEM!$B13="","",$F35+$G35)</f>
      </c>
      <c r="I35" s="13">
        <f>IF(ITEM!$B13="","",$D35-$H35)</f>
      </c>
      <c r="J35" s="6">
        <f>IF(ITEM!$B13="","",ITEM!$E13)</f>
      </c>
      <c r="K35" s="6">
        <f>IF(ITEM!$B13="","",$G35*$J35)</f>
      </c>
      <c r="L35" s="2"/>
      <c r="M35" s="2"/>
      <c r="N35" s="2"/>
      <c r="O35" s="2"/>
    </row>
    <row r="36" spans="1:15" ht="13.05" customHeight="1" outlineLevel="1" x14ac:dyDescent="0.45">
      <c r="A36" s="4">
        <f>IF(ITEM!$B14="","",ITEM!$A14)</f>
      </c>
      <c r="B36" s="118">
        <f>IF(ITEM!$B14="","",ITEM!$B14)</f>
      </c>
      <c r="C36" s="119"/>
      <c r="D36" s="13">
        <f>IF(ITEM!$B14="","",ITEM!$D14)</f>
      </c>
      <c r="E36" s="5">
        <f>IF(ITEM!$B14="","",ITEM!$C14)</f>
      </c>
      <c r="F36" s="13" cm="1">
        <f t="array" ref="F36">IF(ITEM!$B14="","",SUMPRODUCT((COLUMN(ITEM!$G14:$J14)-COLUMN(ITEM!$G14)+1&lt;$O$1)*ITEM!$G14:$J14))</f>
      </c>
      <c r="G36" s="13" cm="1">
        <f t="array" ref="G36">IF(ITEM!$B14="","",INDEX(ITEM!$G14:$J14,1,$O$1))</f>
      </c>
      <c r="H36" s="13">
        <f>IF(ITEM!$B14="","",$F36+$G36)</f>
      </c>
      <c r="I36" s="13">
        <f>IF(ITEM!$B14="","",$D36-$H36)</f>
      </c>
      <c r="J36" s="6">
        <f>IF(ITEM!$B14="","",ITEM!$E14)</f>
      </c>
      <c r="K36" s="6">
        <f>IF(ITEM!$B14="","",$G36*$J36)</f>
      </c>
      <c r="L36" s="2"/>
      <c r="M36" s="2"/>
      <c r="N36" s="2"/>
      <c r="O36" s="2"/>
    </row>
    <row r="37" spans="1:15" ht="13.05" customHeight="1" outlineLevel="1" x14ac:dyDescent="0.45">
      <c r="A37" s="4">
        <f>IF(ITEM!$B15="","",ITEM!$A15)</f>
      </c>
      <c r="B37" s="118">
        <f>IF(ITEM!$B15="","",ITEM!$B15)</f>
      </c>
      <c r="C37" s="119"/>
      <c r="D37" s="13">
        <f>IF(ITEM!$B15="","",ITEM!$D15)</f>
      </c>
      <c r="E37" s="5">
        <f>IF(ITEM!$B15="","",ITEM!$C15)</f>
      </c>
      <c r="F37" s="13" cm="1">
        <f t="array" ref="F37">IF(ITEM!$B15="","",SUMPRODUCT((COLUMN(ITEM!$G15:$J15)-COLUMN(ITEM!$G15)+1&lt;$O$1)*ITEM!$G15:$J15))</f>
      </c>
      <c r="G37" s="13" cm="1">
        <f t="array" ref="G37">IF(ITEM!$B15="","",INDEX(ITEM!$G15:$J15,1,$O$1))</f>
      </c>
      <c r="H37" s="13">
        <f>IF(ITEM!$B15="","",$F37+$G37)</f>
      </c>
      <c r="I37" s="13">
        <f>IF(ITEM!$B15="","",$D37-$H37)</f>
      </c>
      <c r="J37" s="6">
        <f>IF(ITEM!$B15="","",ITEM!$E15)</f>
      </c>
      <c r="K37" s="6">
        <f>IF(ITEM!$B15="","",$G37*$J37)</f>
      </c>
      <c r="L37" s="2"/>
      <c r="M37" s="2"/>
      <c r="N37" s="2"/>
      <c r="O37" s="2"/>
    </row>
    <row r="38" spans="1:15" ht="13.05" customHeight="1" outlineLevel="1" x14ac:dyDescent="0.45">
      <c r="A38" s="4">
        <f>IF(ITEM!$B16="","",ITEM!$A16)</f>
      </c>
      <c r="B38" s="118">
        <f>IF(ITEM!$B16="","",ITEM!$B16)</f>
      </c>
      <c r="C38" s="119"/>
      <c r="D38" s="13">
        <f>IF(ITEM!$B16="","",ITEM!$D16)</f>
      </c>
      <c r="E38" s="5">
        <f>IF(ITEM!$B16="","",ITEM!$C16)</f>
      </c>
      <c r="F38" s="13" cm="1">
        <f t="array" ref="F38">IF(ITEM!$B16="","",SUMPRODUCT((COLUMN(ITEM!$G16:$J16)-COLUMN(ITEM!$G16)+1&lt;$O$1)*ITEM!$G16:$J16))</f>
      </c>
      <c r="G38" s="13" cm="1">
        <f t="array" ref="G38">IF(ITEM!$B16="","",INDEX(ITEM!$G16:$J16,1,$O$1))</f>
      </c>
      <c r="H38" s="13">
        <f>IF(ITEM!$B16="","",$F38+$G38)</f>
      </c>
      <c r="I38" s="13">
        <f>IF(ITEM!$B16="","",$D38-$H38)</f>
      </c>
      <c r="J38" s="6">
        <f>IF(ITEM!$B16="","",ITEM!$E16)</f>
      </c>
      <c r="K38" s="6">
        <f>IF(ITEM!$B16="","",$G38*$J38)</f>
      </c>
      <c r="L38" s="2"/>
      <c r="M38" s="2"/>
      <c r="N38" s="2"/>
      <c r="O38" s="2"/>
    </row>
    <row r="39" spans="1:15" ht="13.05" customHeight="1" outlineLevel="1" x14ac:dyDescent="0.45">
      <c r="A39" s="4">
        <f>IF(ITEM!$B17="","",ITEM!$A17)</f>
      </c>
      <c r="B39" s="118">
        <f>IF(ITEM!$B17="","",ITEM!$B17)</f>
      </c>
      <c r="C39" s="119"/>
      <c r="D39" s="13">
        <f>IF(ITEM!$B17="","",ITEM!$D17)</f>
      </c>
      <c r="E39" s="5">
        <f>IF(ITEM!$B17="","",ITEM!$C17)</f>
      </c>
      <c r="F39" s="13" cm="1">
        <f t="array" ref="F39">IF(ITEM!$B17="","",SUMPRODUCT((COLUMN(ITEM!$G17:$J17)-COLUMN(ITEM!$G17)+1&lt;$O$1)*ITEM!$G17:$J17))</f>
      </c>
      <c r="G39" s="13" cm="1">
        <f t="array" ref="G39">IF(ITEM!$B17="","",INDEX(ITEM!$G17:$J17,1,$O$1))</f>
      </c>
      <c r="H39" s="13">
        <f>IF(ITEM!$B17="","",$F39+$G39)</f>
      </c>
      <c r="I39" s="13">
        <f>IF(ITEM!$B17="","",$D39-$H39)</f>
      </c>
      <c r="J39" s="6">
        <f>IF(ITEM!$B17="","",ITEM!$E17)</f>
      </c>
      <c r="K39" s="6">
        <f>IF(ITEM!$B17="","",$G39*$J39)</f>
      </c>
      <c r="L39" s="2"/>
      <c r="M39" s="2"/>
      <c r="N39" s="2"/>
      <c r="O39" s="2"/>
    </row>
    <row r="40" spans="1:15" ht="13.05" customHeight="1" outlineLevel="1" x14ac:dyDescent="0.45">
      <c r="A40" s="4">
        <f>IF(ITEM!$B18="","",ITEM!$A18)</f>
      </c>
      <c r="B40" s="118">
        <f>IF(ITEM!$B18="","",ITEM!$B18)</f>
      </c>
      <c r="C40" s="119"/>
      <c r="D40" s="13">
        <f>IF(ITEM!$B18="","",ITEM!$D18)</f>
      </c>
      <c r="E40" s="5">
        <f>IF(ITEM!$B18="","",ITEM!$C18)</f>
      </c>
      <c r="F40" s="13" cm="1">
        <f t="array" ref="F40">IF(ITEM!$B18="","",SUMPRODUCT((COLUMN(ITEM!$G18:$J18)-COLUMN(ITEM!$G18)+1&lt;$O$1)*ITEM!$G18:$J18))</f>
      </c>
      <c r="G40" s="13" cm="1">
        <f t="array" ref="G40">IF(ITEM!$B18="","",INDEX(ITEM!$G18:$J18,1,$O$1))</f>
      </c>
      <c r="H40" s="13">
        <f>IF(ITEM!$B18="","",$F40+$G40)</f>
      </c>
      <c r="I40" s="13">
        <f>IF(ITEM!$B18="","",$D40-$H40)</f>
      </c>
      <c r="J40" s="6">
        <f>IF(ITEM!$B18="","",ITEM!$E18)</f>
      </c>
      <c r="K40" s="6">
        <f>IF(ITEM!$B18="","",$G40*$J40)</f>
      </c>
      <c r="L40" s="2"/>
      <c r="M40" s="2"/>
      <c r="N40" s="2"/>
      <c r="O40" s="2"/>
    </row>
    <row r="41" spans="1:15" ht="13.05" hidden="1" customHeight="1" outlineLevel="1" x14ac:dyDescent="0.45">
      <c r="A41" s="4">
        <f>IF(ITEM!$B19="","",ITEM!$A19)</f>
      </c>
      <c r="B41" s="118">
        <f>IF(ITEM!$B19="","",ITEM!$B19)</f>
      </c>
      <c r="C41" s="119"/>
      <c r="D41" s="13">
        <f>IF(ITEM!$B19="","",ITEM!$D19)</f>
      </c>
      <c r="E41" s="5">
        <f>IF(ITEM!$B19="","",ITEM!$C19)</f>
      </c>
      <c r="F41" s="13" cm="1">
        <f t="array" ref="F41">IF(ITEM!$B19="","",SUMPRODUCT((COLUMN(ITEM!$G19:$J19)-COLUMN(ITEM!$G19)+1&lt;$O$1)*ITEM!$G19:$J19))</f>
      </c>
      <c r="G41" s="13" cm="1">
        <f t="array" ref="G41">IF(ITEM!$B19="","",INDEX(ITEM!$G19:$J19,1,$O$1))</f>
      </c>
      <c r="H41" s="13">
        <f>IF(ITEM!$B19="","",$F41+$G41)</f>
      </c>
      <c r="I41" s="13">
        <f>IF(ITEM!$B19="","",$D41-$H41)</f>
      </c>
      <c r="J41" s="6">
        <f>IF(ITEM!$B19="","",ITEM!$E19)</f>
      </c>
      <c r="K41" s="6">
        <f>IF(ITEM!$B19="","",$G41*$J41)</f>
      </c>
      <c r="L41" s="2"/>
      <c r="M41" s="2"/>
      <c r="N41" s="2"/>
      <c r="O41" s="2"/>
    </row>
    <row r="42" spans="1:15" ht="13.05" hidden="1" customHeight="1" outlineLevel="1" x14ac:dyDescent="0.45">
      <c r="A42" s="4">
        <f>IF(ITEM!$B20="","",ITEM!$A20)</f>
      </c>
      <c r="B42" s="118">
        <f>IF(ITEM!$B20="","",ITEM!$B20)</f>
      </c>
      <c r="C42" s="119"/>
      <c r="D42" s="13">
        <f>IF(ITEM!$B20="","",ITEM!$D20)</f>
      </c>
      <c r="E42" s="5">
        <f>IF(ITEM!$B20="","",ITEM!$C20)</f>
      </c>
      <c r="F42" s="13" cm="1">
        <f t="array" ref="F42">IF(ITEM!$B20="","",SUMPRODUCT((COLUMN(ITEM!$G20:$J20)-COLUMN(ITEM!$G20)+1&lt;$O$1)*ITEM!$G20:$J20))</f>
      </c>
      <c r="G42" s="13" cm="1">
        <f t="array" ref="G42">IF(ITEM!$B20="","",INDEX(ITEM!$G20:$J20,1,$O$1))</f>
      </c>
      <c r="H42" s="13">
        <f>IF(ITEM!$B20="","",$F42+$G42)</f>
      </c>
      <c r="I42" s="13">
        <f>IF(ITEM!$B20="","",$D42-$H42)</f>
      </c>
      <c r="J42" s="6">
        <f>IF(ITEM!$B20="","",ITEM!$E20)</f>
      </c>
      <c r="K42" s="6">
        <f>IF(ITEM!$B20="","",$G42*$J42)</f>
      </c>
      <c r="L42" s="2"/>
      <c r="M42" s="2"/>
      <c r="N42" s="2"/>
      <c r="O42" s="2"/>
    </row>
    <row r="43" spans="1:15" ht="13.05" hidden="1" customHeight="1" outlineLevel="1" x14ac:dyDescent="0.45">
      <c r="A43" s="4">
        <f>IF(ITEM!$B21="","",ITEM!$A21)</f>
      </c>
      <c r="B43" s="118">
        <f>IF(ITEM!$B21="","",ITEM!$B21)</f>
      </c>
      <c r="C43" s="119"/>
      <c r="D43" s="13">
        <f>IF(ITEM!$B21="","",ITEM!$D21)</f>
      </c>
      <c r="E43" s="5">
        <f>IF(ITEM!$B21="","",ITEM!$C21)</f>
      </c>
      <c r="F43" s="13" cm="1">
        <f t="array" ref="F43">IF(ITEM!$B21="","",SUMPRODUCT((COLUMN(ITEM!$G21:$J21)-COLUMN(ITEM!$G21)+1&lt;$O$1)*ITEM!$G21:$J21))</f>
      </c>
      <c r="G43" s="13" cm="1">
        <f t="array" ref="G43">IF(ITEM!$B21="","",INDEX(ITEM!$G21:$J21,1,$O$1))</f>
      </c>
      <c r="H43" s="13">
        <f>IF(ITEM!$B21="","",$F43+$G43)</f>
      </c>
      <c r="I43" s="13">
        <f>IF(ITEM!$B21="","",$D43-$H43)</f>
      </c>
      <c r="J43" s="6">
        <f>IF(ITEM!$B21="","",ITEM!$E21)</f>
      </c>
      <c r="K43" s="6">
        <f>IF(ITEM!$B21="","",$G43*$J43)</f>
      </c>
      <c r="L43" s="2"/>
      <c r="M43" s="2"/>
      <c r="N43" s="2"/>
      <c r="O43" s="2"/>
    </row>
    <row r="44" spans="1:15" ht="13.05" hidden="1" customHeight="1" outlineLevel="1" x14ac:dyDescent="0.45">
      <c r="A44" s="4">
        <f>IF(ITEM!$B22="","",ITEM!$A22)</f>
      </c>
      <c r="B44" s="118">
        <f>IF(ITEM!$B22="","",ITEM!$B22)</f>
      </c>
      <c r="C44" s="119"/>
      <c r="D44" s="13">
        <f>IF(ITEM!$B22="","",ITEM!$D22)</f>
      </c>
      <c r="E44" s="5">
        <f>IF(ITEM!$B22="","",ITEM!$C22)</f>
      </c>
      <c r="F44" s="13" cm="1">
        <f t="array" ref="F44">IF(ITEM!$B22="","",SUMPRODUCT((COLUMN(ITEM!$G22:$J22)-COLUMN(ITEM!$G22)+1&lt;$O$1)*ITEM!$G22:$J22))</f>
      </c>
      <c r="G44" s="13" cm="1">
        <f t="array" ref="G44">IF(ITEM!$B22="","",INDEX(ITEM!$G22:$J22,1,$O$1))</f>
      </c>
      <c r="H44" s="13">
        <f>IF(ITEM!$B22="","",$F44+$G44)</f>
      </c>
      <c r="I44" s="13">
        <f>IF(ITEM!$B22="","",$D44-$H44)</f>
      </c>
      <c r="J44" s="6">
        <f>IF(ITEM!$B22="","",ITEM!$E22)</f>
      </c>
      <c r="K44" s="6">
        <f>IF(ITEM!$B22="","",$G44*$J44)</f>
      </c>
      <c r="L44" s="2"/>
      <c r="M44" s="2"/>
      <c r="N44" s="2"/>
      <c r="O44" s="2"/>
    </row>
    <row r="45" spans="1:15" ht="13.05" hidden="1" customHeight="1" outlineLevel="1" x14ac:dyDescent="0.45">
      <c r="A45" s="4">
        <f>IF(ITEM!$B23="","",ITEM!$A23)</f>
      </c>
      <c r="B45" s="118">
        <f>IF(ITEM!$B23="","",ITEM!$B23)</f>
      </c>
      <c r="C45" s="119"/>
      <c r="D45" s="13">
        <f>IF(ITEM!$B23="","",ITEM!$D23)</f>
      </c>
      <c r="E45" s="5">
        <f>IF(ITEM!$B23="","",ITEM!$C23)</f>
      </c>
      <c r="F45" s="13" cm="1">
        <f t="array" ref="F45">IF(ITEM!$B23="","",SUMPRODUCT((COLUMN(ITEM!$G23:$J23)-COLUMN(ITEM!$G23)+1&lt;$O$1)*ITEM!$G23:$J23))</f>
      </c>
      <c r="G45" s="13" cm="1">
        <f t="array" ref="G45">IF(ITEM!$B23="","",INDEX(ITEM!$G23:$J23,1,$O$1))</f>
      </c>
      <c r="H45" s="13">
        <f>IF(ITEM!$B23="","",$F45+$G45)</f>
      </c>
      <c r="I45" s="13">
        <f>IF(ITEM!$B23="","",$D45-$H45)</f>
      </c>
      <c r="J45" s="6">
        <f>IF(ITEM!$B23="","",ITEM!$E23)</f>
      </c>
      <c r="K45" s="6">
        <f>IF(ITEM!$B23="","",$G45*$J45)</f>
      </c>
      <c r="L45" s="2"/>
      <c r="M45" s="2"/>
      <c r="N45" s="2"/>
      <c r="O45" s="2"/>
    </row>
    <row r="46" spans="1:15" ht="13.05" hidden="1" customHeight="1" outlineLevel="2" x14ac:dyDescent="0.45">
      <c r="A46" s="4">
        <f>IF(ITEM!$B24="","",ITEM!$A24)</f>
      </c>
      <c r="B46" s="118">
        <f>IF(ITEM!$B24="","",ITEM!$B24)</f>
      </c>
      <c r="C46" s="119"/>
      <c r="D46" s="13">
        <f>IF(ITEM!$B24="","",ITEM!$D24)</f>
      </c>
      <c r="E46" s="5">
        <f>IF(ITEM!$B24="","",ITEM!$C24)</f>
      </c>
      <c r="F46" s="13" cm="1">
        <f t="array" ref="F46">IF(ITEM!$B24="","",SUMPRODUCT((COLUMN(ITEM!$G24:$J24)-COLUMN(ITEM!$G24)+1&lt;$O$1)*ITEM!$G24:$J24))</f>
      </c>
      <c r="G46" s="13" cm="1">
        <f t="array" ref="G46">IF(ITEM!$B24="","",INDEX(ITEM!$G24:$J24,1,$O$1))</f>
      </c>
      <c r="H46" s="13">
        <f>IF(ITEM!$B24="","",$F46+$G46)</f>
      </c>
      <c r="I46" s="13">
        <f>IF(ITEM!$B24="","",$D46-$H46)</f>
      </c>
      <c r="J46" s="6">
        <f>IF(ITEM!$B24="","",ITEM!$E24)</f>
      </c>
      <c r="K46" s="6">
        <f>IF(ITEM!$B24="","",$G46*$J46)</f>
      </c>
      <c r="L46" s="2"/>
      <c r="M46" s="2"/>
      <c r="N46" s="2"/>
      <c r="O46" s="2"/>
    </row>
    <row r="47" spans="1:15" ht="13.05" hidden="1" customHeight="1" outlineLevel="2" x14ac:dyDescent="0.45">
      <c r="A47" s="4">
        <f>IF(ITEM!$B25="","",ITEM!$A25)</f>
      </c>
      <c r="B47" s="118">
        <f>IF(ITEM!$B25="","",ITEM!$B25)</f>
      </c>
      <c r="C47" s="119"/>
      <c r="D47" s="13">
        <f>IF(ITEM!$B25="","",ITEM!$D25)</f>
      </c>
      <c r="E47" s="5">
        <f>IF(ITEM!$B25="","",ITEM!$C25)</f>
      </c>
      <c r="F47" s="13" cm="1">
        <f t="array" ref="F47">IF(ITEM!$B25="","",SUMPRODUCT((COLUMN(ITEM!$G25:$J25)-COLUMN(ITEM!$G25)+1&lt;$O$1)*ITEM!$G25:$J25))</f>
      </c>
      <c r="G47" s="13" cm="1">
        <f t="array" ref="G47">IF(ITEM!$B25="","",INDEX(ITEM!$G25:$J25,1,$O$1))</f>
      </c>
      <c r="H47" s="13">
        <f>IF(ITEM!$B25="","",$F47+$G47)</f>
      </c>
      <c r="I47" s="13">
        <f>IF(ITEM!$B25="","",$D47-$H47)</f>
      </c>
      <c r="J47" s="6">
        <f>IF(ITEM!$B25="","",ITEM!$E25)</f>
      </c>
      <c r="K47" s="6">
        <f>IF(ITEM!$B25="","",$G47*$J47)</f>
      </c>
      <c r="L47" s="2"/>
      <c r="M47" s="2"/>
      <c r="N47" s="2"/>
      <c r="O47" s="2"/>
    </row>
    <row r="48" spans="1:15" ht="13.05" hidden="1" customHeight="1" outlineLevel="2" x14ac:dyDescent="0.45">
      <c r="A48" s="4">
        <f>IF(ITEM!$B26="","",ITEM!$A26)</f>
      </c>
      <c r="B48" s="118">
        <f>IF(ITEM!$B26="","",ITEM!$B26)</f>
      </c>
      <c r="C48" s="119"/>
      <c r="D48" s="13">
        <f>IF(ITEM!$B26="","",ITEM!$D26)</f>
      </c>
      <c r="E48" s="5">
        <f>IF(ITEM!$B26="","",ITEM!$C26)</f>
      </c>
      <c r="F48" s="13" cm="1">
        <f t="array" ref="F48">IF(ITEM!$B26="","",SUMPRODUCT((COLUMN(ITEM!$G26:$J26)-COLUMN(ITEM!$G26)+1&lt;$O$1)*ITEM!$G26:$J26))</f>
      </c>
      <c r="G48" s="13" cm="1">
        <f t="array" ref="G48">IF(ITEM!$B26="","",INDEX(ITEM!$G26:$J26,1,$O$1))</f>
      </c>
      <c r="H48" s="13">
        <f>IF(ITEM!$B26="","",$F48+$G48)</f>
      </c>
      <c r="I48" s="13">
        <f>IF(ITEM!$B26="","",$D48-$H48)</f>
      </c>
      <c r="J48" s="6">
        <f>IF(ITEM!$B26="","",ITEM!$E26)</f>
      </c>
      <c r="K48" s="6">
        <f>IF(ITEM!$B26="","",$G48*$J48)</f>
      </c>
      <c r="L48" s="2"/>
      <c r="M48" s="2"/>
      <c r="N48" s="2"/>
      <c r="O48" s="2"/>
    </row>
    <row r="49" spans="1:15" ht="13.05" hidden="1" customHeight="1" outlineLevel="2" x14ac:dyDescent="0.45">
      <c r="A49" s="4">
        <f>IF(ITEM!$B27="","",ITEM!$A27)</f>
      </c>
      <c r="B49" s="118">
        <f>IF(ITEM!$B27="","",ITEM!$B27)</f>
      </c>
      <c r="C49" s="119"/>
      <c r="D49" s="13">
        <f>IF(ITEM!$B27="","",ITEM!$D27)</f>
      </c>
      <c r="E49" s="5">
        <f>IF(ITEM!$B27="","",ITEM!$C27)</f>
      </c>
      <c r="F49" s="13" cm="1">
        <f t="array" ref="F49">IF(ITEM!$B27="","",SUMPRODUCT((COLUMN(ITEM!$G27:$J27)-COLUMN(ITEM!$G27)+1&lt;$O$1)*ITEM!$G27:$J27))</f>
      </c>
      <c r="G49" s="13" cm="1">
        <f t="array" ref="G49">IF(ITEM!$B27="","",INDEX(ITEM!$G27:$J27,1,$O$1))</f>
      </c>
      <c r="H49" s="13">
        <f>IF(ITEM!$B27="","",$F49+$G49)</f>
      </c>
      <c r="I49" s="13">
        <f>IF(ITEM!$B27="","",$D49-$H49)</f>
      </c>
      <c r="J49" s="6">
        <f>IF(ITEM!$B27="","",ITEM!$E27)</f>
      </c>
      <c r="K49" s="6">
        <f>IF(ITEM!$B27="","",$G49*$J49)</f>
      </c>
      <c r="L49" s="2"/>
      <c r="M49" s="2"/>
      <c r="N49" s="2"/>
      <c r="O49" s="2"/>
    </row>
    <row r="50" spans="1:15" ht="13.05" hidden="1" customHeight="1" outlineLevel="2" x14ac:dyDescent="0.45">
      <c r="A50" s="4">
        <f>IF(ITEM!$B28="","",ITEM!$A28)</f>
      </c>
      <c r="B50" s="118">
        <f>IF(ITEM!$B28="","",ITEM!$B28)</f>
      </c>
      <c r="C50" s="119"/>
      <c r="D50" s="13">
        <f>IF(ITEM!$B28="","",ITEM!$D28)</f>
      </c>
      <c r="E50" s="5">
        <f>IF(ITEM!$B28="","",ITEM!$C28)</f>
      </c>
      <c r="F50" s="13" cm="1">
        <f t="array" ref="F50">IF(ITEM!$B28="","",SUMPRODUCT((COLUMN(ITEM!$G28:$J28)-COLUMN(ITEM!$G28)+1&lt;$O$1)*ITEM!$G28:$J28))</f>
      </c>
      <c r="G50" s="13" cm="1">
        <f t="array" ref="G50">IF(ITEM!$B28="","",INDEX(ITEM!$G28:$J28,1,$O$1))</f>
      </c>
      <c r="H50" s="13">
        <f>IF(ITEM!$B28="","",$F50+$G50)</f>
      </c>
      <c r="I50" s="13">
        <f>IF(ITEM!$B28="","",$D50-$H50)</f>
      </c>
      <c r="J50" s="6">
        <f>IF(ITEM!$B28="","",ITEM!$E28)</f>
      </c>
      <c r="K50" s="6">
        <f>IF(ITEM!$B28="","",$G50*$J50)</f>
      </c>
      <c r="L50" s="2"/>
      <c r="M50" s="2"/>
      <c r="N50" s="2"/>
      <c r="O50" s="2"/>
    </row>
    <row r="51" spans="1:15" ht="13.05" hidden="1" customHeight="1" outlineLevel="2" x14ac:dyDescent="0.45">
      <c r="A51" s="4">
        <f>IF(ITEM!$B29="","",ITEM!$A29)</f>
      </c>
      <c r="B51" s="118">
        <f>IF(ITEM!$B29="","",ITEM!$B29)</f>
      </c>
      <c r="C51" s="119"/>
      <c r="D51" s="13">
        <f>IF(ITEM!$B29="","",ITEM!$D29)</f>
      </c>
      <c r="E51" s="5">
        <f>IF(ITEM!$B29="","",ITEM!$C29)</f>
      </c>
      <c r="F51" s="13" cm="1">
        <f t="array" ref="F51">IF(ITEM!$B29="","",SUMPRODUCT((COLUMN(ITEM!$G29:$J29)-COLUMN(ITEM!$G29)+1&lt;$O$1)*ITEM!$G29:$J29))</f>
      </c>
      <c r="G51" s="13" cm="1">
        <f t="array" ref="G51">IF(ITEM!$B29="","",INDEX(ITEM!$G29:$J29,1,$O$1))</f>
      </c>
      <c r="H51" s="13">
        <f>IF(ITEM!$B29="","",$F51+$G51)</f>
      </c>
      <c r="I51" s="13">
        <f>IF(ITEM!$B29="","",$D51-$H51)</f>
      </c>
      <c r="J51" s="6">
        <f>IF(ITEM!$B29="","",ITEM!$E29)</f>
      </c>
      <c r="K51" s="6">
        <f>IF(ITEM!$B29="","",$G51*$J51)</f>
      </c>
      <c r="L51" s="2"/>
      <c r="M51" s="2"/>
      <c r="N51" s="2"/>
      <c r="O51" s="2"/>
    </row>
    <row r="52" spans="1:15" ht="13.05" hidden="1" customHeight="1" outlineLevel="2" x14ac:dyDescent="0.45">
      <c r="A52" s="4">
        <f>IF(ITEM!$B30="","",ITEM!$A30)</f>
      </c>
      <c r="B52" s="118">
        <f>IF(ITEM!$B30="","",ITEM!$B30)</f>
      </c>
      <c r="C52" s="119"/>
      <c r="D52" s="13">
        <f>IF(ITEM!$B30="","",ITEM!$D30)</f>
      </c>
      <c r="E52" s="5">
        <f>IF(ITEM!$B30="","",ITEM!$C30)</f>
      </c>
      <c r="F52" s="13" cm="1">
        <f t="array" ref="F52">IF(ITEM!$B30="","",SUMPRODUCT((COLUMN(ITEM!$G30:$J30)-COLUMN(ITEM!$G30)+1&lt;$O$1)*ITEM!$G30:$J30))</f>
      </c>
      <c r="G52" s="13" cm="1">
        <f t="array" ref="G52">IF(ITEM!$B30="","",INDEX(ITEM!$G30:$J30,1,$O$1))</f>
      </c>
      <c r="H52" s="13">
        <f>IF(ITEM!$B30="","",$F52+$G52)</f>
      </c>
      <c r="I52" s="13">
        <f>IF(ITEM!$B30="","",$D52-$H52)</f>
      </c>
      <c r="J52" s="6">
        <f>IF(ITEM!$B30="","",ITEM!$E30)</f>
      </c>
      <c r="K52" s="6">
        <f>IF(ITEM!$B30="","",$G52*$J52)</f>
      </c>
      <c r="L52" s="2"/>
      <c r="M52" s="2"/>
      <c r="N52" s="2"/>
      <c r="O52" s="2"/>
    </row>
    <row r="53" spans="1:15" ht="13.05" hidden="1" customHeight="1" outlineLevel="2" x14ac:dyDescent="0.45">
      <c r="A53" s="4">
        <f>IF(ITEM!$B31="","",ITEM!$A31)</f>
      </c>
      <c r="B53" s="118">
        <f>IF(ITEM!$B31="","",ITEM!$B31)</f>
      </c>
      <c r="C53" s="119"/>
      <c r="D53" s="13">
        <f>IF(ITEM!$B31="","",ITEM!$D31)</f>
      </c>
      <c r="E53" s="5">
        <f>IF(ITEM!$B31="","",ITEM!$C31)</f>
      </c>
      <c r="F53" s="13" cm="1">
        <f t="array" ref="F53">IF(ITEM!$B31="","",SUMPRODUCT((COLUMN(ITEM!$G31:$J31)-COLUMN(ITEM!$G31)+1&lt;$O$1)*ITEM!$G31:$J31))</f>
      </c>
      <c r="G53" s="13" cm="1">
        <f t="array" ref="G53">IF(ITEM!$B31="","",INDEX(ITEM!$G31:$J31,1,$O$1))</f>
      </c>
      <c r="H53" s="13">
        <f>IF(ITEM!$B31="","",$F53+$G53)</f>
      </c>
      <c r="I53" s="13">
        <f>IF(ITEM!$B31="","",$D53-$H53)</f>
      </c>
      <c r="J53" s="6">
        <f>IF(ITEM!$B31="","",ITEM!$E31)</f>
      </c>
      <c r="K53" s="6">
        <f>IF(ITEM!$B31="","",$G53*$J53)</f>
      </c>
      <c r="L53" s="2"/>
      <c r="M53" s="2"/>
      <c r="N53" s="2"/>
      <c r="O53" s="2"/>
    </row>
    <row r="54" spans="1:15" ht="13.05" hidden="1" customHeight="1" outlineLevel="2" x14ac:dyDescent="0.45">
      <c r="A54" s="4">
        <f>IF(ITEM!$B32="","",ITEM!$A32)</f>
      </c>
      <c r="B54" s="118">
        <f>IF(ITEM!$B32="","",ITEM!$B32)</f>
      </c>
      <c r="C54" s="119"/>
      <c r="D54" s="13">
        <f>IF(ITEM!$B32="","",ITEM!$D32)</f>
      </c>
      <c r="E54" s="5">
        <f>IF(ITEM!$B32="","",ITEM!$C32)</f>
      </c>
      <c r="F54" s="13" cm="1">
        <f t="array" ref="F54">IF(ITEM!$B32="","",SUMPRODUCT((COLUMN(ITEM!$G32:$J32)-COLUMN(ITEM!$G32)+1&lt;$O$1)*ITEM!$G32:$J32))</f>
      </c>
      <c r="G54" s="13" cm="1">
        <f t="array" ref="G54">IF(ITEM!$B32="","",INDEX(ITEM!$G32:$J32,1,$O$1))</f>
      </c>
      <c r="H54" s="13">
        <f>IF(ITEM!$B32="","",$F54+$G54)</f>
      </c>
      <c r="I54" s="13">
        <f>IF(ITEM!$B32="","",$D54-$H54)</f>
      </c>
      <c r="J54" s="6">
        <f>IF(ITEM!$B32="","",ITEM!$E32)</f>
      </c>
      <c r="K54" s="6">
        <f>IF(ITEM!$B32="","",$G54*$J54)</f>
      </c>
      <c r="L54" s="2"/>
      <c r="M54" s="2"/>
      <c r="N54" s="2"/>
      <c r="O54" s="2"/>
    </row>
    <row r="55" spans="1:15" ht="13.05" hidden="1" customHeight="1" outlineLevel="2" x14ac:dyDescent="0.45">
      <c r="A55" s="4">
        <f>IF(ITEM!$B33="","",ITEM!$A33)</f>
      </c>
      <c r="B55" s="118">
        <f>IF(ITEM!$B33="","",ITEM!$B33)</f>
      </c>
      <c r="C55" s="119"/>
      <c r="D55" s="13">
        <f>IF(ITEM!$B33="","",ITEM!$D33)</f>
      </c>
      <c r="E55" s="5">
        <f>IF(ITEM!$B33="","",ITEM!$C33)</f>
      </c>
      <c r="F55" s="13" cm="1">
        <f t="array" ref="F55">IF(ITEM!$B33="","",SUMPRODUCT((COLUMN(ITEM!$G33:$J33)-COLUMN(ITEM!$G33)+1&lt;$O$1)*ITEM!$G33:$J33))</f>
      </c>
      <c r="G55" s="13" cm="1">
        <f t="array" ref="G55">IF(ITEM!$B33="","",INDEX(ITEM!$G33:$J33,1,$O$1))</f>
      </c>
      <c r="H55" s="13">
        <f>IF(ITEM!$B33="","",$F55+$G55)</f>
      </c>
      <c r="I55" s="13">
        <f>IF(ITEM!$B33="","",$D55-$H55)</f>
      </c>
      <c r="J55" s="6">
        <f>IF(ITEM!$B33="","",ITEM!$E33)</f>
      </c>
      <c r="K55" s="6">
        <f>IF(ITEM!$B33="","",$G55*$J55)</f>
      </c>
      <c r="L55" s="2"/>
      <c r="M55" s="2"/>
      <c r="N55" s="2"/>
      <c r="O55" s="2"/>
    </row>
    <row r="56" spans="1:15" ht="13.05" hidden="1" customHeight="1" outlineLevel="2" x14ac:dyDescent="0.45">
      <c r="A56" s="4">
        <f>IF(ITEM!$B34="","",ITEM!$A34)</f>
      </c>
      <c r="B56" s="118">
        <f>IF(ITEM!$B34="","",ITEM!$B34)</f>
      </c>
      <c r="C56" s="119"/>
      <c r="D56" s="13">
        <f>IF(ITEM!$B34="","",ITEM!$D34)</f>
      </c>
      <c r="E56" s="5">
        <f>IF(ITEM!$B34="","",ITEM!$C34)</f>
      </c>
      <c r="F56" s="13" cm="1">
        <f t="array" ref="F56">IF(ITEM!$B34="","",SUMPRODUCT((COLUMN(ITEM!$G34:$J34)-COLUMN(ITEM!$G34)+1&lt;$O$1)*ITEM!$G34:$J34))</f>
      </c>
      <c r="G56" s="13" cm="1">
        <f t="array" ref="G56">IF(ITEM!$B34="","",INDEX(ITEM!$G34:$J34,1,$O$1))</f>
      </c>
      <c r="H56" s="13">
        <f>IF(ITEM!$B34="","",$F56+$G56)</f>
      </c>
      <c r="I56" s="13">
        <f>IF(ITEM!$B34="","",$D56-$H56)</f>
      </c>
      <c r="J56" s="6">
        <f>IF(ITEM!$B34="","",ITEM!$E34)</f>
      </c>
      <c r="K56" s="6">
        <f>IF(ITEM!$B34="","",$G56*$J56)</f>
      </c>
      <c r="L56" s="2"/>
      <c r="M56" s="2"/>
      <c r="N56" s="2"/>
      <c r="O56" s="2"/>
    </row>
    <row r="57" spans="1:15" ht="13.05" hidden="1" customHeight="1" outlineLevel="2" x14ac:dyDescent="0.45">
      <c r="A57" s="4">
        <f>IF(ITEM!$B35="","",ITEM!$A35)</f>
      </c>
      <c r="B57" s="118">
        <f>IF(ITEM!$B35="","",ITEM!$B35)</f>
      </c>
      <c r="C57" s="119"/>
      <c r="D57" s="13">
        <f>IF(ITEM!$B35="","",ITEM!$D35)</f>
      </c>
      <c r="E57" s="5">
        <f>IF(ITEM!$B35="","",ITEM!$C35)</f>
      </c>
      <c r="F57" s="13" cm="1">
        <f t="array" ref="F57">IF(ITEM!$B35="","",SUMPRODUCT((COLUMN(ITEM!$G35:$J35)-COLUMN(ITEM!$G35)+1&lt;$O$1)*ITEM!$G35:$J35))</f>
      </c>
      <c r="G57" s="13" cm="1">
        <f t="array" ref="G57">IF(ITEM!$B35="","",INDEX(ITEM!$G35:$J35,1,$O$1))</f>
      </c>
      <c r="H57" s="13">
        <f>IF(ITEM!$B35="","",$F57+$G57)</f>
      </c>
      <c r="I57" s="13">
        <f>IF(ITEM!$B35="","",$D57-$H57)</f>
      </c>
      <c r="J57" s="6">
        <f>IF(ITEM!$B35="","",ITEM!$E35)</f>
      </c>
      <c r="K57" s="6">
        <f>IF(ITEM!$B35="","",$G57*$J57)</f>
      </c>
      <c r="L57" s="2"/>
      <c r="M57" s="2"/>
      <c r="N57" s="2"/>
      <c r="O57" s="2"/>
    </row>
    <row r="58" spans="1:15" ht="13.05" hidden="1" customHeight="1" outlineLevel="2" x14ac:dyDescent="0.45">
      <c r="A58" s="4">
        <f>IF(ITEM!$B36="","",ITEM!$A36)</f>
      </c>
      <c r="B58" s="118">
        <f>IF(ITEM!$B36="","",ITEM!$B36)</f>
      </c>
      <c r="C58" s="119"/>
      <c r="D58" s="13">
        <f>IF(ITEM!$B36="","",ITEM!$D36)</f>
      </c>
      <c r="E58" s="5">
        <f>IF(ITEM!$B36="","",ITEM!$C36)</f>
      </c>
      <c r="F58" s="13" cm="1">
        <f t="array" ref="F58">IF(ITEM!$B36="","",SUMPRODUCT((COLUMN(ITEM!$G36:$J36)-COLUMN(ITEM!$G36)+1&lt;$O$1)*ITEM!$G36:$J36))</f>
      </c>
      <c r="G58" s="13" cm="1">
        <f t="array" ref="G58">IF(ITEM!$B36="","",INDEX(ITEM!$G36:$J36,1,$O$1))</f>
      </c>
      <c r="H58" s="13">
        <f>IF(ITEM!$B36="","",$F58+$G58)</f>
      </c>
      <c r="I58" s="13">
        <f>IF(ITEM!$B36="","",$D58-$H58)</f>
      </c>
      <c r="J58" s="6">
        <f>IF(ITEM!$B36="","",ITEM!$E36)</f>
      </c>
      <c r="K58" s="6">
        <f>IF(ITEM!$B36="","",$G58*$J58)</f>
      </c>
      <c r="L58" s="2"/>
      <c r="M58" s="2"/>
      <c r="N58" s="2"/>
      <c r="O58" s="2"/>
    </row>
    <row r="59" spans="1:15" ht="13.05" hidden="1" customHeight="1" outlineLevel="2" x14ac:dyDescent="0.45">
      <c r="A59" s="4">
        <f>IF(ITEM!$B37="","",ITEM!$A37)</f>
      </c>
      <c r="B59" s="118">
        <f>IF(ITEM!$B37="","",ITEM!$B37)</f>
      </c>
      <c r="C59" s="119"/>
      <c r="D59" s="13">
        <f>IF(ITEM!$B37="","",ITEM!$D37)</f>
      </c>
      <c r="E59" s="5">
        <f>IF(ITEM!$B37="","",ITEM!$C37)</f>
      </c>
      <c r="F59" s="13" cm="1">
        <f t="array" ref="F59">IF(ITEM!$B37="","",SUMPRODUCT((COLUMN(ITEM!$G37:$J37)-COLUMN(ITEM!$G37)+1&lt;$O$1)*ITEM!$G37:$J37))</f>
      </c>
      <c r="G59" s="13" cm="1">
        <f t="array" ref="G59">IF(ITEM!$B37="","",INDEX(ITEM!$G37:$J37,1,$O$1))</f>
      </c>
      <c r="H59" s="13">
        <f>IF(ITEM!$B37="","",$F59+$G59)</f>
      </c>
      <c r="I59" s="13">
        <f>IF(ITEM!$B37="","",$D59-$H59)</f>
      </c>
      <c r="J59" s="6">
        <f>IF(ITEM!$B37="","",ITEM!$E37)</f>
      </c>
      <c r="K59" s="6">
        <f>IF(ITEM!$B37="","",$G59*$J59)</f>
      </c>
      <c r="L59" s="2"/>
      <c r="M59" s="2"/>
      <c r="N59" s="2"/>
      <c r="O59" s="2"/>
    </row>
    <row r="60" spans="1:15" ht="13.05" hidden="1" customHeight="1" outlineLevel="2" x14ac:dyDescent="0.45">
      <c r="A60" s="4">
        <f>IF(ITEM!$B38="","",ITEM!$A38)</f>
      </c>
      <c r="B60" s="118">
        <f>IF(ITEM!$B38="","",ITEM!$B38)</f>
      </c>
      <c r="C60" s="119"/>
      <c r="D60" s="13">
        <f>IF(ITEM!$B38="","",ITEM!$D38)</f>
      </c>
      <c r="E60" s="5">
        <f>IF(ITEM!$B38="","",ITEM!$C38)</f>
      </c>
      <c r="F60" s="13" cm="1">
        <f t="array" ref="F60">IF(ITEM!$B38="","",SUMPRODUCT((COLUMN(ITEM!$G38:$J38)-COLUMN(ITEM!$G38)+1&lt;$O$1)*ITEM!$G38:$J38))</f>
      </c>
      <c r="G60" s="13" cm="1">
        <f t="array" ref="G60">IF(ITEM!$B38="","",INDEX(ITEM!$G38:$J38,1,$O$1))</f>
      </c>
      <c r="H60" s="13">
        <f>IF(ITEM!$B38="","",$F60+$G60)</f>
      </c>
      <c r="I60" s="13">
        <f>IF(ITEM!$B38="","",$D60-$H60)</f>
      </c>
      <c r="J60" s="6">
        <f>IF(ITEM!$B38="","",ITEM!$E38)</f>
      </c>
      <c r="K60" s="6">
        <f>IF(ITEM!$B38="","",$G60*$J60)</f>
      </c>
      <c r="L60" s="2"/>
      <c r="M60" s="2"/>
      <c r="N60" s="2"/>
      <c r="O60" s="2"/>
    </row>
    <row r="61" spans="1:15" ht="13.05" hidden="1" customHeight="1" outlineLevel="2" x14ac:dyDescent="0.45">
      <c r="A61" s="4">
        <f>IF(ITEM!$B39="","",ITEM!$A39)</f>
      </c>
      <c r="B61" s="118">
        <f>IF(ITEM!$B39="","",ITEM!$B39)</f>
      </c>
      <c r="C61" s="119"/>
      <c r="D61" s="13">
        <f>IF(ITEM!$B39="","",ITEM!$D39)</f>
      </c>
      <c r="E61" s="5">
        <f>IF(ITEM!$B39="","",ITEM!$C39)</f>
      </c>
      <c r="F61" s="13" cm="1">
        <f t="array" ref="F61">IF(ITEM!$B39="","",SUMPRODUCT((COLUMN(ITEM!$G39:$J39)-COLUMN(ITEM!$G39)+1&lt;$O$1)*ITEM!$G39:$J39))</f>
      </c>
      <c r="G61" s="13" cm="1">
        <f t="array" ref="G61">IF(ITEM!$B39="","",INDEX(ITEM!$G39:$J39,1,$O$1))</f>
      </c>
      <c r="H61" s="13">
        <f>IF(ITEM!$B39="","",$F61+$G61)</f>
      </c>
      <c r="I61" s="13">
        <f>IF(ITEM!$B39="","",$D61-$H61)</f>
      </c>
      <c r="J61" s="6">
        <f>IF(ITEM!$B39="","",ITEM!$E39)</f>
      </c>
      <c r="K61" s="6">
        <f>IF(ITEM!$B39="","",$G61*$J61)</f>
      </c>
      <c r="L61" s="2"/>
      <c r="M61" s="2"/>
      <c r="N61" s="2"/>
      <c r="O61" s="2"/>
    </row>
    <row r="62" spans="1:15" ht="13.05" hidden="1" customHeight="1" outlineLevel="2" x14ac:dyDescent="0.45">
      <c r="A62" s="4">
        <f>IF(ITEM!$B40="","",ITEM!$A40)</f>
      </c>
      <c r="B62" s="118">
        <f>IF(ITEM!$B40="","",ITEM!$B40)</f>
      </c>
      <c r="C62" s="119"/>
      <c r="D62" s="13">
        <f>IF(ITEM!$B40="","",ITEM!$D40)</f>
      </c>
      <c r="E62" s="5">
        <f>IF(ITEM!$B40="","",ITEM!$C40)</f>
      </c>
      <c r="F62" s="13" cm="1">
        <f t="array" ref="F62">IF(ITEM!$B40="","",SUMPRODUCT((COLUMN(ITEM!$G40:$J40)-COLUMN(ITEM!$G40)+1&lt;$O$1)*ITEM!$G40:$J40))</f>
      </c>
      <c r="G62" s="13" cm="1">
        <f t="array" ref="G62">IF(ITEM!$B40="","",INDEX(ITEM!$G40:$J40,1,$O$1))</f>
      </c>
      <c r="H62" s="13">
        <f>IF(ITEM!$B40="","",$F62+$G62)</f>
      </c>
      <c r="I62" s="13">
        <f>IF(ITEM!$B40="","",$D62-$H62)</f>
      </c>
      <c r="J62" s="6">
        <f>IF(ITEM!$B40="","",ITEM!$E40)</f>
      </c>
      <c r="K62" s="6">
        <f>IF(ITEM!$B40="","",$G62*$J62)</f>
      </c>
      <c r="L62" s="2"/>
      <c r="M62" s="2"/>
      <c r="N62" s="2"/>
      <c r="O62" s="2"/>
    </row>
    <row r="63" spans="1:15" ht="13.05" hidden="1" customHeight="1" outlineLevel="2" x14ac:dyDescent="0.45">
      <c r="A63" s="4">
        <f>IF(ITEM!$B41="","",ITEM!$A41)</f>
      </c>
      <c r="B63" s="118">
        <f>IF(ITEM!$B41="","",ITEM!$B41)</f>
      </c>
      <c r="C63" s="119"/>
      <c r="D63" s="13">
        <f>IF(ITEM!$B41="","",ITEM!$D41)</f>
      </c>
      <c r="E63" s="5">
        <f>IF(ITEM!$B41="","",ITEM!$C41)</f>
      </c>
      <c r="F63" s="13" cm="1">
        <f t="array" ref="F63">IF(ITEM!$B41="","",SUMPRODUCT((COLUMN(ITEM!$G41:$J41)-COLUMN(ITEM!$G41)+1&lt;$O$1)*ITEM!$G41:$J41))</f>
      </c>
      <c r="G63" s="13" cm="1">
        <f t="array" ref="G63">IF(ITEM!$B41="","",INDEX(ITEM!$G41:$J41,1,$O$1))</f>
      </c>
      <c r="H63" s="13">
        <f>IF(ITEM!$B41="","",$F63+$G63)</f>
      </c>
      <c r="I63" s="13">
        <f>IF(ITEM!$B41="","",$D63-$H63)</f>
      </c>
      <c r="J63" s="6">
        <f>IF(ITEM!$B41="","",ITEM!$E41)</f>
      </c>
      <c r="K63" s="6">
        <f>IF(ITEM!$B41="","",$G63*$J63)</f>
      </c>
      <c r="L63" s="2"/>
      <c r="M63" s="2"/>
      <c r="N63" s="2"/>
      <c r="O63" s="2"/>
    </row>
    <row r="64" spans="1:15" ht="13.05" hidden="1" customHeight="1" outlineLevel="2" x14ac:dyDescent="0.45">
      <c r="A64" s="4">
        <f>IF(ITEM!$B42="","",ITEM!$A42)</f>
      </c>
      <c r="B64" s="118">
        <f>IF(ITEM!$B42="","",ITEM!$B42)</f>
      </c>
      <c r="C64" s="119"/>
      <c r="D64" s="13">
        <f>IF(ITEM!$B42="","",ITEM!$D42)</f>
      </c>
      <c r="E64" s="5">
        <f>IF(ITEM!$B42="","",ITEM!$C42)</f>
      </c>
      <c r="F64" s="13" cm="1">
        <f t="array" ref="F64">IF(ITEM!$B42="","",SUMPRODUCT((COLUMN(ITEM!$G42:$J42)-COLUMN(ITEM!$G42)+1&lt;$O$1)*ITEM!$G42:$J42))</f>
      </c>
      <c r="G64" s="13" cm="1">
        <f t="array" ref="G64">IF(ITEM!$B42="","",INDEX(ITEM!$G42:$J42,1,$O$1))</f>
      </c>
      <c r="H64" s="13">
        <f>IF(ITEM!$B42="","",$F64+$G64)</f>
      </c>
      <c r="I64" s="13">
        <f>IF(ITEM!$B42="","",$D64-$H64)</f>
      </c>
      <c r="J64" s="6">
        <f>IF(ITEM!$B42="","",ITEM!$E42)</f>
      </c>
      <c r="K64" s="6">
        <f>IF(ITEM!$B42="","",$G64*$J64)</f>
      </c>
      <c r="L64" s="2"/>
      <c r="M64" s="2"/>
      <c r="N64" s="2"/>
      <c r="O64" s="2"/>
    </row>
    <row r="65" spans="1:15" ht="13.05" hidden="1" customHeight="1" outlineLevel="2" x14ac:dyDescent="0.45">
      <c r="A65" s="4">
        <f>IF(ITEM!$B43="","",ITEM!$A43)</f>
      </c>
      <c r="B65" s="118">
        <f>IF(ITEM!$B43="","",ITEM!$B43)</f>
      </c>
      <c r="C65" s="119"/>
      <c r="D65" s="13">
        <f>IF(ITEM!$B43="","",ITEM!$D43)</f>
      </c>
      <c r="E65" s="5">
        <f>IF(ITEM!$B43="","",ITEM!$C43)</f>
      </c>
      <c r="F65" s="13" cm="1">
        <f t="array" ref="F65">IF(ITEM!$B43="","",SUMPRODUCT((COLUMN(ITEM!$G43:$J43)-COLUMN(ITEM!$G43)+1&lt;$O$1)*ITEM!$G43:$J43))</f>
      </c>
      <c r="G65" s="13" cm="1">
        <f t="array" ref="G65">IF(ITEM!$B43="","",INDEX(ITEM!$G43:$J43,1,$O$1))</f>
      </c>
      <c r="H65" s="13">
        <f>IF(ITEM!$B43="","",$F65+$G65)</f>
      </c>
      <c r="I65" s="13">
        <f>IF(ITEM!$B43="","",$D65-$H65)</f>
      </c>
      <c r="J65" s="6">
        <f>IF(ITEM!$B43="","",ITEM!$E43)</f>
      </c>
      <c r="K65" s="6">
        <f>IF(ITEM!$B43="","",$G65*$J65)</f>
      </c>
      <c r="L65" s="2"/>
      <c r="M65" s="2"/>
      <c r="N65" s="2"/>
      <c r="O65" s="2"/>
    </row>
    <row r="66" spans="1:15" ht="13.05" hidden="1" customHeight="1" outlineLevel="2" x14ac:dyDescent="0.45">
      <c r="A66" s="4">
        <f>IF(ITEM!$B44="","",ITEM!$A44)</f>
      </c>
      <c r="B66" s="118">
        <f>IF(ITEM!$B44="","",ITEM!$B44)</f>
      </c>
      <c r="C66" s="119"/>
      <c r="D66" s="13">
        <f>IF(ITEM!$B44="","",ITEM!$D44)</f>
      </c>
      <c r="E66" s="5">
        <f>IF(ITEM!$B44="","",ITEM!$C44)</f>
      </c>
      <c r="F66" s="13" cm="1">
        <f t="array" ref="F66">IF(ITEM!$B44="","",SUMPRODUCT((COLUMN(ITEM!$G44:$J44)-COLUMN(ITEM!$G44)+1&lt;$O$1)*ITEM!$G44:$J44))</f>
      </c>
      <c r="G66" s="13" cm="1">
        <f t="array" ref="G66">IF(ITEM!$B44="","",INDEX(ITEM!$G44:$J44,1,$O$1))</f>
      </c>
      <c r="H66" s="13">
        <f>IF(ITEM!$B44="","",$F66+$G66)</f>
      </c>
      <c r="I66" s="13">
        <f>IF(ITEM!$B44="","",$D66-$H66)</f>
      </c>
      <c r="J66" s="6">
        <f>IF(ITEM!$B44="","",ITEM!$E44)</f>
      </c>
      <c r="K66" s="6">
        <f>IF(ITEM!$B44="","",$G66*$J66)</f>
      </c>
      <c r="L66" s="2"/>
      <c r="M66" s="2"/>
      <c r="N66" s="2"/>
      <c r="O66" s="2"/>
    </row>
    <row r="67" spans="1:15" ht="13.05" hidden="1" customHeight="1" outlineLevel="2" x14ac:dyDescent="0.45">
      <c r="A67" s="4">
        <f>IF(ITEM!$B45="","",ITEM!$A45)</f>
      </c>
      <c r="B67" s="118">
        <f>IF(ITEM!$B45="","",ITEM!$B45)</f>
      </c>
      <c r="C67" s="119"/>
      <c r="D67" s="13">
        <f>IF(ITEM!$B45="","",ITEM!$D45)</f>
      </c>
      <c r="E67" s="5">
        <f>IF(ITEM!$B45="","",ITEM!$C45)</f>
      </c>
      <c r="F67" s="13" cm="1">
        <f t="array" ref="F67">IF(ITEM!$B45="","",SUMPRODUCT((COLUMN(ITEM!$G45:$J45)-COLUMN(ITEM!$G45)+1&lt;$O$1)*ITEM!$G45:$J45))</f>
      </c>
      <c r="G67" s="13" cm="1">
        <f t="array" ref="G67">IF(ITEM!$B45="","",INDEX(ITEM!$G45:$J45,1,$O$1))</f>
      </c>
      <c r="H67" s="13">
        <f>IF(ITEM!$B45="","",$F67+$G67)</f>
      </c>
      <c r="I67" s="13">
        <f>IF(ITEM!$B45="","",$D67-$H67)</f>
      </c>
      <c r="J67" s="6">
        <f>IF(ITEM!$B45="","",ITEM!$E45)</f>
      </c>
      <c r="K67" s="6">
        <f>IF(ITEM!$B45="","",$G67*$J67)</f>
      </c>
      <c r="L67" s="2"/>
      <c r="M67" s="2"/>
      <c r="N67" s="2"/>
      <c r="O67" s="2"/>
    </row>
    <row r="68" spans="1:15" ht="13.05" hidden="1" customHeight="1" outlineLevel="2" x14ac:dyDescent="0.45">
      <c r="A68" s="4">
        <f>IF(ITEM!$B46="","",ITEM!$A46)</f>
      </c>
      <c r="B68" s="118">
        <f>IF(ITEM!$B46="","",ITEM!$B46)</f>
      </c>
      <c r="C68" s="119"/>
      <c r="D68" s="13">
        <f>IF(ITEM!$B46="","",ITEM!$D46)</f>
      </c>
      <c r="E68" s="5">
        <f>IF(ITEM!$B46="","",ITEM!$C46)</f>
      </c>
      <c r="F68" s="13" cm="1">
        <f t="array" ref="F68">IF(ITEM!$B46="","",SUMPRODUCT((COLUMN(ITEM!$G46:$J46)-COLUMN(ITEM!$G46)+1&lt;$O$1)*ITEM!$G46:$J46))</f>
      </c>
      <c r="G68" s="13" cm="1">
        <f t="array" ref="G68">IF(ITEM!$B46="","",INDEX(ITEM!$G46:$J46,1,$O$1))</f>
      </c>
      <c r="H68" s="13">
        <f>IF(ITEM!$B46="","",$F68+$G68)</f>
      </c>
      <c r="I68" s="13">
        <f>IF(ITEM!$B46="","",$D68-$H68)</f>
      </c>
      <c r="J68" s="6">
        <f>IF(ITEM!$B46="","",ITEM!$E46)</f>
      </c>
      <c r="K68" s="6">
        <f>IF(ITEM!$B46="","",$G68*$J68)</f>
      </c>
      <c r="L68" s="2"/>
      <c r="M68" s="2"/>
      <c r="N68" s="2"/>
      <c r="O68" s="2"/>
    </row>
    <row r="69" spans="1:15" ht="13.05" hidden="1" customHeight="1" outlineLevel="2" x14ac:dyDescent="0.45">
      <c r="A69" s="4">
        <f>IF(ITEM!$B47="","",ITEM!$A47)</f>
      </c>
      <c r="B69" s="118">
        <f>IF(ITEM!$B47="","",ITEM!$B47)</f>
      </c>
      <c r="C69" s="119"/>
      <c r="D69" s="13">
        <f>IF(ITEM!$B47="","",ITEM!$D47)</f>
      </c>
      <c r="E69" s="5">
        <f>IF(ITEM!$B47="","",ITEM!$C47)</f>
      </c>
      <c r="F69" s="13" cm="1">
        <f t="array" ref="F69">IF(ITEM!$B47="","",SUMPRODUCT((COLUMN(ITEM!$G47:$J47)-COLUMN(ITEM!$G47)+1&lt;$O$1)*ITEM!$G47:$J47))</f>
      </c>
      <c r="G69" s="13" cm="1">
        <f t="array" ref="G69">IF(ITEM!$B47="","",INDEX(ITEM!$G47:$J47,1,$O$1))</f>
      </c>
      <c r="H69" s="13">
        <f>IF(ITEM!$B47="","",$F69+$G69)</f>
      </c>
      <c r="I69" s="13">
        <f>IF(ITEM!$B47="","",$D69-$H69)</f>
      </c>
      <c r="J69" s="6">
        <f>IF(ITEM!$B47="","",ITEM!$E47)</f>
      </c>
      <c r="K69" s="6">
        <f>IF(ITEM!$B47="","",$G69*$J69)</f>
      </c>
      <c r="L69" s="2"/>
      <c r="M69" s="2"/>
      <c r="N69" s="2"/>
      <c r="O69" s="2"/>
    </row>
    <row r="70" spans="1:15" ht="13.05" hidden="1" customHeight="1" outlineLevel="2" x14ac:dyDescent="0.45">
      <c r="A70" s="4">
        <f>IF(ITEM!$B48="","",ITEM!$A48)</f>
      </c>
      <c r="B70" s="118">
        <f>IF(ITEM!$B48="","",ITEM!$B48)</f>
      </c>
      <c r="C70" s="119"/>
      <c r="D70" s="13">
        <f>IF(ITEM!$B48="","",ITEM!$D48)</f>
      </c>
      <c r="E70" s="5">
        <f>IF(ITEM!$B48="","",ITEM!$C48)</f>
      </c>
      <c r="F70" s="13" cm="1">
        <f t="array" ref="F70">IF(ITEM!$B48="","",SUMPRODUCT((COLUMN(ITEM!$G48:$J48)-COLUMN(ITEM!$G48)+1&lt;$O$1)*ITEM!$G48:$J48))</f>
      </c>
      <c r="G70" s="13" cm="1">
        <f t="array" ref="G70">IF(ITEM!$B48="","",INDEX(ITEM!$G48:$J48,1,$O$1))</f>
      </c>
      <c r="H70" s="13">
        <f>IF(ITEM!$B48="","",$F70+$G70)</f>
      </c>
      <c r="I70" s="13">
        <f>IF(ITEM!$B48="","",$D70-$H70)</f>
      </c>
      <c r="J70" s="6">
        <f>IF(ITEM!$B48="","",ITEM!$E48)</f>
      </c>
      <c r="K70" s="6">
        <f>IF(ITEM!$B48="","",$G70*$J70)</f>
      </c>
      <c r="L70" s="2"/>
      <c r="M70" s="2"/>
      <c r="N70" s="2"/>
      <c r="O70" s="2"/>
    </row>
    <row r="71" spans="1:15" ht="13.05" hidden="1" customHeight="1" outlineLevel="2" x14ac:dyDescent="0.45">
      <c r="A71" s="4">
        <f>IF(ITEM!$B49="","",ITEM!$A49)</f>
      </c>
      <c r="B71" s="118">
        <f>IF(ITEM!$B49="","",ITEM!$B49)</f>
      </c>
      <c r="C71" s="119"/>
      <c r="D71" s="13">
        <f>IF(ITEM!$B49="","",ITEM!$D49)</f>
      </c>
      <c r="E71" s="5">
        <f>IF(ITEM!$B49="","",ITEM!$C49)</f>
      </c>
      <c r="F71" s="13" cm="1">
        <f t="array" ref="F71">IF(ITEM!$B49="","",SUMPRODUCT((COLUMN(ITEM!$G49:$J49)-COLUMN(ITEM!$G49)+1&lt;$O$1)*ITEM!$G49:$J49))</f>
      </c>
      <c r="G71" s="13" cm="1">
        <f t="array" ref="G71">IF(ITEM!$B49="","",INDEX(ITEM!$G49:$J49,1,$O$1))</f>
      </c>
      <c r="H71" s="13">
        <f>IF(ITEM!$B49="","",$F71+$G71)</f>
      </c>
      <c r="I71" s="13">
        <f>IF(ITEM!$B49="","",$D71-$H71)</f>
      </c>
      <c r="J71" s="6">
        <f>IF(ITEM!$B49="","",ITEM!$E49)</f>
      </c>
      <c r="K71" s="6">
        <f>IF(ITEM!$B49="","",$G71*$J71)</f>
      </c>
      <c r="L71" s="2"/>
      <c r="M71" s="2"/>
      <c r="N71" s="2"/>
      <c r="O71" s="2"/>
    </row>
    <row r="72" spans="1:15" ht="13.05" hidden="1" customHeight="1" outlineLevel="2" x14ac:dyDescent="0.45">
      <c r="A72" s="4">
        <f>IF(ITEM!$B50="","",ITEM!$A50)</f>
      </c>
      <c r="B72" s="118">
        <f>IF(ITEM!$B50="","",ITEM!$B50)</f>
      </c>
      <c r="C72" s="119"/>
      <c r="D72" s="13">
        <f>IF(ITEM!$B50="","",ITEM!$D50)</f>
      </c>
      <c r="E72" s="5">
        <f>IF(ITEM!$B50="","",ITEM!$C50)</f>
      </c>
      <c r="F72" s="13" cm="1">
        <f t="array" ref="F72">IF(ITEM!$B50="","",SUMPRODUCT((COLUMN(ITEM!$G50:$J50)-COLUMN(ITEM!$G50)+1&lt;$O$1)*ITEM!$G50:$J50))</f>
      </c>
      <c r="G72" s="13" cm="1">
        <f t="array" ref="G72">IF(ITEM!$B50="","",INDEX(ITEM!$G50:$J50,1,$O$1))</f>
      </c>
      <c r="H72" s="13">
        <f>IF(ITEM!$B50="","",$F72+$G72)</f>
      </c>
      <c r="I72" s="13">
        <f>IF(ITEM!$B50="","",$D72-$H72)</f>
      </c>
      <c r="J72" s="6">
        <f>IF(ITEM!$B50="","",ITEM!$E50)</f>
      </c>
      <c r="K72" s="6">
        <f>IF(ITEM!$B50="","",$G72*$J72)</f>
      </c>
      <c r="L72" s="2"/>
      <c r="M72" s="2"/>
      <c r="N72" s="2"/>
      <c r="O72" s="2"/>
    </row>
    <row r="73" spans="1:15" ht="13.05" hidden="1" customHeight="1" outlineLevel="2" x14ac:dyDescent="0.45">
      <c r="A73" s="4">
        <f>IF(ITEM!$B51="","",ITEM!$A51)</f>
      </c>
      <c r="B73" s="118">
        <f>IF(ITEM!$B51="","",ITEM!$B51)</f>
      </c>
      <c r="C73" s="119"/>
      <c r="D73" s="13">
        <f>IF(ITEM!$B51="","",ITEM!$D51)</f>
      </c>
      <c r="E73" s="5">
        <f>IF(ITEM!$B51="","",ITEM!$C51)</f>
      </c>
      <c r="F73" s="13" cm="1">
        <f t="array" ref="F73">IF(ITEM!$B51="","",SUMPRODUCT((COLUMN(ITEM!$G51:$J51)-COLUMN(ITEM!$G51)+1&lt;$O$1)*ITEM!$G51:$J51))</f>
      </c>
      <c r="G73" s="13" cm="1">
        <f t="array" ref="G73">IF(ITEM!$B51="","",INDEX(ITEM!$G51:$J51,1,$O$1))</f>
      </c>
      <c r="H73" s="13">
        <f>IF(ITEM!$B51="","",$F73+$G73)</f>
      </c>
      <c r="I73" s="13">
        <f>IF(ITEM!$B51="","",$D73-$H73)</f>
      </c>
      <c r="J73" s="6">
        <f>IF(ITEM!$B51="","",ITEM!$E51)</f>
      </c>
      <c r="K73" s="6">
        <f>IF(ITEM!$B51="","",$G73*$J73)</f>
      </c>
      <c r="L73" s="2"/>
      <c r="M73" s="2"/>
      <c r="N73" s="2"/>
      <c r="O73" s="2"/>
    </row>
    <row r="74" spans="1:15" ht="13.05" hidden="1" customHeight="1" outlineLevel="2" x14ac:dyDescent="0.45">
      <c r="A74" s="4">
        <f>IF(ITEM!$B52="","",ITEM!$A52)</f>
      </c>
      <c r="B74" s="118">
        <f>IF(ITEM!$B52="","",ITEM!$B52)</f>
      </c>
      <c r="C74" s="119"/>
      <c r="D74" s="13">
        <f>IF(ITEM!$B52="","",ITEM!$D52)</f>
      </c>
      <c r="E74" s="5">
        <f>IF(ITEM!$B52="","",ITEM!$C52)</f>
      </c>
      <c r="F74" s="13" cm="1">
        <f t="array" ref="F74">IF(ITEM!$B52="","",SUMPRODUCT((COLUMN(ITEM!$G52:$J52)-COLUMN(ITEM!$G52)+1&lt;$O$1)*ITEM!$G52:$J52))</f>
      </c>
      <c r="G74" s="13" cm="1">
        <f t="array" ref="G74">IF(ITEM!$B52="","",INDEX(ITEM!$G52:$J52,1,$O$1))</f>
      </c>
      <c r="H74" s="13">
        <f>IF(ITEM!$B52="","",$F74+$G74)</f>
      </c>
      <c r="I74" s="13">
        <f>IF(ITEM!$B52="","",$D74-$H74)</f>
      </c>
      <c r="J74" s="6">
        <f>IF(ITEM!$B52="","",ITEM!$E52)</f>
      </c>
      <c r="K74" s="6">
        <f>IF(ITEM!$B52="","",$G74*$J74)</f>
      </c>
      <c r="L74" s="2"/>
      <c r="M74" s="2"/>
      <c r="N74" s="2"/>
      <c r="O74" s="2"/>
    </row>
    <row r="75" spans="1:15" ht="13.05" hidden="1" customHeight="1" outlineLevel="2" x14ac:dyDescent="0.45">
      <c r="A75" s="4">
        <f>IF(ITEM!$B53="","",ITEM!$A53)</f>
      </c>
      <c r="B75" s="118">
        <f>IF(ITEM!$B53="","",ITEM!$B53)</f>
      </c>
      <c r="C75" s="119"/>
      <c r="D75" s="13">
        <f>IF(ITEM!$B53="","",ITEM!$D53)</f>
      </c>
      <c r="E75" s="5">
        <f>IF(ITEM!$B53="","",ITEM!$C53)</f>
      </c>
      <c r="F75" s="13" cm="1">
        <f t="array" ref="F75">IF(ITEM!$B53="","",SUMPRODUCT((COLUMN(ITEM!$G53:$J53)-COLUMN(ITEM!$G53)+1&lt;$O$1)*ITEM!$G53:$J53))</f>
      </c>
      <c r="G75" s="13" cm="1">
        <f t="array" ref="G75">IF(ITEM!$B53="","",INDEX(ITEM!$G53:$J53,1,$O$1))</f>
      </c>
      <c r="H75" s="13">
        <f>IF(ITEM!$B53="","",$F75+$G75)</f>
      </c>
      <c r="I75" s="13">
        <f>IF(ITEM!$B53="","",$D75-$H75)</f>
      </c>
      <c r="J75" s="6">
        <f>IF(ITEM!$B53="","",ITEM!$E53)</f>
      </c>
      <c r="K75" s="6">
        <f>IF(ITEM!$B53="","",$G75*$J75)</f>
      </c>
      <c r="L75" s="2"/>
      <c r="M75" s="2"/>
      <c r="N75" s="2"/>
      <c r="O75" s="2"/>
    </row>
    <row r="76" spans="1:15" ht="13.05" hidden="1" customHeight="1" outlineLevel="2" x14ac:dyDescent="0.45">
      <c r="A76" s="4">
        <f>IF(ITEM!$B54="","",ITEM!$A54)</f>
      </c>
      <c r="B76" s="118">
        <f>IF(ITEM!$B54="","",ITEM!$B54)</f>
      </c>
      <c r="C76" s="119"/>
      <c r="D76" s="13">
        <f>IF(ITEM!$B54="","",ITEM!$D54)</f>
      </c>
      <c r="E76" s="5">
        <f>IF(ITEM!$B54="","",ITEM!$C54)</f>
      </c>
      <c r="F76" s="13" cm="1">
        <f t="array" ref="F76">IF(ITEM!$B54="","",SUMPRODUCT((COLUMN(ITEM!$G54:$J54)-COLUMN(ITEM!$G54)+1&lt;$O$1)*ITEM!$G54:$J54))</f>
      </c>
      <c r="G76" s="13" cm="1">
        <f t="array" ref="G76">IF(ITEM!$B54="","",INDEX(ITEM!$G54:$J54,1,$O$1))</f>
      </c>
      <c r="H76" s="13">
        <f>IF(ITEM!$B54="","",$F76+$G76)</f>
      </c>
      <c r="I76" s="13">
        <f>IF(ITEM!$B54="","",$D76-$H76)</f>
      </c>
      <c r="J76" s="6">
        <f>IF(ITEM!$B54="","",ITEM!$E54)</f>
      </c>
      <c r="K76" s="6">
        <f>IF(ITEM!$B54="","",$G76*$J76)</f>
      </c>
      <c r="L76" s="2"/>
      <c r="M76" s="2"/>
      <c r="N76" s="2"/>
      <c r="O76" s="2"/>
    </row>
    <row r="77" spans="1:15" ht="13.05" hidden="1" customHeight="1" outlineLevel="2" x14ac:dyDescent="0.45">
      <c r="A77" s="4">
        <f>IF(ITEM!$B55="","",ITEM!$A55)</f>
      </c>
      <c r="B77" s="118">
        <f>IF(ITEM!$B55="","",ITEM!$B55)</f>
      </c>
      <c r="C77" s="119"/>
      <c r="D77" s="13">
        <f>IF(ITEM!$B55="","",ITEM!$D55)</f>
      </c>
      <c r="E77" s="5">
        <f>IF(ITEM!$B55="","",ITEM!$C55)</f>
      </c>
      <c r="F77" s="13" cm="1">
        <f t="array" ref="F77">IF(ITEM!$B55="","",SUMPRODUCT((COLUMN(ITEM!$G55:$J55)-COLUMN(ITEM!$G55)+1&lt;$O$1)*ITEM!$G55:$J55))</f>
      </c>
      <c r="G77" s="13" cm="1">
        <f t="array" ref="G77">IF(ITEM!$B55="","",INDEX(ITEM!$G55:$J55,1,$O$1))</f>
      </c>
      <c r="H77" s="13">
        <f>IF(ITEM!$B55="","",$F77+$G77)</f>
      </c>
      <c r="I77" s="13">
        <f>IF(ITEM!$B55="","",$D77-$H77)</f>
      </c>
      <c r="J77" s="6">
        <f>IF(ITEM!$B55="","",ITEM!$E55)</f>
      </c>
      <c r="K77" s="6">
        <f>IF(ITEM!$B55="","",$G77*$J77)</f>
      </c>
      <c r="L77" s="2"/>
      <c r="M77" s="2"/>
      <c r="N77" s="2"/>
      <c r="O77" s="2"/>
    </row>
    <row r="78" spans="1:15" ht="13.05" hidden="1" customHeight="1" outlineLevel="2" x14ac:dyDescent="0.45">
      <c r="A78" s="4">
        <f>IF(ITEM!$B56="","",ITEM!$A56)</f>
      </c>
      <c r="B78" s="118">
        <f>IF(ITEM!$B56="","",ITEM!$B56)</f>
      </c>
      <c r="C78" s="119"/>
      <c r="D78" s="13">
        <f>IF(ITEM!$B56="","",ITEM!$D56)</f>
      </c>
      <c r="E78" s="5">
        <f>IF(ITEM!$B56="","",ITEM!$C56)</f>
      </c>
      <c r="F78" s="13" cm="1">
        <f t="array" ref="F78">IF(ITEM!$B56="","",SUMPRODUCT((COLUMN(ITEM!$G56:$J56)-COLUMN(ITEM!$G56)+1&lt;$O$1)*ITEM!$G56:$J56))</f>
      </c>
      <c r="G78" s="13" cm="1">
        <f t="array" ref="G78">IF(ITEM!$B56="","",INDEX(ITEM!$G56:$J56,1,$O$1))</f>
      </c>
      <c r="H78" s="13">
        <f>IF(ITEM!$B56="","",$F78+$G78)</f>
      </c>
      <c r="I78" s="13">
        <f>IF(ITEM!$B56="","",$D78-$H78)</f>
      </c>
      <c r="J78" s="6">
        <f>IF(ITEM!$B56="","",ITEM!$E56)</f>
      </c>
      <c r="K78" s="6">
        <f>IF(ITEM!$B56="","",$G78*$J78)</f>
      </c>
      <c r="L78" s="2"/>
      <c r="M78" s="2"/>
      <c r="N78" s="2"/>
      <c r="O78" s="2"/>
    </row>
    <row r="79" spans="1:15" ht="13.05" hidden="1" customHeight="1" outlineLevel="2" x14ac:dyDescent="0.45">
      <c r="A79" s="4">
        <f>IF(ITEM!$B57="","",ITEM!$A57)</f>
      </c>
      <c r="B79" s="118">
        <f>IF(ITEM!$B57="","",ITEM!$B57)</f>
      </c>
      <c r="C79" s="119"/>
      <c r="D79" s="13">
        <f>IF(ITEM!$B57="","",ITEM!$D57)</f>
      </c>
      <c r="E79" s="5">
        <f>IF(ITEM!$B57="","",ITEM!$C57)</f>
      </c>
      <c r="F79" s="13" cm="1">
        <f t="array" ref="F79">IF(ITEM!$B57="","",SUMPRODUCT((COLUMN(ITEM!$G57:$J57)-COLUMN(ITEM!$G57)+1&lt;$O$1)*ITEM!$G57:$J57))</f>
      </c>
      <c r="G79" s="13" cm="1">
        <f t="array" ref="G79">IF(ITEM!$B57="","",INDEX(ITEM!$G57:$J57,1,$O$1))</f>
      </c>
      <c r="H79" s="13">
        <f>IF(ITEM!$B57="","",$F79+$G79)</f>
      </c>
      <c r="I79" s="13">
        <f>IF(ITEM!$B57="","",$D79-$H79)</f>
      </c>
      <c r="J79" s="6">
        <f>IF(ITEM!$B57="","",ITEM!$E57)</f>
      </c>
      <c r="K79" s="6">
        <f>IF(ITEM!$B57="","",$G79*$J79)</f>
      </c>
      <c r="L79" s="2"/>
      <c r="M79" s="2"/>
      <c r="N79" s="2"/>
      <c r="O79" s="2"/>
    </row>
    <row r="80" spans="1:15" ht="13.05" hidden="1" customHeight="1" outlineLevel="2" x14ac:dyDescent="0.45">
      <c r="A80" s="4">
        <f>IF(ITEM!$B58="","",ITEM!$A58)</f>
      </c>
      <c r="B80" s="118">
        <f>IF(ITEM!$B58="","",ITEM!$B58)</f>
      </c>
      <c r="C80" s="119"/>
      <c r="D80" s="13">
        <f>IF(ITEM!$B58="","",ITEM!$D58)</f>
      </c>
      <c r="E80" s="5">
        <f>IF(ITEM!$B58="","",ITEM!$C58)</f>
      </c>
      <c r="F80" s="13" cm="1">
        <f t="array" ref="F80">IF(ITEM!$B58="","",SUMPRODUCT((COLUMN(ITEM!$G58:$J58)-COLUMN(ITEM!$G58)+1&lt;$O$1)*ITEM!$G58:$J58))</f>
      </c>
      <c r="G80" s="13" cm="1">
        <f t="array" ref="G80">IF(ITEM!$B58="","",INDEX(ITEM!$G58:$J58,1,$O$1))</f>
      </c>
      <c r="H80" s="13">
        <f>IF(ITEM!$B58="","",$F80+$G80)</f>
      </c>
      <c r="I80" s="13">
        <f>IF(ITEM!$B58="","",$D80-$H80)</f>
      </c>
      <c r="J80" s="6">
        <f>IF(ITEM!$B58="","",ITEM!$E58)</f>
      </c>
      <c r="K80" s="6">
        <f>IF(ITEM!$B58="","",$G80*$J80)</f>
      </c>
      <c r="L80" s="2"/>
      <c r="M80" s="2"/>
      <c r="N80" s="2"/>
      <c r="O80" s="2"/>
    </row>
    <row r="81" spans="1:15" ht="13.05" hidden="1" customHeight="1" outlineLevel="2" x14ac:dyDescent="0.45">
      <c r="A81" s="4">
        <f>IF(ITEM!$B59="","",ITEM!$A59)</f>
      </c>
      <c r="B81" s="118">
        <f>IF(ITEM!$B59="","",ITEM!$B59)</f>
      </c>
      <c r="C81" s="119"/>
      <c r="D81" s="13">
        <f>IF(ITEM!$B59="","",ITEM!$D59)</f>
      </c>
      <c r="E81" s="5">
        <f>IF(ITEM!$B59="","",ITEM!$C59)</f>
      </c>
      <c r="F81" s="13" cm="1">
        <f t="array" ref="F81">IF(ITEM!$B59="","",SUMPRODUCT((COLUMN(ITEM!$G59:$J59)-COLUMN(ITEM!$G59)+1&lt;$O$1)*ITEM!$G59:$J59))</f>
      </c>
      <c r="G81" s="13" cm="1">
        <f t="array" ref="G81">IF(ITEM!$B59="","",INDEX(ITEM!$G59:$J59,1,$O$1))</f>
      </c>
      <c r="H81" s="13">
        <f>IF(ITEM!$B59="","",$F81+$G81)</f>
      </c>
      <c r="I81" s="13">
        <f>IF(ITEM!$B59="","",$D81-$H81)</f>
      </c>
      <c r="J81" s="6">
        <f>IF(ITEM!$B59="","",ITEM!$E59)</f>
      </c>
      <c r="K81" s="6">
        <f>IF(ITEM!$B59="","",$G81*$J81)</f>
      </c>
      <c r="L81" s="2"/>
      <c r="M81" s="2"/>
      <c r="N81" s="2"/>
      <c r="O81" s="2"/>
    </row>
    <row r="82" spans="1:15" ht="13.05" hidden="1" customHeight="1" outlineLevel="2" x14ac:dyDescent="0.45">
      <c r="A82" s="4">
        <f>IF(ITEM!$B60="","",ITEM!$A60)</f>
      </c>
      <c r="B82" s="118">
        <f>IF(ITEM!$B60="","",ITEM!$B60)</f>
      </c>
      <c r="C82" s="119"/>
      <c r="D82" s="13">
        <f>IF(ITEM!$B60="","",ITEM!$D60)</f>
      </c>
      <c r="E82" s="5">
        <f>IF(ITEM!$B60="","",ITEM!$C60)</f>
      </c>
      <c r="F82" s="13" cm="1">
        <f t="array" ref="F82">IF(ITEM!$B60="","",SUMPRODUCT((COLUMN(ITEM!$G60:$J60)-COLUMN(ITEM!$G60)+1&lt;$O$1)*ITEM!$G60:$J60))</f>
      </c>
      <c r="G82" s="13" cm="1">
        <f t="array" ref="G82">IF(ITEM!$B60="","",INDEX(ITEM!$G60:$J60,1,$O$1))</f>
      </c>
      <c r="H82" s="13">
        <f>IF(ITEM!$B60="","",$F82+$G82)</f>
      </c>
      <c r="I82" s="13">
        <f>IF(ITEM!$B60="","",$D82-$H82)</f>
      </c>
      <c r="J82" s="6">
        <f>IF(ITEM!$B60="","",ITEM!$E60)</f>
      </c>
      <c r="K82" s="6">
        <f>IF(ITEM!$B60="","",$G82*$J82)</f>
      </c>
      <c r="L82" s="2"/>
      <c r="M82" s="2"/>
      <c r="N82" s="2"/>
      <c r="O82" s="2"/>
    </row>
    <row r="83" spans="1:15" ht="13.05" hidden="1" customHeight="1" outlineLevel="2" x14ac:dyDescent="0.45">
      <c r="A83" s="4">
        <f>IF(ITEM!$B61="","",ITEM!$A61)</f>
      </c>
      <c r="B83" s="118">
        <f>IF(ITEM!$B61="","",ITEM!$B61)</f>
      </c>
      <c r="C83" s="119"/>
      <c r="D83" s="13">
        <f>IF(ITEM!$B61="","",ITEM!$D61)</f>
      </c>
      <c r="E83" s="5">
        <f>IF(ITEM!$B61="","",ITEM!$C61)</f>
      </c>
      <c r="F83" s="13" cm="1">
        <f t="array" ref="F83">IF(ITEM!$B61="","",SUMPRODUCT((COLUMN(ITEM!$G61:$J61)-COLUMN(ITEM!$G61)+1&lt;$O$1)*ITEM!$G61:$J61))</f>
      </c>
      <c r="G83" s="13" cm="1">
        <f t="array" ref="G83">IF(ITEM!$B61="","",INDEX(ITEM!$G61:$J61,1,$O$1))</f>
      </c>
      <c r="H83" s="13">
        <f>IF(ITEM!$B61="","",$F83+$G83)</f>
      </c>
      <c r="I83" s="13">
        <f>IF(ITEM!$B61="","",$D83-$H83)</f>
      </c>
      <c r="J83" s="6">
        <f>IF(ITEM!$B61="","",ITEM!$E61)</f>
      </c>
      <c r="K83" s="6">
        <f>IF(ITEM!$B61="","",$G83*$J83)</f>
      </c>
      <c r="L83" s="2"/>
      <c r="M83" s="2"/>
      <c r="N83" s="2"/>
      <c r="O83" s="2"/>
    </row>
    <row r="84" spans="1:15" ht="13.05" hidden="1" customHeight="1" outlineLevel="2" x14ac:dyDescent="0.45">
      <c r="A84" s="4">
        <f>IF(ITEM!$B62="","",ITEM!$A62)</f>
      </c>
      <c r="B84" s="118">
        <f>IF(ITEM!$B62="","",ITEM!$B62)</f>
      </c>
      <c r="C84" s="119"/>
      <c r="D84" s="13">
        <f>IF(ITEM!$B62="","",ITEM!$D62)</f>
      </c>
      <c r="E84" s="5">
        <f>IF(ITEM!$B62="","",ITEM!$C62)</f>
      </c>
      <c r="F84" s="13" cm="1">
        <f t="array" ref="F84">IF(ITEM!$B62="","",SUMPRODUCT((COLUMN(ITEM!$G62:$J62)-COLUMN(ITEM!$G62)+1&lt;$O$1)*ITEM!$G62:$J62))</f>
      </c>
      <c r="G84" s="13" cm="1">
        <f t="array" ref="G84">IF(ITEM!$B62="","",INDEX(ITEM!$G62:$J62,1,$O$1))</f>
      </c>
      <c r="H84" s="13">
        <f>IF(ITEM!$B62="","",$F84+$G84)</f>
      </c>
      <c r="I84" s="13">
        <f>IF(ITEM!$B62="","",$D84-$H84)</f>
      </c>
      <c r="J84" s="6">
        <f>IF(ITEM!$B62="","",ITEM!$E62)</f>
      </c>
      <c r="K84" s="6">
        <f>IF(ITEM!$B62="","",$G84*$J84)</f>
      </c>
      <c r="L84" s="2"/>
      <c r="M84" s="2"/>
      <c r="N84" s="2"/>
      <c r="O84" s="2"/>
    </row>
    <row r="85" spans="1:15" ht="13.05" hidden="1" customHeight="1" outlineLevel="2" x14ac:dyDescent="0.45">
      <c r="A85" s="4">
        <f>IF(ITEM!$B63="","",ITEM!$A63)</f>
      </c>
      <c r="B85" s="118">
        <f>IF(ITEM!$B63="","",ITEM!$B63)</f>
      </c>
      <c r="C85" s="119"/>
      <c r="D85" s="13">
        <f>IF(ITEM!$B63="","",ITEM!$D63)</f>
      </c>
      <c r="E85" s="5">
        <f>IF(ITEM!$B63="","",ITEM!$C63)</f>
      </c>
      <c r="F85" s="13" cm="1">
        <f t="array" ref="F85">IF(ITEM!$B63="","",SUMPRODUCT((COLUMN(ITEM!$G63:$J63)-COLUMN(ITEM!$G63)+1&lt;$O$1)*ITEM!$G63:$J63))</f>
      </c>
      <c r="G85" s="13" cm="1">
        <f t="array" ref="G85">IF(ITEM!$B63="","",INDEX(ITEM!$G63:$J63,1,$O$1))</f>
      </c>
      <c r="H85" s="13">
        <f>IF(ITEM!$B63="","",$F85+$G85)</f>
      </c>
      <c r="I85" s="13">
        <f>IF(ITEM!$B63="","",$D85-$H85)</f>
      </c>
      <c r="J85" s="6">
        <f>IF(ITEM!$B63="","",ITEM!$E63)</f>
      </c>
      <c r="K85" s="6">
        <f>IF(ITEM!$B63="","",$G85*$J85)</f>
      </c>
      <c r="L85" s="2"/>
      <c r="M85" s="2"/>
      <c r="N85" s="2"/>
      <c r="O85" s="2"/>
    </row>
    <row r="86" spans="1:15" ht="13.05" hidden="1" customHeight="1" outlineLevel="2" x14ac:dyDescent="0.45">
      <c r="A86" s="4">
        <f>IF(ITEM!$B64="","",ITEM!$A64)</f>
      </c>
      <c r="B86" s="118">
        <f>IF(ITEM!$B64="","",ITEM!$B64)</f>
      </c>
      <c r="C86" s="119"/>
      <c r="D86" s="13">
        <f>IF(ITEM!$B64="","",ITEM!$D64)</f>
      </c>
      <c r="E86" s="5">
        <f>IF(ITEM!$B64="","",ITEM!$C64)</f>
      </c>
      <c r="F86" s="13" cm="1">
        <f t="array" ref="F86">IF(ITEM!$B64="","",SUMPRODUCT((COLUMN(ITEM!$G64:$J64)-COLUMN(ITEM!$G64)+1&lt;$O$1)*ITEM!$G64:$J64))</f>
      </c>
      <c r="G86" s="13" cm="1">
        <f t="array" ref="G86">IF(ITEM!$B64="","",INDEX(ITEM!$G64:$J64,1,$O$1))</f>
      </c>
      <c r="H86" s="13">
        <f>IF(ITEM!$B64="","",$F86+$G86)</f>
      </c>
      <c r="I86" s="13">
        <f>IF(ITEM!$B64="","",$D86-$H86)</f>
      </c>
      <c r="J86" s="6">
        <f>IF(ITEM!$B64="","",ITEM!$E64)</f>
      </c>
      <c r="K86" s="6">
        <f>IF(ITEM!$B64="","",$G86*$J86)</f>
      </c>
      <c r="L86" s="2"/>
      <c r="M86" s="2"/>
      <c r="N86" s="2"/>
      <c r="O86" s="2"/>
    </row>
    <row r="87" spans="1:15" ht="13.05" hidden="1" customHeight="1" outlineLevel="2" x14ac:dyDescent="0.45">
      <c r="A87" s="4">
        <f>IF(ITEM!$B65="","",ITEM!$A65)</f>
      </c>
      <c r="B87" s="118">
        <f>IF(ITEM!$B65="","",ITEM!$B65)</f>
      </c>
      <c r="C87" s="119"/>
      <c r="D87" s="13">
        <f>IF(ITEM!$B65="","",ITEM!$D65)</f>
      </c>
      <c r="E87" s="5">
        <f>IF(ITEM!$B65="","",ITEM!$C65)</f>
      </c>
      <c r="F87" s="13" cm="1">
        <f t="array" ref="F87">IF(ITEM!$B65="","",SUMPRODUCT((COLUMN(ITEM!$G65:$J65)-COLUMN(ITEM!$G65)+1&lt;$O$1)*ITEM!$G65:$J65))</f>
      </c>
      <c r="G87" s="13" cm="1">
        <f t="array" ref="G87">IF(ITEM!$B65="","",INDEX(ITEM!$G65:$J65,1,$O$1))</f>
      </c>
      <c r="H87" s="13">
        <f>IF(ITEM!$B65="","",$F87+$G87)</f>
      </c>
      <c r="I87" s="13">
        <f>IF(ITEM!$B65="","",$D87-$H87)</f>
      </c>
      <c r="J87" s="6">
        <f>IF(ITEM!$B65="","",ITEM!$E65)</f>
      </c>
      <c r="K87" s="6">
        <f>IF(ITEM!$B65="","",$G87*$J87)</f>
      </c>
      <c r="L87" s="2"/>
      <c r="M87" s="2"/>
      <c r="N87" s="2"/>
      <c r="O87" s="2"/>
    </row>
    <row r="88" spans="1:15" ht="13.05" hidden="1" customHeight="1" outlineLevel="2" x14ac:dyDescent="0.45">
      <c r="A88" s="4">
        <f>IF(ITEM!$B66="","",ITEM!$A66)</f>
      </c>
      <c r="B88" s="118">
        <f>IF(ITEM!$B66="","",ITEM!$B66)</f>
      </c>
      <c r="C88" s="119"/>
      <c r="D88" s="13">
        <f>IF(ITEM!$B66="","",ITEM!$D66)</f>
      </c>
      <c r="E88" s="5">
        <f>IF(ITEM!$B66="","",ITEM!$C66)</f>
      </c>
      <c r="F88" s="13" cm="1">
        <f t="array" ref="F88">IF(ITEM!$B66="","",SUMPRODUCT((COLUMN(ITEM!$G66:$J66)-COLUMN(ITEM!$G66)+1&lt;$O$1)*ITEM!$G66:$J66))</f>
      </c>
      <c r="G88" s="13" cm="1">
        <f t="array" ref="G88">IF(ITEM!$B66="","",INDEX(ITEM!$G66:$J66,1,$O$1))</f>
      </c>
      <c r="H88" s="13">
        <f>IF(ITEM!$B66="","",$F88+$G88)</f>
      </c>
      <c r="I88" s="13">
        <f>IF(ITEM!$B66="","",$D88-$H88)</f>
      </c>
      <c r="J88" s="6">
        <f>IF(ITEM!$B66="","",ITEM!$E66)</f>
      </c>
      <c r="K88" s="6">
        <f>IF(ITEM!$B66="","",$G88*$J88)</f>
      </c>
      <c r="L88" s="2"/>
      <c r="M88" s="2"/>
      <c r="N88" s="2"/>
      <c r="O88" s="2"/>
    </row>
    <row r="89" spans="1:15" ht="13.05" hidden="1" customHeight="1" outlineLevel="2" x14ac:dyDescent="0.45">
      <c r="A89" s="4">
        <f>IF(ITEM!$B67="","",ITEM!$A67)</f>
      </c>
      <c r="B89" s="118">
        <f>IF(ITEM!$B67="","",ITEM!$B67)</f>
      </c>
      <c r="C89" s="119"/>
      <c r="D89" s="13">
        <f>IF(ITEM!$B67="","",ITEM!$D67)</f>
      </c>
      <c r="E89" s="5">
        <f>IF(ITEM!$B67="","",ITEM!$C67)</f>
      </c>
      <c r="F89" s="13" cm="1">
        <f t="array" ref="F89">IF(ITEM!$B67="","",SUMPRODUCT((COLUMN(ITEM!$G67:$J67)-COLUMN(ITEM!$G67)+1&lt;$O$1)*ITEM!$G67:$J67))</f>
      </c>
      <c r="G89" s="13" cm="1">
        <f t="array" ref="G89">IF(ITEM!$B67="","",INDEX(ITEM!$G67:$J67,1,$O$1))</f>
      </c>
      <c r="H89" s="13">
        <f>IF(ITEM!$B67="","",$F89+$G89)</f>
      </c>
      <c r="I89" s="13">
        <f>IF(ITEM!$B67="","",$D89-$H89)</f>
      </c>
      <c r="J89" s="6">
        <f>IF(ITEM!$B67="","",ITEM!$E67)</f>
      </c>
      <c r="K89" s="6">
        <f>IF(ITEM!$B67="","",$G89*$J89)</f>
      </c>
      <c r="L89" s="2"/>
      <c r="M89" s="2"/>
      <c r="N89" s="2"/>
      <c r="O89" s="2"/>
    </row>
    <row r="90" spans="1:15" ht="13.05" hidden="1" customHeight="1" outlineLevel="2" x14ac:dyDescent="0.45">
      <c r="A90" s="4">
        <f>IF(ITEM!$B68="","",ITEM!$A68)</f>
      </c>
      <c r="B90" s="118">
        <f>IF(ITEM!$B68="","",ITEM!$B68)</f>
      </c>
      <c r="C90" s="119"/>
      <c r="D90" s="13">
        <f>IF(ITEM!$B68="","",ITEM!$D68)</f>
      </c>
      <c r="E90" s="5">
        <f>IF(ITEM!$B68="","",ITEM!$C68)</f>
      </c>
      <c r="F90" s="13" cm="1">
        <f t="array" ref="F90">IF(ITEM!$B68="","",SUMPRODUCT((COLUMN(ITEM!$G68:$J68)-COLUMN(ITEM!$G68)+1&lt;$O$1)*ITEM!$G68:$J68))</f>
      </c>
      <c r="G90" s="13" cm="1">
        <f t="array" ref="G90">IF(ITEM!$B68="","",INDEX(ITEM!$G68:$J68,1,$O$1))</f>
      </c>
      <c r="H90" s="13">
        <f>IF(ITEM!$B68="","",$F90+$G90)</f>
      </c>
      <c r="I90" s="13">
        <f>IF(ITEM!$B68="","",$D90-$H90)</f>
      </c>
      <c r="J90" s="6">
        <f>IF(ITEM!$B68="","",ITEM!$E68)</f>
      </c>
      <c r="K90" s="6">
        <f>IF(ITEM!$B68="","",$G90*$J90)</f>
      </c>
      <c r="L90" s="2"/>
      <c r="M90" s="2"/>
      <c r="N90" s="2"/>
      <c r="O90" s="2"/>
    </row>
    <row r="91" spans="1:15" ht="13.05" hidden="1" customHeight="1" outlineLevel="2" x14ac:dyDescent="0.45">
      <c r="A91" s="4">
        <f>IF(ITEM!$B69="","",ITEM!$A69)</f>
      </c>
      <c r="B91" s="118">
        <f>IF(ITEM!$B69="","",ITEM!$B69)</f>
      </c>
      <c r="C91" s="119"/>
      <c r="D91" s="13">
        <f>IF(ITEM!$B69="","",ITEM!$D69)</f>
      </c>
      <c r="E91" s="5">
        <f>IF(ITEM!$B69="","",ITEM!$C69)</f>
      </c>
      <c r="F91" s="13" cm="1">
        <f t="array" ref="F91">IF(ITEM!$B69="","",SUMPRODUCT((COLUMN(ITEM!$G69:$J69)-COLUMN(ITEM!$G69)+1&lt;$O$1)*ITEM!$G69:$J69))</f>
      </c>
      <c r="G91" s="13" cm="1">
        <f t="array" ref="G91">IF(ITEM!$B69="","",INDEX(ITEM!$G69:$J69,1,$O$1))</f>
      </c>
      <c r="H91" s="13">
        <f>IF(ITEM!$B69="","",$F91+$G91)</f>
      </c>
      <c r="I91" s="13">
        <f>IF(ITEM!$B69="","",$D91-$H91)</f>
      </c>
      <c r="J91" s="6">
        <f>IF(ITEM!$B69="","",ITEM!$E69)</f>
      </c>
      <c r="K91" s="6">
        <f>IF(ITEM!$B69="","",$G91*$J91)</f>
      </c>
      <c r="L91" s="2"/>
      <c r="M91" s="2"/>
      <c r="N91" s="2"/>
      <c r="O91" s="2"/>
    </row>
    <row r="92" spans="1:15" ht="13.05" hidden="1" customHeight="1" outlineLevel="2" x14ac:dyDescent="0.45">
      <c r="A92" s="4">
        <f>IF(ITEM!$B70="","",ITEM!$A70)</f>
      </c>
      <c r="B92" s="118">
        <f>IF(ITEM!$B70="","",ITEM!$B70)</f>
      </c>
      <c r="C92" s="119"/>
      <c r="D92" s="13">
        <f>IF(ITEM!$B70="","",ITEM!$D70)</f>
      </c>
      <c r="E92" s="5">
        <f>IF(ITEM!$B70="","",ITEM!$C70)</f>
      </c>
      <c r="F92" s="13" cm="1">
        <f t="array" ref="F92">IF(ITEM!$B70="","",SUMPRODUCT((COLUMN(ITEM!$G70:$J70)-COLUMN(ITEM!$G70)+1&lt;$O$1)*ITEM!$G70:$J70))</f>
      </c>
      <c r="G92" s="13" cm="1">
        <f t="array" ref="G92">IF(ITEM!$B70="","",INDEX(ITEM!$G70:$J70,1,$O$1))</f>
      </c>
      <c r="H92" s="13">
        <f>IF(ITEM!$B70="","",$F92+$G92)</f>
      </c>
      <c r="I92" s="13">
        <f>IF(ITEM!$B70="","",$D92-$H92)</f>
      </c>
      <c r="J92" s="6">
        <f>IF(ITEM!$B70="","",ITEM!$E70)</f>
      </c>
      <c r="K92" s="6">
        <f>IF(ITEM!$B70="","",$G92*$J92)</f>
      </c>
      <c r="L92" s="2"/>
      <c r="M92" s="2"/>
      <c r="N92" s="2"/>
      <c r="O92" s="2"/>
    </row>
    <row r="93" spans="1:15" ht="13.05" hidden="1" customHeight="1" outlineLevel="2" x14ac:dyDescent="0.45">
      <c r="A93" s="4">
        <f>IF(ITEM!$B71="","",ITEM!$A71)</f>
      </c>
      <c r="B93" s="118">
        <f>IF(ITEM!$B71="","",ITEM!$B71)</f>
      </c>
      <c r="C93" s="119"/>
      <c r="D93" s="13">
        <f>IF(ITEM!$B71="","",ITEM!$D71)</f>
      </c>
      <c r="E93" s="5">
        <f>IF(ITEM!$B71="","",ITEM!$C71)</f>
      </c>
      <c r="F93" s="13" cm="1">
        <f t="array" ref="F93">IF(ITEM!$B71="","",SUMPRODUCT((COLUMN(ITEM!$G71:$J71)-COLUMN(ITEM!$G71)+1&lt;$O$1)*ITEM!$G71:$J71))</f>
      </c>
      <c r="G93" s="13" cm="1">
        <f t="array" ref="G93">IF(ITEM!$B71="","",INDEX(ITEM!$G71:$J71,1,$O$1))</f>
      </c>
      <c r="H93" s="13">
        <f>IF(ITEM!$B71="","",$F93+$G93)</f>
      </c>
      <c r="I93" s="13">
        <f>IF(ITEM!$B71="","",$D93-$H93)</f>
      </c>
      <c r="J93" s="6">
        <f>IF(ITEM!$B71="","",ITEM!$E71)</f>
      </c>
      <c r="K93" s="6">
        <f>IF(ITEM!$B71="","",$G93*$J93)</f>
      </c>
      <c r="L93" s="2"/>
      <c r="M93" s="2"/>
      <c r="N93" s="2"/>
      <c r="O93" s="2"/>
    </row>
    <row r="94" spans="1:15" ht="13.05" hidden="1" customHeight="1" outlineLevel="2" x14ac:dyDescent="0.45">
      <c r="A94" s="4">
        <f>IF(ITEM!$B72="","",ITEM!$A72)</f>
      </c>
      <c r="B94" s="118">
        <f>IF(ITEM!$B72="","",ITEM!$B72)</f>
      </c>
      <c r="C94" s="119"/>
      <c r="D94" s="13">
        <f>IF(ITEM!$B72="","",ITEM!$D72)</f>
      </c>
      <c r="E94" s="5">
        <f>IF(ITEM!$B72="","",ITEM!$C72)</f>
      </c>
      <c r="F94" s="13" cm="1">
        <f t="array" ref="F94">IF(ITEM!$B72="","",SUMPRODUCT((COLUMN(ITEM!$G72:$J72)-COLUMN(ITEM!$G72)+1&lt;$O$1)*ITEM!$G72:$J72))</f>
      </c>
      <c r="G94" s="13" cm="1">
        <f t="array" ref="G94">IF(ITEM!$B72="","",INDEX(ITEM!$G72:$J72,1,$O$1))</f>
      </c>
      <c r="H94" s="13">
        <f>IF(ITEM!$B72="","",$F94+$G94)</f>
      </c>
      <c r="I94" s="13">
        <f>IF(ITEM!$B72="","",$D94-$H94)</f>
      </c>
      <c r="J94" s="6">
        <f>IF(ITEM!$B72="","",ITEM!$E72)</f>
      </c>
      <c r="K94" s="6">
        <f>IF(ITEM!$B72="","",$G94*$J94)</f>
      </c>
      <c r="L94" s="2"/>
      <c r="M94" s="2"/>
      <c r="N94" s="2"/>
      <c r="O94" s="2"/>
    </row>
    <row r="95" spans="1:15" ht="13.05" hidden="1" customHeight="1" outlineLevel="2" x14ac:dyDescent="0.45">
      <c r="A95" s="4">
        <f>IF(ITEM!$B73="","",ITEM!$A73)</f>
      </c>
      <c r="B95" s="118">
        <f>IF(ITEM!$B73="","",ITEM!$B73)</f>
      </c>
      <c r="C95" s="119"/>
      <c r="D95" s="13">
        <f>IF(ITEM!$B73="","",ITEM!$D73)</f>
      </c>
      <c r="E95" s="5">
        <f>IF(ITEM!$B73="","",ITEM!$C73)</f>
      </c>
      <c r="F95" s="13" cm="1">
        <f t="array" ref="F95">IF(ITEM!$B73="","",SUMPRODUCT((COLUMN(ITEM!$G73:$J73)-COLUMN(ITEM!$G73)+1&lt;$O$1)*ITEM!$G73:$J73))</f>
      </c>
      <c r="G95" s="13" cm="1">
        <f t="array" ref="G95">IF(ITEM!$B73="","",INDEX(ITEM!$G73:$J73,1,$O$1))</f>
      </c>
      <c r="H95" s="13">
        <f>IF(ITEM!$B73="","",$F95+$G95)</f>
      </c>
      <c r="I95" s="13">
        <f>IF(ITEM!$B73="","",$D95-$H95)</f>
      </c>
      <c r="J95" s="6">
        <f>IF(ITEM!$B73="","",ITEM!$E73)</f>
      </c>
      <c r="K95" s="6">
        <f>IF(ITEM!$B73="","",$G95*$J95)</f>
      </c>
      <c r="L95" s="2"/>
      <c r="M95" s="2"/>
      <c r="N95" s="2"/>
      <c r="O95" s="2"/>
    </row>
    <row r="96" spans="1:15" ht="13.05" hidden="1" customHeight="1" outlineLevel="2" x14ac:dyDescent="0.45">
      <c r="A96" s="4">
        <f>IF(ITEM!$B74="","",ITEM!$A74)</f>
      </c>
      <c r="B96" s="118">
        <f>IF(ITEM!$B74="","",ITEM!$B74)</f>
      </c>
      <c r="C96" s="119"/>
      <c r="D96" s="13">
        <f>IF(ITEM!$B74="","",ITEM!$D74)</f>
      </c>
      <c r="E96" s="5">
        <f>IF(ITEM!$B74="","",ITEM!$C74)</f>
      </c>
      <c r="F96" s="13" cm="1">
        <f t="array" ref="F96">IF(ITEM!$B74="","",SUMPRODUCT((COLUMN(ITEM!$G74:$J74)-COLUMN(ITEM!$G74)+1&lt;$O$1)*ITEM!$G74:$J74))</f>
      </c>
      <c r="G96" s="13" cm="1">
        <f t="array" ref="G96">IF(ITEM!$B74="","",INDEX(ITEM!$G74:$J74,1,$O$1))</f>
      </c>
      <c r="H96" s="13">
        <f>IF(ITEM!$B74="","",$F96+$G96)</f>
      </c>
      <c r="I96" s="13">
        <f>IF(ITEM!$B74="","",$D96-$H96)</f>
      </c>
      <c r="J96" s="6">
        <f>IF(ITEM!$B74="","",ITEM!$E74)</f>
      </c>
      <c r="K96" s="6">
        <f>IF(ITEM!$B74="","",$G96*$J96)</f>
      </c>
      <c r="L96" s="2"/>
      <c r="M96" s="2"/>
      <c r="N96" s="2"/>
      <c r="O96" s="2"/>
    </row>
    <row r="97" spans="1:15" ht="13.05" hidden="1" customHeight="1" outlineLevel="2" x14ac:dyDescent="0.45">
      <c r="A97" s="4">
        <f>IF(ITEM!$B75="","",ITEM!$A75)</f>
      </c>
      <c r="B97" s="118">
        <f>IF(ITEM!$B75="","",ITEM!$B75)</f>
      </c>
      <c r="C97" s="119"/>
      <c r="D97" s="13">
        <f>IF(ITEM!$B75="","",ITEM!$D75)</f>
      </c>
      <c r="E97" s="5">
        <f>IF(ITEM!$B75="","",ITEM!$C75)</f>
      </c>
      <c r="F97" s="13" cm="1">
        <f t="array" ref="F97">IF(ITEM!$B75="","",SUMPRODUCT((COLUMN(ITEM!$G75:$J75)-COLUMN(ITEM!$G75)+1&lt;$O$1)*ITEM!$G75:$J75))</f>
      </c>
      <c r="G97" s="13" cm="1">
        <f t="array" ref="G97">IF(ITEM!$B75="","",INDEX(ITEM!$G75:$J75,1,$O$1))</f>
      </c>
      <c r="H97" s="13">
        <f>IF(ITEM!$B75="","",$F97+$G97)</f>
      </c>
      <c r="I97" s="13">
        <f>IF(ITEM!$B75="","",$D97-$H97)</f>
      </c>
      <c r="J97" s="6">
        <f>IF(ITEM!$B75="","",ITEM!$E75)</f>
      </c>
      <c r="K97" s="6">
        <f>IF(ITEM!$B75="","",$G97*$J97)</f>
      </c>
      <c r="L97" s="2"/>
      <c r="M97" s="2"/>
      <c r="N97" s="2"/>
      <c r="O97" s="2"/>
    </row>
    <row r="98" spans="1:15" ht="13.05" hidden="1" customHeight="1" outlineLevel="2" x14ac:dyDescent="0.45">
      <c r="A98" s="4">
        <f>IF(ITEM!$B76="","",ITEM!$A76)</f>
      </c>
      <c r="B98" s="118">
        <f>IF(ITEM!$B76="","",ITEM!$B76)</f>
      </c>
      <c r="C98" s="119"/>
      <c r="D98" s="13">
        <f>IF(ITEM!$B76="","",ITEM!$D76)</f>
      </c>
      <c r="E98" s="5">
        <f>IF(ITEM!$B76="","",ITEM!$C76)</f>
      </c>
      <c r="F98" s="13" cm="1">
        <f t="array" ref="F98">IF(ITEM!$B76="","",SUMPRODUCT((COLUMN(ITEM!$G76:$J76)-COLUMN(ITEM!$G76)+1&lt;$O$1)*ITEM!$G76:$J76))</f>
      </c>
      <c r="G98" s="13" cm="1">
        <f t="array" ref="G98">IF(ITEM!$B76="","",INDEX(ITEM!$G76:$J76,1,$O$1))</f>
      </c>
      <c r="H98" s="13">
        <f>IF(ITEM!$B76="","",$F98+$G98)</f>
      </c>
      <c r="I98" s="13">
        <f>IF(ITEM!$B76="","",$D98-$H98)</f>
      </c>
      <c r="J98" s="6">
        <f>IF(ITEM!$B76="","",ITEM!$E76)</f>
      </c>
      <c r="K98" s="6">
        <f>IF(ITEM!$B76="","",$G98*$J98)</f>
      </c>
      <c r="L98" s="2"/>
      <c r="M98" s="2"/>
      <c r="N98" s="2"/>
      <c r="O98" s="2"/>
    </row>
    <row r="99" spans="1:15" ht="13.05" hidden="1" customHeight="1" outlineLevel="2" x14ac:dyDescent="0.45">
      <c r="A99" s="4">
        <f>IF(ITEM!$B77="","",ITEM!$A77)</f>
      </c>
      <c r="B99" s="118">
        <f>IF(ITEM!$B77="","",ITEM!$B77)</f>
      </c>
      <c r="C99" s="119"/>
      <c r="D99" s="13">
        <f>IF(ITEM!$B77="","",ITEM!$D77)</f>
      </c>
      <c r="E99" s="5">
        <f>IF(ITEM!$B77="","",ITEM!$C77)</f>
      </c>
      <c r="F99" s="13" cm="1">
        <f t="array" ref="F99">IF(ITEM!$B77="","",SUMPRODUCT((COLUMN(ITEM!$G77:$J77)-COLUMN(ITEM!$G77)+1&lt;$O$1)*ITEM!$G77:$J77))</f>
      </c>
      <c r="G99" s="13" cm="1">
        <f t="array" ref="G99">IF(ITEM!$B77="","",INDEX(ITEM!$G77:$J77,1,$O$1))</f>
      </c>
      <c r="H99" s="13">
        <f>IF(ITEM!$B77="","",$F99+$G99)</f>
      </c>
      <c r="I99" s="13">
        <f>IF(ITEM!$B77="","",$D99-$H99)</f>
      </c>
      <c r="J99" s="6">
        <f>IF(ITEM!$B77="","",ITEM!$E77)</f>
      </c>
      <c r="K99" s="6">
        <f>IF(ITEM!$B77="","",$G99*$J99)</f>
      </c>
      <c r="L99" s="2"/>
      <c r="M99" s="2"/>
      <c r="N99" s="2"/>
      <c r="O99" s="2"/>
    </row>
    <row r="100" spans="1:15" ht="13.05" hidden="1" customHeight="1" outlineLevel="2" x14ac:dyDescent="0.45">
      <c r="A100" s="4">
        <f>IF(ITEM!$B78="","",ITEM!$A78)</f>
      </c>
      <c r="B100" s="118">
        <f>IF(ITEM!$B78="","",ITEM!$B78)</f>
      </c>
      <c r="C100" s="119"/>
      <c r="D100" s="13">
        <f>IF(ITEM!$B78="","",ITEM!$D78)</f>
      </c>
      <c r="E100" s="5">
        <f>IF(ITEM!$B78="","",ITEM!$C78)</f>
      </c>
      <c r="F100" s="13" cm="1">
        <f t="array" ref="F100">IF(ITEM!$B78="","",SUMPRODUCT((COLUMN(ITEM!$G78:$J78)-COLUMN(ITEM!$G78)+1&lt;$O$1)*ITEM!$G78:$J78))</f>
      </c>
      <c r="G100" s="13" cm="1">
        <f t="array" ref="G100">IF(ITEM!$B78="","",INDEX(ITEM!$G78:$J78,1,$O$1))</f>
      </c>
      <c r="H100" s="13">
        <f>IF(ITEM!$B78="","",$F100+$G100)</f>
      </c>
      <c r="I100" s="13">
        <f>IF(ITEM!$B78="","",$D100-$H100)</f>
      </c>
      <c r="J100" s="6">
        <f>IF(ITEM!$B78="","",ITEM!$E78)</f>
      </c>
      <c r="K100" s="6">
        <f>IF(ITEM!$B78="","",$G100*$J100)</f>
      </c>
      <c r="L100" s="2"/>
      <c r="M100" s="2"/>
      <c r="N100" s="2"/>
      <c r="O100" s="2"/>
    </row>
    <row r="101" spans="1:15" ht="13.05" hidden="1" customHeight="1" outlineLevel="2" x14ac:dyDescent="0.45">
      <c r="A101" s="4">
        <f>IF(ITEM!$B79="","",ITEM!$A79)</f>
      </c>
      <c r="B101" s="118">
        <f>IF(ITEM!$B79="","",ITEM!$B79)</f>
      </c>
      <c r="C101" s="119"/>
      <c r="D101" s="13">
        <f>IF(ITEM!$B79="","",ITEM!$D79)</f>
      </c>
      <c r="E101" s="5">
        <f>IF(ITEM!$B79="","",ITEM!$C79)</f>
      </c>
      <c r="F101" s="13" cm="1">
        <f t="array" ref="F101">IF(ITEM!$B79="","",SUMPRODUCT((COLUMN(ITEM!$G79:$J79)-COLUMN(ITEM!$G79)+1&lt;$O$1)*ITEM!$G79:$J79))</f>
      </c>
      <c r="G101" s="13" cm="1">
        <f t="array" ref="G101">IF(ITEM!$B79="","",INDEX(ITEM!$G79:$J79,1,$O$1))</f>
      </c>
      <c r="H101" s="13">
        <f>IF(ITEM!$B79="","",$F101+$G101)</f>
      </c>
      <c r="I101" s="13">
        <f>IF(ITEM!$B79="","",$D101-$H101)</f>
      </c>
      <c r="J101" s="6">
        <f>IF(ITEM!$B79="","",ITEM!$E79)</f>
      </c>
      <c r="K101" s="6">
        <f>IF(ITEM!$B79="","",$G101*$J101)</f>
      </c>
      <c r="L101" s="2"/>
      <c r="M101" s="2"/>
      <c r="N101" s="2"/>
      <c r="O101" s="2"/>
    </row>
    <row r="102" spans="1:15" ht="13.05" hidden="1" customHeight="1" outlineLevel="2" x14ac:dyDescent="0.45">
      <c r="A102" s="4">
        <f>IF(ITEM!$B80="","",ITEM!$A80)</f>
      </c>
      <c r="B102" s="118">
        <f>IF(ITEM!$B80="","",ITEM!$B80)</f>
      </c>
      <c r="C102" s="119"/>
      <c r="D102" s="13">
        <f>IF(ITEM!$B80="","",ITEM!$D80)</f>
      </c>
      <c r="E102" s="5">
        <f>IF(ITEM!$B80="","",ITEM!$C80)</f>
      </c>
      <c r="F102" s="13" cm="1">
        <f t="array" ref="F102">IF(ITEM!$B80="","",SUMPRODUCT((COLUMN(ITEM!$G80:$J80)-COLUMN(ITEM!$G80)+1&lt;$O$1)*ITEM!$G80:$J80))</f>
      </c>
      <c r="G102" s="13" cm="1">
        <f t="array" ref="G102">IF(ITEM!$B80="","",INDEX(ITEM!$G80:$J80,1,$O$1))</f>
      </c>
      <c r="H102" s="13">
        <f>IF(ITEM!$B80="","",$F102+$G102)</f>
      </c>
      <c r="I102" s="13">
        <f>IF(ITEM!$B80="","",$D102-$H102)</f>
      </c>
      <c r="J102" s="6">
        <f>IF(ITEM!$B80="","",ITEM!$E80)</f>
      </c>
      <c r="K102" s="6">
        <f>IF(ITEM!$B80="","",$G102*$J102)</f>
      </c>
      <c r="L102" s="2"/>
      <c r="M102" s="2"/>
      <c r="N102" s="2"/>
      <c r="O102" s="2"/>
    </row>
    <row r="103" spans="1:15" ht="13.05" hidden="1" customHeight="1" outlineLevel="2" x14ac:dyDescent="0.45">
      <c r="A103" s="4">
        <f>IF(ITEM!$B81="","",ITEM!$A81)</f>
      </c>
      <c r="B103" s="118">
        <f>IF(ITEM!$B81="","",ITEM!$B81)</f>
      </c>
      <c r="C103" s="119"/>
      <c r="D103" s="13">
        <f>IF(ITEM!$B81="","",ITEM!$D81)</f>
      </c>
      <c r="E103" s="5">
        <f>IF(ITEM!$B81="","",ITEM!$C81)</f>
      </c>
      <c r="F103" s="13" cm="1">
        <f t="array" ref="F103">IF(ITEM!$B81="","",SUMPRODUCT((COLUMN(ITEM!$G81:$J81)-COLUMN(ITEM!$G81)+1&lt;$O$1)*ITEM!$G81:$J81))</f>
      </c>
      <c r="G103" s="13" cm="1">
        <f t="array" ref="G103">IF(ITEM!$B81="","",INDEX(ITEM!$G81:$J81,1,$O$1))</f>
      </c>
      <c r="H103" s="13">
        <f>IF(ITEM!$B81="","",$F103+$G103)</f>
      </c>
      <c r="I103" s="13">
        <f>IF(ITEM!$B81="","",$D103-$H103)</f>
      </c>
      <c r="J103" s="6">
        <f>IF(ITEM!$B81="","",ITEM!$E81)</f>
      </c>
      <c r="K103" s="6">
        <f>IF(ITEM!$B81="","",$G103*$J103)</f>
      </c>
      <c r="L103" s="2"/>
      <c r="M103" s="2"/>
      <c r="N103" s="2"/>
      <c r="O103" s="2"/>
    </row>
    <row r="104" spans="1:15" ht="13.05" hidden="1" customHeight="1" outlineLevel="2" x14ac:dyDescent="0.45">
      <c r="A104" s="4">
        <f>IF(ITEM!$B82="","",ITEM!$A82)</f>
      </c>
      <c r="B104" s="118">
        <f>IF(ITEM!$B82="","",ITEM!$B82)</f>
      </c>
      <c r="C104" s="119"/>
      <c r="D104" s="13">
        <f>IF(ITEM!$B82="","",ITEM!$D82)</f>
      </c>
      <c r="E104" s="5">
        <f>IF(ITEM!$B82="","",ITEM!$C82)</f>
      </c>
      <c r="F104" s="13" cm="1">
        <f t="array" ref="F104">IF(ITEM!$B82="","",SUMPRODUCT((COLUMN(ITEM!$G82:$J82)-COLUMN(ITEM!$G82)+1&lt;$O$1)*ITEM!$G82:$J82))</f>
      </c>
      <c r="G104" s="13" cm="1">
        <f t="array" ref="G104">IF(ITEM!$B82="","",INDEX(ITEM!$G82:$J82,1,$O$1))</f>
      </c>
      <c r="H104" s="13">
        <f>IF(ITEM!$B82="","",$F104+$G104)</f>
      </c>
      <c r="I104" s="13">
        <f>IF(ITEM!$B82="","",$D104-$H104)</f>
      </c>
      <c r="J104" s="6">
        <f>IF(ITEM!$B82="","",ITEM!$E82)</f>
      </c>
      <c r="K104" s="6">
        <f>IF(ITEM!$B82="","",$G104*$J104)</f>
      </c>
      <c r="L104" s="2"/>
      <c r="M104" s="2"/>
      <c r="N104" s="2"/>
      <c r="O104" s="2"/>
    </row>
    <row r="105" spans="1:15" ht="13.05" hidden="1" customHeight="1" outlineLevel="2" x14ac:dyDescent="0.45">
      <c r="A105" s="4">
        <f>IF(ITEM!$B83="","",ITEM!$A83)</f>
      </c>
      <c r="B105" s="118">
        <f>IF(ITEM!$B83="","",ITEM!$B83)</f>
      </c>
      <c r="C105" s="119"/>
      <c r="D105" s="13">
        <f>IF(ITEM!$B83="","",ITEM!$D83)</f>
      </c>
      <c r="E105" s="5">
        <f>IF(ITEM!$B83="","",ITEM!$C83)</f>
      </c>
      <c r="F105" s="13" cm="1">
        <f t="array" ref="F105">IF(ITEM!$B83="","",SUMPRODUCT((COLUMN(ITEM!$G83:$J83)-COLUMN(ITEM!$G83)+1&lt;$O$1)*ITEM!$G83:$J83))</f>
      </c>
      <c r="G105" s="13" cm="1">
        <f t="array" ref="G105">IF(ITEM!$B83="","",INDEX(ITEM!$G83:$J83,1,$O$1))</f>
      </c>
      <c r="H105" s="13">
        <f>IF(ITEM!$B83="","",$F105+$G105)</f>
      </c>
      <c r="I105" s="13">
        <f>IF(ITEM!$B83="","",$D105-$H105)</f>
      </c>
      <c r="J105" s="6">
        <f>IF(ITEM!$B83="","",ITEM!$E83)</f>
      </c>
      <c r="K105" s="6">
        <f>IF(ITEM!$B83="","",$G105*$J105)</f>
      </c>
      <c r="L105" s="2"/>
      <c r="M105" s="2"/>
      <c r="N105" s="2"/>
      <c r="O105" s="2"/>
    </row>
    <row r="106" spans="1:15" ht="13.05" hidden="1" customHeight="1" outlineLevel="2" x14ac:dyDescent="0.45">
      <c r="A106" s="4">
        <f>IF(ITEM!$B84="","",ITEM!$A84)</f>
      </c>
      <c r="B106" s="118">
        <f>IF(ITEM!$B84="","",ITEM!$B84)</f>
      </c>
      <c r="C106" s="119"/>
      <c r="D106" s="13">
        <f>IF(ITEM!$B84="","",ITEM!$D84)</f>
      </c>
      <c r="E106" s="5">
        <f>IF(ITEM!$B84="","",ITEM!$C84)</f>
      </c>
      <c r="F106" s="13" cm="1">
        <f t="array" ref="F106">IF(ITEM!$B84="","",SUMPRODUCT((COLUMN(ITEM!$G84:$J84)-COLUMN(ITEM!$G84)+1&lt;$O$1)*ITEM!$G84:$J84))</f>
      </c>
      <c r="G106" s="13" cm="1">
        <f t="array" ref="G106">IF(ITEM!$B84="","",INDEX(ITEM!$G84:$J84,1,$O$1))</f>
      </c>
      <c r="H106" s="13">
        <f>IF(ITEM!$B84="","",$F106+$G106)</f>
      </c>
      <c r="I106" s="13">
        <f>IF(ITEM!$B84="","",$D106-$H106)</f>
      </c>
      <c r="J106" s="6">
        <f>IF(ITEM!$B84="","",ITEM!$E84)</f>
      </c>
      <c r="K106" s="6">
        <f>IF(ITEM!$B84="","",$G106*$J106)</f>
      </c>
      <c r="L106" s="2"/>
      <c r="M106" s="2"/>
      <c r="N106" s="2"/>
      <c r="O106" s="2"/>
    </row>
    <row r="107" spans="1:15" ht="13.05" hidden="1" customHeight="1" outlineLevel="2" x14ac:dyDescent="0.45">
      <c r="A107" s="4">
        <f>IF(ITEM!$B85="","",ITEM!$A85)</f>
      </c>
      <c r="B107" s="118">
        <f>IF(ITEM!$B85="","",ITEM!$B85)</f>
      </c>
      <c r="C107" s="119"/>
      <c r="D107" s="13">
        <f>IF(ITEM!$B85="","",ITEM!$D85)</f>
      </c>
      <c r="E107" s="5">
        <f>IF(ITEM!$B85="","",ITEM!$C85)</f>
      </c>
      <c r="F107" s="13" cm="1">
        <f t="array" ref="F107">IF(ITEM!$B85="","",SUMPRODUCT((COLUMN(ITEM!$G85:$J85)-COLUMN(ITEM!$G85)+1&lt;$O$1)*ITEM!$G85:$J85))</f>
      </c>
      <c r="G107" s="13" cm="1">
        <f t="array" ref="G107">IF(ITEM!$B85="","",INDEX(ITEM!$G85:$J85,1,$O$1))</f>
      </c>
      <c r="H107" s="13">
        <f>IF(ITEM!$B85="","",$F107+$G107)</f>
      </c>
      <c r="I107" s="13">
        <f>IF(ITEM!$B85="","",$D107-$H107)</f>
      </c>
      <c r="J107" s="6">
        <f>IF(ITEM!$B85="","",ITEM!$E85)</f>
      </c>
      <c r="K107" s="6">
        <f>IF(ITEM!$B85="","",$G107*$J107)</f>
      </c>
      <c r="L107" s="2"/>
      <c r="M107" s="2"/>
      <c r="N107" s="2"/>
      <c r="O107" s="2"/>
    </row>
    <row r="108" spans="1:15" ht="13.05" hidden="1" customHeight="1" outlineLevel="2" x14ac:dyDescent="0.45">
      <c r="A108" s="4">
        <f>IF(ITEM!$B86="","",ITEM!$A86)</f>
      </c>
      <c r="B108" s="118">
        <f>IF(ITEM!$B86="","",ITEM!$B86)</f>
      </c>
      <c r="C108" s="119"/>
      <c r="D108" s="13">
        <f>IF(ITEM!$B86="","",ITEM!$D86)</f>
      </c>
      <c r="E108" s="5">
        <f>IF(ITEM!$B86="","",ITEM!$C86)</f>
      </c>
      <c r="F108" s="13" cm="1">
        <f t="array" ref="F108">IF(ITEM!$B86="","",SUMPRODUCT((COLUMN(ITEM!$G86:$J86)-COLUMN(ITEM!$G86)+1&lt;$O$1)*ITEM!$G86:$J86))</f>
      </c>
      <c r="G108" s="13" cm="1">
        <f t="array" ref="G108">IF(ITEM!$B86="","",INDEX(ITEM!$G86:$J86,1,$O$1))</f>
      </c>
      <c r="H108" s="13">
        <f>IF(ITEM!$B86="","",$F108+$G108)</f>
      </c>
      <c r="I108" s="13">
        <f>IF(ITEM!$B86="","",$D108-$H108)</f>
      </c>
      <c r="J108" s="6">
        <f>IF(ITEM!$B86="","",ITEM!$E86)</f>
      </c>
      <c r="K108" s="6">
        <f>IF(ITEM!$B86="","",$G108*$J108)</f>
      </c>
      <c r="L108" s="2"/>
      <c r="M108" s="2"/>
      <c r="N108" s="2"/>
      <c r="O108" s="2"/>
    </row>
    <row r="109" spans="1:15" ht="13.05" hidden="1" customHeight="1" outlineLevel="2" x14ac:dyDescent="0.45">
      <c r="A109" s="4">
        <f>IF(ITEM!$B87="","",ITEM!$A87)</f>
      </c>
      <c r="B109" s="118">
        <f>IF(ITEM!$B87="","",ITEM!$B87)</f>
      </c>
      <c r="C109" s="119"/>
      <c r="D109" s="13">
        <f>IF(ITEM!$B87="","",ITEM!$D87)</f>
      </c>
      <c r="E109" s="5">
        <f>IF(ITEM!$B87="","",ITEM!$C87)</f>
      </c>
      <c r="F109" s="13" cm="1">
        <f t="array" ref="F109">IF(ITEM!$B87="","",SUMPRODUCT((COLUMN(ITEM!$G87:$J87)-COLUMN(ITEM!$G87)+1&lt;$O$1)*ITEM!$G87:$J87))</f>
      </c>
      <c r="G109" s="13" cm="1">
        <f t="array" ref="G109">IF(ITEM!$B87="","",INDEX(ITEM!$G87:$J87,1,$O$1))</f>
      </c>
      <c r="H109" s="13">
        <f>IF(ITEM!$B87="","",$F109+$G109)</f>
      </c>
      <c r="I109" s="13">
        <f>IF(ITEM!$B87="","",$D109-$H109)</f>
      </c>
      <c r="J109" s="6">
        <f>IF(ITEM!$B87="","",ITEM!$E87)</f>
      </c>
      <c r="K109" s="6">
        <f>IF(ITEM!$B87="","",$G109*$J109)</f>
      </c>
      <c r="L109" s="2"/>
      <c r="M109" s="2"/>
      <c r="N109" s="2"/>
      <c r="O109" s="2"/>
    </row>
    <row r="110" spans="1:15" ht="13.05" hidden="1" customHeight="1" outlineLevel="2" x14ac:dyDescent="0.45">
      <c r="A110" s="4">
        <f>IF(ITEM!$B88="","",ITEM!$A88)</f>
      </c>
      <c r="B110" s="118">
        <f>IF(ITEM!$B88="","",ITEM!$B88)</f>
      </c>
      <c r="C110" s="119"/>
      <c r="D110" s="13">
        <f>IF(ITEM!$B88="","",ITEM!$D88)</f>
      </c>
      <c r="E110" s="5">
        <f>IF(ITEM!$B88="","",ITEM!$C88)</f>
      </c>
      <c r="F110" s="13" cm="1">
        <f t="array" ref="F110">IF(ITEM!$B88="","",SUMPRODUCT((COLUMN(ITEM!$G88:$J88)-COLUMN(ITEM!$G88)+1&lt;$O$1)*ITEM!$G88:$J88))</f>
      </c>
      <c r="G110" s="13" cm="1">
        <f t="array" ref="G110">IF(ITEM!$B88="","",INDEX(ITEM!$G88:$J88,1,$O$1))</f>
      </c>
      <c r="H110" s="13">
        <f>IF(ITEM!$B88="","",$F110+$G110)</f>
      </c>
      <c r="I110" s="13">
        <f>IF(ITEM!$B88="","",$D110-$H110)</f>
      </c>
      <c r="J110" s="6">
        <f>IF(ITEM!$B88="","",ITEM!$E88)</f>
      </c>
      <c r="K110" s="6">
        <f>IF(ITEM!$B88="","",$G110*$J110)</f>
      </c>
      <c r="L110" s="2"/>
      <c r="M110" s="2"/>
      <c r="N110" s="2"/>
      <c r="O110" s="2"/>
    </row>
    <row r="111" spans="1:15" ht="13.05" hidden="1" customHeight="1" outlineLevel="2" x14ac:dyDescent="0.45">
      <c r="A111" s="4">
        <f>IF(ITEM!$B89="","",ITEM!$A89)</f>
      </c>
      <c r="B111" s="118">
        <f>IF(ITEM!$B89="","",ITEM!$B89)</f>
      </c>
      <c r="C111" s="119"/>
      <c r="D111" s="13">
        <f>IF(ITEM!$B89="","",ITEM!$D89)</f>
      </c>
      <c r="E111" s="5">
        <f>IF(ITEM!$B89="","",ITEM!$C89)</f>
      </c>
      <c r="F111" s="13" cm="1">
        <f t="array" ref="F111">IF(ITEM!$B89="","",SUMPRODUCT((COLUMN(ITEM!$G89:$J89)-COLUMN(ITEM!$G89)+1&lt;$O$1)*ITEM!$G89:$J89))</f>
      </c>
      <c r="G111" s="13" cm="1">
        <f t="array" ref="G111">IF(ITEM!$B89="","",INDEX(ITEM!$G89:$J89,1,$O$1))</f>
      </c>
      <c r="H111" s="13">
        <f>IF(ITEM!$B89="","",$F111+$G111)</f>
      </c>
      <c r="I111" s="13">
        <f>IF(ITEM!$B89="","",$D111-$H111)</f>
      </c>
      <c r="J111" s="6">
        <f>IF(ITEM!$B89="","",ITEM!$E89)</f>
      </c>
      <c r="K111" s="6">
        <f>IF(ITEM!$B89="","",$G111*$J111)</f>
      </c>
      <c r="L111" s="2"/>
      <c r="M111" s="2"/>
      <c r="N111" s="2"/>
      <c r="O111" s="2"/>
    </row>
    <row r="112" spans="1:15" ht="13.05" hidden="1" customHeight="1" outlineLevel="2" x14ac:dyDescent="0.45">
      <c r="A112" s="4">
        <f>IF(ITEM!$B90="","",ITEM!$A90)</f>
      </c>
      <c r="B112" s="118">
        <f>IF(ITEM!$B90="","",ITEM!$B90)</f>
      </c>
      <c r="C112" s="119"/>
      <c r="D112" s="13">
        <f>IF(ITEM!$B90="","",ITEM!$D90)</f>
      </c>
      <c r="E112" s="5">
        <f>IF(ITEM!$B90="","",ITEM!$C90)</f>
      </c>
      <c r="F112" s="13" cm="1">
        <f t="array" ref="F112">IF(ITEM!$B90="","",SUMPRODUCT((COLUMN(ITEM!$G90:$J90)-COLUMN(ITEM!$G90)+1&lt;$O$1)*ITEM!$G90:$J90))</f>
      </c>
      <c r="G112" s="13" cm="1">
        <f t="array" ref="G112">IF(ITEM!$B90="","",INDEX(ITEM!$G90:$J90,1,$O$1))</f>
      </c>
      <c r="H112" s="13">
        <f>IF(ITEM!$B90="","",$F112+$G112)</f>
      </c>
      <c r="I112" s="13">
        <f>IF(ITEM!$B90="","",$D112-$H112)</f>
      </c>
      <c r="J112" s="6">
        <f>IF(ITEM!$B90="","",ITEM!$E90)</f>
      </c>
      <c r="K112" s="6">
        <f>IF(ITEM!$B90="","",$G112*$J112)</f>
      </c>
      <c r="L112" s="2"/>
      <c r="M112" s="2"/>
      <c r="N112" s="2"/>
      <c r="O112" s="2"/>
    </row>
    <row r="113" spans="1:15" ht="13.05" hidden="1" customHeight="1" outlineLevel="2" x14ac:dyDescent="0.45">
      <c r="A113" s="4">
        <f>IF(ITEM!$B91="","",ITEM!$A91)</f>
      </c>
      <c r="B113" s="118">
        <f>IF(ITEM!$B91="","",ITEM!$B91)</f>
      </c>
      <c r="C113" s="119"/>
      <c r="D113" s="13">
        <f>IF(ITEM!$B91="","",ITEM!$D91)</f>
      </c>
      <c r="E113" s="5">
        <f>IF(ITEM!$B91="","",ITEM!$C91)</f>
      </c>
      <c r="F113" s="13" cm="1">
        <f t="array" ref="F113">IF(ITEM!$B91="","",SUMPRODUCT((COLUMN(ITEM!$G91:$J91)-COLUMN(ITEM!$G91)+1&lt;$O$1)*ITEM!$G91:$J91))</f>
      </c>
      <c r="G113" s="13" cm="1">
        <f t="array" ref="G113">IF(ITEM!$B91="","",INDEX(ITEM!$G91:$J91,1,$O$1))</f>
      </c>
      <c r="H113" s="13">
        <f>IF(ITEM!$B91="","",$F113+$G113)</f>
      </c>
      <c r="I113" s="13">
        <f>IF(ITEM!$B91="","",$D113-$H113)</f>
      </c>
      <c r="J113" s="6">
        <f>IF(ITEM!$B91="","",ITEM!$E91)</f>
      </c>
      <c r="K113" s="6">
        <f>IF(ITEM!$B91="","",$G113*$J113)</f>
      </c>
      <c r="L113" s="2"/>
      <c r="M113" s="2"/>
      <c r="N113" s="2"/>
      <c r="O113" s="2"/>
    </row>
    <row r="114" spans="1:15" ht="13.05" hidden="1" customHeight="1" outlineLevel="2" x14ac:dyDescent="0.45">
      <c r="A114" s="4">
        <f>IF(ITEM!$B92="","",ITEM!$A92)</f>
      </c>
      <c r="B114" s="118">
        <f>IF(ITEM!$B92="","",ITEM!$B92)</f>
      </c>
      <c r="C114" s="119"/>
      <c r="D114" s="13">
        <f>IF(ITEM!$B92="","",ITEM!$D92)</f>
      </c>
      <c r="E114" s="5">
        <f>IF(ITEM!$B92="","",ITEM!$C92)</f>
      </c>
      <c r="F114" s="13" cm="1">
        <f t="array" ref="F114">IF(ITEM!$B92="","",SUMPRODUCT((COLUMN(ITEM!$G92:$J92)-COLUMN(ITEM!$G92)+1&lt;$O$1)*ITEM!$G92:$J92))</f>
      </c>
      <c r="G114" s="13" cm="1">
        <f t="array" ref="G114">IF(ITEM!$B92="","",INDEX(ITEM!$G92:$J92,1,$O$1))</f>
      </c>
      <c r="H114" s="13">
        <f>IF(ITEM!$B92="","",$F114+$G114)</f>
      </c>
      <c r="I114" s="13">
        <f>IF(ITEM!$B92="","",$D114-$H114)</f>
      </c>
      <c r="J114" s="6">
        <f>IF(ITEM!$B92="","",ITEM!$E92)</f>
      </c>
      <c r="K114" s="6">
        <f>IF(ITEM!$B92="","",$G114*$J114)</f>
      </c>
      <c r="L114" s="2"/>
      <c r="M114" s="2"/>
      <c r="N114" s="2"/>
      <c r="O114" s="2"/>
    </row>
    <row r="115" spans="1:15" ht="13.05" hidden="1" customHeight="1" outlineLevel="2" x14ac:dyDescent="0.45">
      <c r="A115" s="4">
        <f>IF(ITEM!$B93="","",ITEM!$A93)</f>
      </c>
      <c r="B115" s="118">
        <f>IF(ITEM!$B93="","",ITEM!$B93)</f>
      </c>
      <c r="C115" s="119"/>
      <c r="D115" s="13">
        <f>IF(ITEM!$B93="","",ITEM!$D93)</f>
      </c>
      <c r="E115" s="5">
        <f>IF(ITEM!$B93="","",ITEM!$C93)</f>
      </c>
      <c r="F115" s="13" cm="1">
        <f t="array" ref="F115">IF(ITEM!$B93="","",SUMPRODUCT((COLUMN(ITEM!$G93:$J93)-COLUMN(ITEM!$G93)+1&lt;$O$1)*ITEM!$G93:$J93))</f>
      </c>
      <c r="G115" s="13" cm="1">
        <f t="array" ref="G115">IF(ITEM!$B93="","",INDEX(ITEM!$G93:$J93,1,$O$1))</f>
      </c>
      <c r="H115" s="13">
        <f>IF(ITEM!$B93="","",$F115+$G115)</f>
      </c>
      <c r="I115" s="13">
        <f>IF(ITEM!$B93="","",$D115-$H115)</f>
      </c>
      <c r="J115" s="6">
        <f>IF(ITEM!$B93="","",ITEM!$E93)</f>
      </c>
      <c r="K115" s="6">
        <f>IF(ITEM!$B93="","",$G115*$J115)</f>
      </c>
      <c r="L115" s="2"/>
      <c r="M115" s="2"/>
      <c r="N115" s="2"/>
      <c r="O115" s="2"/>
    </row>
    <row r="116" spans="1:15" ht="13.05" hidden="1" customHeight="1" outlineLevel="2" x14ac:dyDescent="0.45">
      <c r="A116" s="4">
        <f>IF(ITEM!$B94="","",ITEM!$A94)</f>
      </c>
      <c r="B116" s="118">
        <f>IF(ITEM!$B94="","",ITEM!$B94)</f>
      </c>
      <c r="C116" s="119"/>
      <c r="D116" s="13">
        <f>IF(ITEM!$B94="","",ITEM!$D94)</f>
      </c>
      <c r="E116" s="5">
        <f>IF(ITEM!$B94="","",ITEM!$C94)</f>
      </c>
      <c r="F116" s="13" cm="1">
        <f t="array" ref="F116">IF(ITEM!$B94="","",SUMPRODUCT((COLUMN(ITEM!$G94:$J94)-COLUMN(ITEM!$G94)+1&lt;$O$1)*ITEM!$G94:$J94))</f>
      </c>
      <c r="G116" s="13" cm="1">
        <f t="array" ref="G116">IF(ITEM!$B94="","",INDEX(ITEM!$G94:$J94,1,$O$1))</f>
      </c>
      <c r="H116" s="13">
        <f>IF(ITEM!$B94="","",$F116+$G116)</f>
      </c>
      <c r="I116" s="13">
        <f>IF(ITEM!$B94="","",$D116-$H116)</f>
      </c>
      <c r="J116" s="6">
        <f>IF(ITEM!$B94="","",ITEM!$E94)</f>
      </c>
      <c r="K116" s="6">
        <f>IF(ITEM!$B94="","",$G116*$J116)</f>
      </c>
      <c r="L116" s="2"/>
      <c r="M116" s="2"/>
      <c r="N116" s="2"/>
      <c r="O116" s="2"/>
    </row>
    <row r="117" spans="1:15" ht="13.05" hidden="1" customHeight="1" outlineLevel="2" x14ac:dyDescent="0.45">
      <c r="A117" s="4">
        <f>IF(ITEM!$B95="","",ITEM!$A95)</f>
      </c>
      <c r="B117" s="118">
        <f>IF(ITEM!$B95="","",ITEM!$B95)</f>
      </c>
      <c r="C117" s="119"/>
      <c r="D117" s="13">
        <f>IF(ITEM!$B95="","",ITEM!$D95)</f>
      </c>
      <c r="E117" s="5">
        <f>IF(ITEM!$B95="","",ITEM!$C95)</f>
      </c>
      <c r="F117" s="13" cm="1">
        <f t="array" ref="F117">IF(ITEM!$B95="","",SUMPRODUCT((COLUMN(ITEM!$G95:$J95)-COLUMN(ITEM!$G95)+1&lt;$O$1)*ITEM!$G95:$J95))</f>
      </c>
      <c r="G117" s="13" cm="1">
        <f t="array" ref="G117">IF(ITEM!$B95="","",INDEX(ITEM!$G95:$J95,1,$O$1))</f>
      </c>
      <c r="H117" s="13">
        <f>IF(ITEM!$B95="","",$F117+$G117)</f>
      </c>
      <c r="I117" s="13">
        <f>IF(ITEM!$B95="","",$D117-$H117)</f>
      </c>
      <c r="J117" s="6">
        <f>IF(ITEM!$B95="","",ITEM!$E95)</f>
      </c>
      <c r="K117" s="6">
        <f>IF(ITEM!$B95="","",$G117*$J117)</f>
      </c>
      <c r="L117" s="2"/>
      <c r="M117" s="2"/>
      <c r="N117" s="2"/>
      <c r="O117" s="2"/>
    </row>
    <row r="118" spans="1:15" ht="13.05" hidden="1" customHeight="1" outlineLevel="2" x14ac:dyDescent="0.45">
      <c r="A118" s="4">
        <f>IF(ITEM!$B96="","",ITEM!$A96)</f>
      </c>
      <c r="B118" s="118">
        <f>IF(ITEM!$B96="","",ITEM!$B96)</f>
      </c>
      <c r="C118" s="119"/>
      <c r="D118" s="13">
        <f>IF(ITEM!$B96="","",ITEM!$D96)</f>
      </c>
      <c r="E118" s="5">
        <f>IF(ITEM!$B96="","",ITEM!$C96)</f>
      </c>
      <c r="F118" s="13" cm="1">
        <f t="array" ref="F118">IF(ITEM!$B96="","",SUMPRODUCT((COLUMN(ITEM!$G96:$J96)-COLUMN(ITEM!$G96)+1&lt;$O$1)*ITEM!$G96:$J96))</f>
      </c>
      <c r="G118" s="13" cm="1">
        <f t="array" ref="G118">IF(ITEM!$B96="","",INDEX(ITEM!$G96:$J96,1,$O$1))</f>
      </c>
      <c r="H118" s="13">
        <f>IF(ITEM!$B96="","",$F118+$G118)</f>
      </c>
      <c r="I118" s="13">
        <f>IF(ITEM!$B96="","",$D118-$H118)</f>
      </c>
      <c r="J118" s="6">
        <f>IF(ITEM!$B96="","",ITEM!$E96)</f>
      </c>
      <c r="K118" s="6">
        <f>IF(ITEM!$B96="","",$G118*$J118)</f>
      </c>
      <c r="L118" s="2"/>
      <c r="M118" s="2"/>
      <c r="N118" s="2"/>
      <c r="O118" s="2"/>
    </row>
    <row r="119" spans="1:15" ht="13.05" hidden="1" customHeight="1" outlineLevel="2" x14ac:dyDescent="0.45">
      <c r="A119" s="4">
        <f>IF(ITEM!$B97="","",ITEM!$A97)</f>
      </c>
      <c r="B119" s="118">
        <f>IF(ITEM!$B97="","",ITEM!$B97)</f>
      </c>
      <c r="C119" s="119"/>
      <c r="D119" s="13">
        <f>IF(ITEM!$B97="","",ITEM!$D97)</f>
      </c>
      <c r="E119" s="5">
        <f>IF(ITEM!$B97="","",ITEM!$C97)</f>
      </c>
      <c r="F119" s="13" cm="1">
        <f t="array" ref="F119">IF(ITEM!$B97="","",SUMPRODUCT((COLUMN(ITEM!$G97:$J97)-COLUMN(ITEM!$G97)+1&lt;$O$1)*ITEM!$G97:$J97))</f>
      </c>
      <c r="G119" s="13" cm="1">
        <f t="array" ref="G119">IF(ITEM!$B97="","",INDEX(ITEM!$G97:$J97,1,$O$1))</f>
      </c>
      <c r="H119" s="13">
        <f>IF(ITEM!$B97="","",$F119+$G119)</f>
      </c>
      <c r="I119" s="13">
        <f>IF(ITEM!$B97="","",$D119-$H119)</f>
      </c>
      <c r="J119" s="6">
        <f>IF(ITEM!$B97="","",ITEM!$E97)</f>
      </c>
      <c r="K119" s="6">
        <f>IF(ITEM!$B97="","",$G119*$J119)</f>
      </c>
      <c r="L119" s="2"/>
      <c r="M119" s="2"/>
      <c r="N119" s="2"/>
      <c r="O119" s="2"/>
    </row>
    <row r="120" spans="1:15" ht="13.05" hidden="1" customHeight="1" outlineLevel="2" x14ac:dyDescent="0.45">
      <c r="A120" s="4">
        <f>IF(ITEM!$B98="","",ITEM!$A98)</f>
      </c>
      <c r="B120" s="118">
        <f>IF(ITEM!$B98="","",ITEM!$B98)</f>
      </c>
      <c r="C120" s="119"/>
      <c r="D120" s="13">
        <f>IF(ITEM!$B98="","",ITEM!$D98)</f>
      </c>
      <c r="E120" s="5">
        <f>IF(ITEM!$B98="","",ITEM!$C98)</f>
      </c>
      <c r="F120" s="13" cm="1">
        <f t="array" ref="F120">IF(ITEM!$B98="","",SUMPRODUCT((COLUMN(ITEM!$G98:$J98)-COLUMN(ITEM!$G98)+1&lt;$O$1)*ITEM!$G98:$J98))</f>
      </c>
      <c r="G120" s="13" cm="1">
        <f t="array" ref="G120">IF(ITEM!$B98="","",INDEX(ITEM!$G98:$J98,1,$O$1))</f>
      </c>
      <c r="H120" s="13">
        <f>IF(ITEM!$B98="","",$F120+$G120)</f>
      </c>
      <c r="I120" s="13">
        <f>IF(ITEM!$B98="","",$D120-$H120)</f>
      </c>
      <c r="J120" s="6">
        <f>IF(ITEM!$B98="","",ITEM!$E98)</f>
      </c>
      <c r="K120" s="6">
        <f>IF(ITEM!$B98="","",$G120*$J120)</f>
      </c>
      <c r="L120" s="2"/>
      <c r="M120" s="2"/>
      <c r="N120" s="2"/>
      <c r="O120" s="2"/>
    </row>
    <row r="121" spans="1:15" ht="13.05" hidden="1" customHeight="1" outlineLevel="2" x14ac:dyDescent="0.45">
      <c r="A121" s="4">
        <f>IF(ITEM!$B99="","",ITEM!$A99)</f>
      </c>
      <c r="B121" s="118">
        <f>IF(ITEM!$B99="","",ITEM!$B99)</f>
      </c>
      <c r="C121" s="119"/>
      <c r="D121" s="13">
        <f>IF(ITEM!$B99="","",ITEM!$D99)</f>
      </c>
      <c r="E121" s="5">
        <f>IF(ITEM!$B99="","",ITEM!$C99)</f>
      </c>
      <c r="F121" s="13" cm="1">
        <f t="array" ref="F121">IF(ITEM!$B99="","",SUMPRODUCT((COLUMN(ITEM!$G99:$J99)-COLUMN(ITEM!$G99)+1&lt;$O$1)*ITEM!$G99:$J99))</f>
      </c>
      <c r="G121" s="13" cm="1">
        <f t="array" ref="G121">IF(ITEM!$B99="","",INDEX(ITEM!$G99:$J99,1,$O$1))</f>
      </c>
      <c r="H121" s="13">
        <f>IF(ITEM!$B99="","",$F121+$G121)</f>
      </c>
      <c r="I121" s="13">
        <f>IF(ITEM!$B99="","",$D121-$H121)</f>
      </c>
      <c r="J121" s="6">
        <f>IF(ITEM!$B99="","",ITEM!$E99)</f>
      </c>
      <c r="K121" s="6">
        <f>IF(ITEM!$B99="","",$G121*$J121)</f>
      </c>
      <c r="L121" s="2"/>
      <c r="M121" s="2"/>
      <c r="N121" s="2"/>
      <c r="O121" s="2"/>
    </row>
    <row r="122" spans="1:15" ht="13.05" hidden="1" customHeight="1" outlineLevel="2" x14ac:dyDescent="0.45">
      <c r="A122" s="4">
        <f>IF(ITEM!$B100="","",ITEM!$A100)</f>
      </c>
      <c r="B122" s="118">
        <f>IF(ITEM!$B100="","",ITEM!$B100)</f>
      </c>
      <c r="C122" s="119"/>
      <c r="D122" s="13">
        <f>IF(ITEM!$B100="","",ITEM!$D100)</f>
      </c>
      <c r="E122" s="5">
        <f>IF(ITEM!$B100="","",ITEM!$C100)</f>
      </c>
      <c r="F122" s="13" cm="1">
        <f t="array" ref="F122">IF(ITEM!$B100="","",SUMPRODUCT((COLUMN(ITEM!$G100:$J100)-COLUMN(ITEM!$G100)+1&lt;$O$1)*ITEM!$G100:$J100))</f>
      </c>
      <c r="G122" s="13" cm="1">
        <f t="array" ref="G122">IF(ITEM!$B100="","",INDEX(ITEM!$G100:$J100,1,$O$1))</f>
      </c>
      <c r="H122" s="13">
        <f>IF(ITEM!$B100="","",$F122+$G122)</f>
      </c>
      <c r="I122" s="13">
        <f>IF(ITEM!$B100="","",$D122-$H122)</f>
      </c>
      <c r="J122" s="6">
        <f>IF(ITEM!$B100="","",ITEM!$E100)</f>
      </c>
      <c r="K122" s="6">
        <f>IF(ITEM!$B100="","",$G122*$J122)</f>
      </c>
      <c r="L122" s="2"/>
      <c r="M122" s="2"/>
      <c r="N122" s="2"/>
      <c r="O122" s="2"/>
    </row>
    <row r="123" spans="1:15" ht="13.05" hidden="1" customHeight="1" outlineLevel="2" x14ac:dyDescent="0.45">
      <c r="A123" s="4">
        <f>IF(ITEM!$B101="","",ITEM!$A101)</f>
      </c>
      <c r="B123" s="118">
        <f>IF(ITEM!$B101="","",ITEM!$B101)</f>
      </c>
      <c r="C123" s="119"/>
      <c r="D123" s="13">
        <f>IF(ITEM!$B101="","",ITEM!$D101)</f>
      </c>
      <c r="E123" s="5">
        <f>IF(ITEM!$B101="","",ITEM!$C101)</f>
      </c>
      <c r="F123" s="13" cm="1">
        <f t="array" ref="F123">IF(ITEM!$B101="","",SUMPRODUCT((COLUMN(ITEM!$G101:$J101)-COLUMN(ITEM!$G101)+1&lt;$O$1)*ITEM!$G101:$J101))</f>
      </c>
      <c r="G123" s="13" cm="1">
        <f t="array" ref="G123">IF(ITEM!$B101="","",INDEX(ITEM!$G101:$J101,1,$O$1))</f>
      </c>
      <c r="H123" s="13">
        <f>IF(ITEM!$B101="","",$F123+$G123)</f>
      </c>
      <c r="I123" s="13">
        <f>IF(ITEM!$B101="","",$D123-$H123)</f>
      </c>
      <c r="J123" s="6">
        <f>IF(ITEM!$B101="","",ITEM!$E101)</f>
      </c>
      <c r="K123" s="6">
        <f>IF(ITEM!$B101="","",$G123*$J123)</f>
      </c>
      <c r="L123" s="2"/>
      <c r="M123" s="2"/>
      <c r="N123" s="2"/>
      <c r="O123" s="2"/>
    </row>
    <row r="124" spans="1:15" ht="13.05" hidden="1" customHeight="1" outlineLevel="2" x14ac:dyDescent="0.45">
      <c r="A124" s="4">
        <f>IF(ITEM!$B102="","",ITEM!$A102)</f>
      </c>
      <c r="B124" s="118">
        <f>IF(ITEM!$B102="","",ITEM!$B102)</f>
      </c>
      <c r="C124" s="119"/>
      <c r="D124" s="13">
        <f>IF(ITEM!$B102="","",ITEM!$D102)</f>
      </c>
      <c r="E124" s="5">
        <f>IF(ITEM!$B102="","",ITEM!$C102)</f>
      </c>
      <c r="F124" s="13" cm="1">
        <f t="array" ref="F124">IF(ITEM!$B102="","",SUMPRODUCT((COLUMN(ITEM!$G102:$J102)-COLUMN(ITEM!$G102)+1&lt;$O$1)*ITEM!$G102:$J102))</f>
      </c>
      <c r="G124" s="13" cm="1">
        <f t="array" ref="G124">IF(ITEM!$B102="","",INDEX(ITEM!$G102:$J102,1,$O$1))</f>
      </c>
      <c r="H124" s="13">
        <f>IF(ITEM!$B102="","",$F124+$G124)</f>
      </c>
      <c r="I124" s="13">
        <f>IF(ITEM!$B102="","",$D124-$H124)</f>
      </c>
      <c r="J124" s="6">
        <f>IF(ITEM!$B102="","",ITEM!$E102)</f>
      </c>
      <c r="K124" s="6">
        <f>IF(ITEM!$B102="","",$G124*$J124)</f>
      </c>
      <c r="L124" s="2"/>
      <c r="M124" s="2"/>
      <c r="N124" s="2"/>
      <c r="O124" s="2"/>
    </row>
    <row r="125" spans="1:15" ht="13.05" hidden="1" customHeight="1" outlineLevel="2" x14ac:dyDescent="0.45">
      <c r="A125" s="4">
        <f>IF(ITEM!$B103="","",ITEM!$A103)</f>
      </c>
      <c r="B125" s="118">
        <f>IF(ITEM!$B103="","",ITEM!$B103)</f>
      </c>
      <c r="C125" s="119"/>
      <c r="D125" s="13">
        <f>IF(ITEM!$B103="","",ITEM!$D103)</f>
      </c>
      <c r="E125" s="5">
        <f>IF(ITEM!$B103="","",ITEM!$C103)</f>
      </c>
      <c r="F125" s="13" cm="1">
        <f t="array" ref="F125">IF(ITEM!$B103="","",SUMPRODUCT((COLUMN(ITEM!$G103:$J103)-COLUMN(ITEM!$G103)+1&lt;$O$1)*ITEM!$G103:$J103))</f>
      </c>
      <c r="G125" s="13" cm="1">
        <f t="array" ref="G125">IF(ITEM!$B103="","",INDEX(ITEM!$G103:$J103,1,$O$1))</f>
      </c>
      <c r="H125" s="13">
        <f>IF(ITEM!$B103="","",$F125+$G125)</f>
      </c>
      <c r="I125" s="13">
        <f>IF(ITEM!$B103="","",$D125-$H125)</f>
      </c>
      <c r="J125" s="6">
        <f>IF(ITEM!$B103="","",ITEM!$E103)</f>
      </c>
      <c r="K125" s="6">
        <f>IF(ITEM!$B103="","",$G125*$J125)</f>
      </c>
      <c r="L125" s="2"/>
      <c r="M125" s="2"/>
      <c r="N125" s="2"/>
      <c r="O125" s="2"/>
    </row>
    <row r="126" spans="1:15" ht="13.05" customHeight="1" x14ac:dyDescent="0.45">
      <c r="A126" s="165" t="s">
        <v>103</v>
      </c>
      <c r="B126" s="166"/>
      <c r="C126" s="166"/>
      <c r="D126" s="166"/>
      <c r="E126" s="166"/>
      <c r="F126" s="166"/>
      <c r="G126" s="166"/>
      <c r="H126" s="166"/>
      <c r="I126" s="166"/>
      <c r="J126" s="167"/>
      <c r="K126" s="7">
        <f>SUM(K26:K125)</f>
      </c>
      <c r="L126" s="2"/>
      <c r="M126" s="2"/>
      <c r="N126" s="2"/>
      <c r="O126" s="2"/>
    </row>
    <row r="127" spans="1:15" ht="13.05" customHeight="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</row>
    <row r="128" spans="1:15" ht="13.05" customHeight="1" x14ac:dyDescent="0.45">
      <c r="A128" s="153" t="s">
        <v>156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2"/>
      <c r="M128" s="2"/>
      <c r="N128" s="2"/>
      <c r="O128" s="2"/>
    </row>
    <row r="129" spans="1:15" ht="13.05" customHeight="1" x14ac:dyDescent="0.45">
      <c r="A129" s="26">
        <v>1</v>
      </c>
      <c r="B129" s="151" t="s">
        <v>157</v>
      </c>
      <c r="C129" s="121"/>
      <c r="D129" s="121"/>
      <c r="E129" s="121"/>
      <c r="F129" s="121"/>
      <c r="G129" s="19" t="s">
        <v>158</v>
      </c>
      <c r="H129" s="28">
        <f>IF(ITEM!$C$107=0,0,SUMPRODUCT($H$26:$H$125,$J$26:$J$125)/ITEM!$C$107)</f>
      </c>
      <c r="I129" s="19" t="s">
        <v>159</v>
      </c>
      <c r="J129" s="19"/>
      <c r="K129" s="15">
        <f>ROUND(H129*ITEM!$C$107,0)</f>
      </c>
      <c r="L129" s="2"/>
      <c r="M129" s="2"/>
      <c r="N129" s="2"/>
      <c r="O129" s="2"/>
    </row>
    <row r="130" spans="1:15" ht="13.05" customHeight="1" x14ac:dyDescent="0.45">
      <c r="A130" s="26">
        <v>2</v>
      </c>
      <c r="B130" s="151" t="s">
        <v>160</v>
      </c>
      <c r="C130" s="121"/>
      <c r="D130" s="121"/>
      <c r="E130" s="121"/>
      <c r="F130" s="121"/>
      <c r="G130" s="19" t="s">
        <v>158</v>
      </c>
      <c r="H130" s="28">
        <f>IF(ITEM!$C$107=0,0,SUMPRODUCT($F$26:$F$125,$J$26:$J$125)/ITEM!$C$107)</f>
      </c>
      <c r="I130" s="19" t="s">
        <v>159</v>
      </c>
      <c r="J130" s="19"/>
      <c r="K130" s="15">
        <f>ROUND(H130*ITEM!$C$107,0)</f>
      </c>
      <c r="L130" s="2"/>
      <c r="M130" s="2"/>
      <c r="N130" s="2"/>
      <c r="O130" s="2"/>
    </row>
    <row r="131" spans="1:15" ht="13.05" customHeight="1" x14ac:dyDescent="0.45">
      <c r="A131" s="26">
        <v>3</v>
      </c>
      <c r="B131" s="151" t="s">
        <v>161</v>
      </c>
      <c r="C131" s="121"/>
      <c r="D131" s="121"/>
      <c r="E131" s="121"/>
      <c r="F131" s="121"/>
      <c r="G131" s="19" t="s">
        <v>158</v>
      </c>
      <c r="H131" s="28">
        <f>H129-H130</f>
      </c>
      <c r="I131" s="19" t="s">
        <v>159</v>
      </c>
      <c r="J131" s="19"/>
      <c r="K131" s="15">
        <f>K129-K130</f>
      </c>
      <c r="L131" s="2"/>
      <c r="M131" s="2"/>
      <c r="N131" s="2"/>
      <c r="O131" s="2"/>
    </row>
    <row r="132" spans="1:15" ht="13.05" customHeight="1" x14ac:dyDescent="0.45">
      <c r="A132" s="26">
        <v>4</v>
      </c>
      <c r="B132" s="151" t="s">
        <v>162</v>
      </c>
      <c r="C132" s="121"/>
      <c r="D132" s="121"/>
      <c r="E132" s="121"/>
      <c r="F132" s="121"/>
      <c r="G132" s="19"/>
      <c r="H132" s="28"/>
      <c r="I132" s="19"/>
      <c r="J132" s="19"/>
      <c r="K132" s="15"/>
      <c r="L132" s="2"/>
      <c r="M132" s="2"/>
      <c r="N132" s="2"/>
      <c r="O132" s="2"/>
    </row>
    <row r="133" spans="1:15" ht="13.05" customHeight="1" x14ac:dyDescent="0.45">
      <c r="A133" s="26"/>
      <c r="B133" s="151" t="s">
        <v>163</v>
      </c>
      <c r="C133" s="121"/>
      <c r="D133" s="121"/>
      <c r="E133" s="121"/>
      <c r="F133" s="121"/>
      <c r="G133" s="19" t="s">
        <v>158</v>
      </c>
      <c r="H133" s="28">
        <f>INPUT!$B$47</f>
      </c>
      <c r="I133" s="19" t="s">
        <v>159</v>
      </c>
      <c r="J133" s="19" t="s">
        <v>164</v>
      </c>
      <c r="K133" s="15">
        <f>-ROUND(H133*K131,0)</f>
      </c>
      <c r="L133" s="2"/>
      <c r="M133" s="2"/>
      <c r="N133" s="2"/>
      <c r="O133" s="2"/>
    </row>
    <row r="134" spans="1:15" ht="13.05" customHeight="1" x14ac:dyDescent="0.45">
      <c r="A134" s="26"/>
      <c r="B134" s="151" t="s">
        <v>165</v>
      </c>
      <c r="C134" s="121"/>
      <c r="D134" s="121"/>
      <c r="E134" s="121"/>
      <c r="F134" s="121"/>
      <c r="G134" s="19" t="s">
        <v>158</v>
      </c>
      <c r="H134" s="28">
        <f>INPUT!$B$46</f>
      </c>
      <c r="I134" s="19" t="s">
        <v>159</v>
      </c>
      <c r="J134" s="19" t="s">
        <v>164</v>
      </c>
      <c r="K134" s="15">
        <f>-ROUND(H134*K131,0)</f>
      </c>
      <c r="L134" s="2"/>
      <c r="M134" s="2"/>
      <c r="N134" s="2"/>
      <c r="O134" s="2"/>
    </row>
    <row r="135" spans="1:15" ht="13.05" customHeight="1" thickBot="1" x14ac:dyDescent="0.5">
      <c r="A135" s="27">
        <v>5</v>
      </c>
      <c r="B135" s="151" t="s">
        <v>166</v>
      </c>
      <c r="C135" s="121"/>
      <c r="D135" s="121"/>
      <c r="E135" s="121"/>
      <c r="F135" s="121"/>
      <c r="G135" s="19" t="s">
        <v>158</v>
      </c>
      <c r="H135" s="19"/>
      <c r="I135" s="19" t="s">
        <v>159</v>
      </c>
      <c r="J135" s="19"/>
      <c r="K135" s="16">
        <f>K131+K133+K134</f>
      </c>
      <c r="L135" s="2"/>
      <c r="M135" s="2"/>
      <c r="N135" s="2"/>
      <c r="O135" s="2"/>
    </row>
    <row r="136" spans="1:15" ht="13.05" customHeight="1" thickTop="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</row>
    <row r="137" spans="1:15" ht="13.05" customHeight="1" x14ac:dyDescent="0.45">
      <c r="A137" s="8"/>
      <c r="B137" s="53" t="s">
        <v>105</v>
      </c>
      <c r="C137" s="152">
        <f>": "&amp;$O$14</f>
      </c>
      <c r="D137" s="121"/>
      <c r="E137" s="121"/>
      <c r="F137" s="121"/>
      <c r="G137" s="121"/>
      <c r="H137" s="121"/>
      <c r="I137" s="121"/>
      <c r="J137" s="121"/>
      <c r="K137" s="121"/>
      <c r="L137" s="2"/>
      <c r="M137" s="2"/>
      <c r="N137" s="2"/>
      <c r="O137" s="2"/>
    </row>
    <row r="138" spans="1:15" ht="13.05" customHeight="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</row>
    <row r="139" spans="1:15" ht="13.05" customHeight="1" x14ac:dyDescent="0.45">
      <c r="A139" s="153" t="s">
        <v>167</v>
      </c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2"/>
      <c r="M139" s="2"/>
      <c r="N139" s="2"/>
      <c r="O139" s="2"/>
    </row>
    <row r="140" spans="1:15" ht="13.05" customHeight="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</row>
    <row r="141" spans="1:15" ht="13.05" customHeight="1" x14ac:dyDescent="0.45">
      <c r="A141" s="3"/>
      <c r="B141" s="162">
        <f>"Mengetahui,"</f>
      </c>
      <c r="C141" s="153"/>
      <c r="D141" s="153"/>
      <c r="E141" s="153"/>
      <c r="F141" s="162" t="s">
        <v>168</v>
      </c>
      <c r="G141" s="162"/>
      <c r="H141" s="162"/>
      <c r="I141" s="162" t="s">
        <v>169</v>
      </c>
      <c r="J141" s="162"/>
      <c r="K141" s="162"/>
      <c r="L141" s="2"/>
      <c r="M141" s="2"/>
      <c r="N141" s="2"/>
      <c r="O141" s="2"/>
    </row>
    <row r="142" spans="1:15" ht="13.05" customHeight="1" x14ac:dyDescent="0.45">
      <c r="A142" s="3"/>
      <c r="B142" s="161">
        <f>UPPER(INPUT!$B$6)</f>
      </c>
      <c r="C142" s="153"/>
      <c r="D142" s="153"/>
      <c r="E142" s="153"/>
      <c r="F142" s="161">
        <f>UPPER(INPUT!$B$6)</f>
      </c>
      <c r="G142" s="161"/>
      <c r="H142" s="161"/>
      <c r="I142" s="161">
        <f>UPPER(INPUT!$B$24)</f>
      </c>
      <c r="J142" s="161"/>
      <c r="K142" s="161"/>
      <c r="L142" s="2"/>
      <c r="M142" s="2"/>
      <c r="N142" s="2"/>
      <c r="O142" s="2"/>
    </row>
    <row r="143" spans="1:15" ht="30" customHeight="1" x14ac:dyDescent="0.45">
      <c r="A143" s="3"/>
      <c r="B143" s="3"/>
      <c r="C143" s="10"/>
      <c r="D143" s="3"/>
      <c r="E143" s="3"/>
      <c r="F143" s="10"/>
      <c r="G143" s="3"/>
      <c r="H143" s="3"/>
      <c r="I143" s="10"/>
      <c r="J143" s="3"/>
      <c r="K143" s="3"/>
      <c r="L143" s="2"/>
      <c r="M143" s="2"/>
      <c r="N143" s="2"/>
      <c r="O143" s="2"/>
    </row>
    <row r="144" spans="1:15" ht="30" customHeight="1" x14ac:dyDescent="0.45">
      <c r="A144" s="3"/>
      <c r="B144" s="3"/>
      <c r="C144" s="10"/>
      <c r="D144" s="3"/>
      <c r="E144" s="3"/>
      <c r="F144" s="10"/>
      <c r="G144" s="3"/>
      <c r="H144" s="3"/>
      <c r="I144" s="10"/>
      <c r="J144" s="3"/>
      <c r="K144" s="3"/>
      <c r="L144" s="2"/>
      <c r="M144" s="2"/>
      <c r="N144" s="2"/>
      <c r="O144" s="2"/>
    </row>
    <row r="145" spans="1:15" ht="30" customHeight="1" x14ac:dyDescent="0.45">
      <c r="A145" s="3"/>
      <c r="B145" s="3"/>
      <c r="C145" s="10"/>
      <c r="D145" s="3"/>
      <c r="E145" s="3"/>
      <c r="F145" s="10"/>
      <c r="G145" s="3"/>
      <c r="H145" s="3"/>
      <c r="I145" s="10"/>
      <c r="J145" s="3"/>
      <c r="K145" s="3"/>
      <c r="L145" s="2"/>
      <c r="M145" s="2"/>
      <c r="N145" s="2"/>
      <c r="O145" s="2"/>
    </row>
    <row r="146" spans="1:15" ht="13.05" customHeight="1" x14ac:dyDescent="0.45">
      <c r="A146" s="3"/>
      <c r="B146" s="168">
        <f>INPUT!$B$9</f>
      </c>
      <c r="C146" s="153"/>
      <c r="D146" s="153"/>
      <c r="E146" s="153"/>
      <c r="F146" s="168">
        <f>INPUT!$B$12</f>
      </c>
      <c r="G146" s="168"/>
      <c r="H146" s="168"/>
      <c r="I146" s="168">
        <f>INPUT!$B$23</f>
      </c>
      <c r="J146" s="168"/>
      <c r="K146" s="168"/>
      <c r="L146" s="2"/>
      <c r="M146" s="2"/>
      <c r="N146" s="2"/>
      <c r="O146" s="2"/>
    </row>
    <row r="147" spans="1:15" ht="13.05" customHeight="1" x14ac:dyDescent="0.45">
      <c r="A147" s="3"/>
      <c r="B147" s="162">
        <f>INPUT!$B$11</f>
      </c>
      <c r="C147" s="153"/>
      <c r="D147" s="153"/>
      <c r="E147" s="153"/>
      <c r="F147" s="162">
        <f>INPUT!$B$13</f>
      </c>
      <c r="G147" s="162"/>
      <c r="H147" s="162"/>
      <c r="I147" s="162" t="s">
        <v>120</v>
      </c>
      <c r="J147" s="162"/>
      <c r="K147" s="162"/>
      <c r="L147" s="2"/>
      <c r="M147" s="2"/>
      <c r="N147" s="2"/>
      <c r="O147" s="2"/>
    </row>
    <row r="148" spans="1:15" ht="13.05" customHeight="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</row>
    <row r="149" spans="1:15" ht="13.05" customHeight="1" x14ac:dyDescent="0.45">
      <c r="A149" s="8" t="s">
        <v>121</v>
      </c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</row>
    <row r="150" spans="1:15" ht="13.05" customHeight="1" x14ac:dyDescent="0.45">
      <c r="A150" s="3" t="s">
        <v>170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</row>
  </sheetData>
  <mergeCells count="146">
    <mergeCell ref="B25:C25"/>
    <mergeCell ref="A126:J126"/>
    <mergeCell ref="I146:K146"/>
    <mergeCell ref="I147:K147"/>
    <mergeCell ref="B29:C29"/>
    <mergeCell ref="B30:C30"/>
    <mergeCell ref="B31:C31"/>
    <mergeCell ref="B27:C27"/>
    <mergeCell ref="B28:C28"/>
    <mergeCell ref="F141:H141"/>
    <mergeCell ref="F142:H142"/>
    <mergeCell ref="F146:H146"/>
    <mergeCell ref="F147:H147"/>
    <mergeCell ref="A139:K139"/>
    <mergeCell ref="I141:K141"/>
    <mergeCell ref="I142:K142"/>
    <mergeCell ref="B141:E141"/>
    <mergeCell ref="B142:E142"/>
    <mergeCell ref="B146:E146"/>
    <mergeCell ref="B147:E147"/>
    <mergeCell ref="B32:C32"/>
    <mergeCell ref="B33:C33"/>
    <mergeCell ref="B26:C26"/>
    <mergeCell ref="B39:C39"/>
    <mergeCell ref="A1:K1"/>
    <mergeCell ref="A2:K2"/>
    <mergeCell ref="A3:K3"/>
    <mergeCell ref="A5:K5"/>
    <mergeCell ref="A6:K6"/>
    <mergeCell ref="A8:K8"/>
    <mergeCell ref="C10:K10"/>
    <mergeCell ref="C11:K11"/>
    <mergeCell ref="C12:K12"/>
    <mergeCell ref="C13:K13"/>
    <mergeCell ref="C17:K17"/>
    <mergeCell ref="A15:K15"/>
    <mergeCell ref="A21:K21"/>
    <mergeCell ref="F23:I23"/>
    <mergeCell ref="A23:A24"/>
    <mergeCell ref="D23:D24"/>
    <mergeCell ref="E23:E24"/>
    <mergeCell ref="C18:K18"/>
    <mergeCell ref="C19:K19"/>
    <mergeCell ref="B23:C24"/>
    <mergeCell ref="J23:J24"/>
    <mergeCell ref="K23:K24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132:F132"/>
    <mergeCell ref="B133:F133"/>
    <mergeCell ref="B134:F134"/>
    <mergeCell ref="B135:F135"/>
    <mergeCell ref="C137:K137"/>
    <mergeCell ref="B44:C44"/>
    <mergeCell ref="B45:C45"/>
    <mergeCell ref="B129:F129"/>
    <mergeCell ref="B130:F130"/>
    <mergeCell ref="B131:F131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128:K128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22:C122"/>
    <mergeCell ref="B123:C123"/>
    <mergeCell ref="B124:C124"/>
    <mergeCell ref="B125:C125"/>
    <mergeCell ref="B117:C117"/>
    <mergeCell ref="B118:C118"/>
    <mergeCell ref="B119:C119"/>
    <mergeCell ref="B120:C120"/>
    <mergeCell ref="B121:C121"/>
  </mergeCells>
  <printOptions horizontalCentered="1"/>
  <pageMargins left="0.34722222222222221" right="0.34722222222222221" top="0.3888888888888889" bottom="0.3888888888888889" header="0.16666666666666666" footer="0.16666666666666666"/>
  <pageSetup paperSize="9" scale="75" orientation="portrait" r:id="rId1"/>
  <headerFooter>
    <oddFooter>&amp;RHal &amp;P dari &amp;N&amp;L&amp;Z&amp;F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C372-900C-4630-95E5-51B4776CB142}">
  <sheetPr>
    <tabColor rgb="FF1F3864"/>
    <pageSetUpPr fitToPage="1"/>
  </sheetPr>
  <dimension ref="A1:O150"/>
  <sheetViews>
    <sheetView showGridLines="0" showRowColHeaders="0" topLeftCell="A19" zoomScale="80" zoomScaleNormal="80" workbookViewId="0">
      <selection activeCell="G28" sqref="G28"/>
    </sheetView>
  </sheetViews>
  <sheetFormatPr defaultRowHeight="14.25" outlineLevelRow="2" x14ac:dyDescent="0.45"/>
  <cols>
    <col min="1" max="1" width="5" customWidth="1"/>
    <col min="2" max="2" width="19.53125" customWidth="1"/>
    <col min="3" max="3" width="13.33203125" customWidth="1"/>
    <col min="4" max="4" width="11" customWidth="1"/>
    <col min="5" max="5" width="6.73046875" customWidth="1"/>
    <col min="6" max="9" width="10.33203125" customWidth="1"/>
    <col min="10" max="10" width="14.19921875" customWidth="1"/>
    <col min="11" max="11" width="16.33203125" customWidth="1"/>
  </cols>
  <sheetData>
    <row r="1" spans="1:15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2"/>
      <c r="M1" s="2"/>
      <c r="N1" s="90" t="s">
        <v>123</v>
      </c>
      <c r="O1" s="91">
        <v>2</v>
      </c>
    </row>
    <row r="2" spans="1:15" ht="13.05" customHeight="1" x14ac:dyDescent="0.45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2"/>
      <c r="M2" s="2"/>
      <c r="N2" s="90" t="s">
        <v>124</v>
      </c>
      <c r="O2" s="92" cm="1">
        <f t="array" ref="O2">IF(IFERROR(INDEX(INPUT!$B$55:$B$58,$O$1),0)=0,"",INDEX(INPUT!$B$55:$B$58,$O$1))</f>
      </c>
    </row>
    <row r="3" spans="1:15" ht="16.05" customHeight="1" x14ac:dyDescent="0.4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93"/>
      <c r="M3" s="93"/>
      <c r="N3" s="90" t="s">
        <v>125</v>
      </c>
      <c r="O3" s="92">
        <f>IF($O$2="","",TEXT($O$2,"dddd"))</f>
      </c>
    </row>
    <row r="4" spans="1:15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90" t="s">
        <v>126</v>
      </c>
      <c r="O4" s="92">
        <f>IF($O$2="","",IF(DAY($O$2)&lt;20,VLOOKUP(DAY($O$2),HELPER!$A$3:$B$22,2,0),IF(DAY($O$2)&lt;30,TRIM("Dua Puluh "&amp;VLOOKUP(DAY($O$2)-20,HELPER!$A$3:$B$22,2,0)),TRIM("Tiga Puluh "&amp;VLOOKUP(DAY($O$2)-30,HELPER!$A$3:$B$22,2,0)))))</f>
      </c>
    </row>
    <row r="5" spans="1:15" ht="22.05" customHeight="1" x14ac:dyDescent="0.5">
      <c r="A5" s="140" t="s">
        <v>127</v>
      </c>
      <c r="B5" s="140"/>
      <c r="C5" s="125"/>
      <c r="D5" s="125"/>
      <c r="E5" s="125"/>
      <c r="F5" s="125"/>
      <c r="G5" s="125"/>
      <c r="H5" s="125"/>
      <c r="I5" s="125"/>
      <c r="J5" s="125"/>
      <c r="K5" s="125"/>
      <c r="L5" s="2"/>
      <c r="M5" s="2"/>
      <c r="N5" s="90" t="s">
        <v>128</v>
      </c>
      <c r="O5" s="92">
        <f>IF($O$2="","",TEXT($O$2,"mmmm"))</f>
      </c>
    </row>
    <row r="6" spans="1:15" ht="16.05" customHeight="1" x14ac:dyDescent="0.45">
      <c r="A6" s="161" cm="1">
        <f t="array" ref="A6">IF($O$2="","","Nomor : "&amp;INDEX(INPUT!$C$55:$C$58,$O$1))</f>
      </c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2"/>
      <c r="M6" s="2"/>
      <c r="N6" s="90" t="s">
        <v>129</v>
      </c>
      <c r="O6" s="92">
        <f>IF($O$2="","",TRIM(IF(INT(YEAR($O$2)/1000)=1,"Seribu ",IF(INT(YEAR($O$2)/1000)=0,"",IF(INT(INT(YEAR($O$2)/1000)/100)=0,"",IF(INT(INT(YEAR($O$2)/1000)/100)=1,"Seratus ",VLOOKUP(INT(INT(YEAR($O$2)/1000)/100),HELPER!$A$3:$B$22,2,0)&amp;" Ratus "))&amp;IF(MOD(INT(YEAR($O$2)/1000),100)=0,"",IF(MOD(INT(YEAR($O$2)/1000),100)&lt;20,VLOOKUP(MOD(INT(YEAR($O$2)/1000),100),HELPER!$A$3:$B$22,2,0),VLOOKUP(INT(MOD(INT(YEAR($O$2)/1000),100)/10),HELPER!$A$3:$B$22,2,0)&amp;" Puluh "&amp;IF(MOD(INT(YEAR($O$2)/1000),10)=0,"",VLOOKUP(MOD(INT(YEAR($O$2)/1000),10),HELPER!$A$3:$B$22,2,0)))))&amp;" Ribu ")&amp;IF(MOD(YEAR($O$2),1000)=0,"",IF(INT(MOD(YEAR($O$2),1000)/100)=0,"",IF(INT(MOD(YEAR($O$2),1000)/100)=1,"Seratus ",VLOOKUP(INT(MOD(YEAR($O$2),1000)/100),HELPER!$A$3:$B$22,2,0)&amp;" Ratus "))&amp;IF(MOD(MOD(YEAR($O$2),1000),100)=0,"",IF(MOD(MOD(YEAR($O$2),1000),100)&lt;20,VLOOKUP(MOD(MOD(YEAR($O$2),1000),100),HELPER!$A$3:$B$22,2,0),VLOOKUP(INT(MOD(MOD(YEAR($O$2),1000),100)/10),HELPER!$A$3:$B$22,2,0)&amp;" Puluh "&amp;IF(MOD(MOD(YEAR($O$2),1000),10)=0,"",VLOOKUP(MOD(MOD(YEAR($O$2),1000),10),HELPER!$A$3:$B$22,2,0)))))))</f>
      </c>
    </row>
    <row r="7" spans="1:15" ht="13.05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90" t="s">
        <v>130</v>
      </c>
      <c r="O7" s="92">
        <f>IF($O$2="","","Pada hari ini "&amp;$O$3&amp;", tanggal "&amp;$O$4&amp;" bulan "&amp;$O$5&amp;" tahun "&amp;$O$6&amp;" ("&amp;TEXT($O$2,"dd/mm/yyyy")&amp;")")</f>
      </c>
    </row>
    <row r="8" spans="1:15" ht="13.05" customHeight="1" x14ac:dyDescent="0.45">
      <c r="A8" s="153">
        <f>IF($O$7="","",$O$7&amp;", telah diterima alat :")</f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2"/>
      <c r="M8" s="2"/>
      <c r="N8" s="90"/>
      <c r="O8" s="92"/>
    </row>
    <row r="9" spans="1:15" ht="13.0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2"/>
      <c r="M9" s="2"/>
      <c r="N9" s="90" t="s">
        <v>131</v>
      </c>
      <c r="O9" s="92">
        <f>$K$135</f>
      </c>
    </row>
    <row r="10" spans="1:15" ht="13.05" customHeight="1" x14ac:dyDescent="0.45">
      <c r="A10" s="3" t="s">
        <v>132</v>
      </c>
      <c r="B10" s="25" t="s">
        <v>133</v>
      </c>
      <c r="C10" s="130">
        <f>": "&amp;UPPER(INPUT!$B$24)</f>
      </c>
      <c r="D10" s="121"/>
      <c r="E10" s="121"/>
      <c r="F10" s="121"/>
      <c r="G10" s="121"/>
      <c r="H10" s="121"/>
      <c r="I10" s="121"/>
      <c r="J10" s="121"/>
      <c r="K10" s="121"/>
      <c r="L10" s="2"/>
      <c r="M10" s="2"/>
      <c r="N10" s="90" t="s">
        <v>134</v>
      </c>
      <c r="O10" s="92">
        <f>INT(ROUND($O$9,0)/1000000000)</f>
      </c>
    </row>
    <row r="11" spans="1:15" ht="13.05" customHeight="1" x14ac:dyDescent="0.45">
      <c r="A11" s="3"/>
      <c r="B11" s="3"/>
      <c r="C11" s="130">
        <f>"Sebagai Pihak Kedua"</f>
      </c>
      <c r="D11" s="121"/>
      <c r="E11" s="121"/>
      <c r="F11" s="121"/>
      <c r="G11" s="121"/>
      <c r="H11" s="121"/>
      <c r="I11" s="121"/>
      <c r="J11" s="121"/>
      <c r="K11" s="121"/>
      <c r="L11" s="2"/>
      <c r="M11" s="2"/>
      <c r="N11" s="90" t="s">
        <v>135</v>
      </c>
      <c r="O11" s="92">
        <f>MOD(INT(ROUND($O$9,0)/1000000),1000)</f>
      </c>
    </row>
    <row r="12" spans="1:15" ht="24" customHeight="1" x14ac:dyDescent="0.45">
      <c r="A12" s="24" t="s">
        <v>136</v>
      </c>
      <c r="B12" s="51" t="s">
        <v>137</v>
      </c>
      <c r="C12" s="130">
        <f>": "&amp;UPPER(INPUT!$B$6)&amp;" Proyek Pekerjaan "&amp;INPUT!$B$5</f>
      </c>
      <c r="D12" s="121"/>
      <c r="E12" s="121"/>
      <c r="F12" s="121"/>
      <c r="G12" s="121"/>
      <c r="H12" s="121"/>
      <c r="I12" s="121"/>
      <c r="J12" s="121"/>
      <c r="K12" s="121"/>
      <c r="L12" s="2"/>
      <c r="M12" s="2"/>
      <c r="N12" s="90" t="s">
        <v>138</v>
      </c>
      <c r="O12" s="92">
        <f>MOD(INT(ROUND($O$9,0)/1000),1000)</f>
      </c>
    </row>
    <row r="13" spans="1:15" ht="13.05" customHeight="1" x14ac:dyDescent="0.45">
      <c r="A13" s="3"/>
      <c r="B13" s="3"/>
      <c r="C13" s="130">
        <f>"Sebagai Pihak Pertama"</f>
      </c>
      <c r="D13" s="121"/>
      <c r="E13" s="121"/>
      <c r="F13" s="121"/>
      <c r="G13" s="121"/>
      <c r="H13" s="121"/>
      <c r="I13" s="121"/>
      <c r="J13" s="121"/>
      <c r="K13" s="121"/>
      <c r="L13" s="2"/>
      <c r="M13" s="2"/>
      <c r="N13" s="90" t="s">
        <v>139</v>
      </c>
      <c r="O13" s="92">
        <f>MOD(ROUND($O$9,0),1000)</f>
      </c>
    </row>
    <row r="14" spans="1:15" ht="13.0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2"/>
      <c r="M14" s="2"/>
      <c r="N14" s="90" t="s">
        <v>105</v>
      </c>
      <c r="O14" s="92">
        <f>IF(ROUND($O$9,0)=0,"== Nol Rupiah ==","== "&amp;TRIM(IF($O$10=0,"",IF($O$10=0,"",IF(INT($O$10/100)=0,"",IF(INT($O$10/100)=1,"Seratus ",VLOOKUP(INT($O$10/100),HELPER!$A$3:$B$22,2,0)&amp;" Ratus "))&amp;IF(MOD($O$10,100)=0,"",IF(MOD($O$10,100)&lt;20,VLOOKUP(MOD($O$10,100),HELPER!$A$3:$B$22,2,0),VLOOKUP(INT(MOD($O$10,100)/10),HELPER!$A$3:$B$22,2,0)&amp;" Puluh "&amp;IF(MOD($O$10,10)=0,"",VLOOKUP(MOD($O$10,10),HELPER!$A$3:$B$22,2,0)))))&amp;" Miliar ")&amp;IF($O$11=0,"",IF($O$11=1,"Satu Juta ",IF($O$11=0,"",IF(INT($O$11/100)=0,"",IF(INT($O$11/100)=1,"Seratus ",VLOOKUP(INT($O$11/100),HELPER!$A$3:$B$22,2,0)&amp;" Ratus "))&amp;IF(MOD($O$11,100)=0,"",IF(MOD($O$11,100)&lt;20,VLOOKUP(MOD($O$11,100),HELPER!$A$3:$B$22,2,0),VLOOKUP(INT(MOD($O$11,100)/10),HELPER!$A$3:$B$22,2,0)&amp;" Puluh "&amp;IF(MOD($O$11,10)=0,"",VLOOKUP(MOD($O$11,10),HELPER!$A$3:$B$22,2,0)))))&amp;" Juta "))&amp;IF($O$12=0,"",IF($O$12=1,"Seribu ",IF($O$12=0,"",IF(INT($O$12/100)=0,"",IF(INT($O$12/100)=1,"Seratus ",VLOOKUP(INT($O$12/100),HELPER!$A$3:$B$22,2,0)&amp;" Ratus "))&amp;IF(MOD($O$12,100)=0,"",IF(MOD($O$12,100)&lt;20,VLOOKUP(MOD($O$12,100),HELPER!$A$3:$B$22,2,0),VLOOKUP(INT(MOD($O$12,100)/10),HELPER!$A$3:$B$22,2,0)&amp;" Puluh "&amp;IF(MOD($O$12,10)=0,"",VLOOKUP(MOD($O$12,10),HELPER!$A$3:$B$22,2,0)))))&amp;" Ribu "))&amp;IF($O$13=0,"",IF(INT($O$13/100)=0,"",IF(INT($O$13/100)=1,"Seratus ",VLOOKUP(INT($O$13/100),HELPER!$A$3:$B$22,2,0)&amp;" Ratus "))&amp;IF(MOD($O$13,100)=0,"",IF(MOD($O$13,100)&lt;20,VLOOKUP(MOD($O$13,100),HELPER!$A$3:$B$22,2,0),VLOOKUP(INT(MOD($O$13,100)/10),HELPER!$A$3:$B$22,2,0)&amp;" Puluh "&amp;IF(MOD($O$13,10)=0,"",VLOOKUP(MOD($O$13,10),HELPER!$A$3:$B$22,2,0))))))&amp;" Rupiah ==")</f>
      </c>
    </row>
    <row r="15" spans="1:15" ht="13.05" customHeight="1" x14ac:dyDescent="0.45">
      <c r="A15" s="153" t="s">
        <v>140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2"/>
      <c r="M15" s="2"/>
      <c r="N15" s="2"/>
      <c r="O15" s="2"/>
    </row>
    <row r="16" spans="1:15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</row>
    <row r="17" spans="1:15" ht="13.05" customHeight="1" x14ac:dyDescent="0.45">
      <c r="A17" s="26">
        <v>1</v>
      </c>
      <c r="B17" s="52" t="s">
        <v>141</v>
      </c>
      <c r="C17" s="130">
        <f>": "&amp;INPUT!$B$35&amp;"     Tanggal : "&amp;TEXT(INPUT!$B$36,"dd mmmm yyyy")</f>
      </c>
      <c r="D17" s="121"/>
      <c r="E17" s="121"/>
      <c r="F17" s="121"/>
      <c r="G17" s="121"/>
      <c r="H17" s="121"/>
      <c r="I17" s="121"/>
      <c r="J17" s="121"/>
      <c r="K17" s="121"/>
      <c r="L17" s="2"/>
      <c r="M17" s="2"/>
      <c r="N17" s="2"/>
      <c r="O17" s="2"/>
    </row>
    <row r="18" spans="1:15" ht="13.05" customHeight="1" x14ac:dyDescent="0.45">
      <c r="A18" s="26">
        <v>2</v>
      </c>
      <c r="B18" s="52" t="s">
        <v>142</v>
      </c>
      <c r="C18" s="130">
        <f>": Rp "&amp;HELPER!$I$28&amp;" (Exclude PPN)"</f>
      </c>
      <c r="D18" s="121"/>
      <c r="E18" s="121"/>
      <c r="F18" s="121"/>
      <c r="G18" s="121"/>
      <c r="H18" s="121"/>
      <c r="I18" s="121"/>
      <c r="J18" s="121"/>
      <c r="K18" s="121"/>
      <c r="L18" s="2"/>
      <c r="M18" s="2"/>
      <c r="N18" s="2"/>
      <c r="O18" s="2"/>
    </row>
    <row r="19" spans="1:15" ht="13.05" customHeight="1" x14ac:dyDescent="0.45">
      <c r="A19" s="26">
        <v>3</v>
      </c>
      <c r="B19" s="52" t="s">
        <v>143</v>
      </c>
      <c r="C19" s="130">
        <f>": "&amp;TEXT(INPUT!$B$36,"dd mmmm yyyy")&amp;" s/d "&amp;TEXT(INPUT!$B$37,"dd mmmm yyyy")</f>
      </c>
      <c r="D19" s="121"/>
      <c r="E19" s="121"/>
      <c r="F19" s="121"/>
      <c r="G19" s="121"/>
      <c r="H19" s="121"/>
      <c r="I19" s="121"/>
      <c r="J19" s="121"/>
      <c r="K19" s="121"/>
      <c r="L19" s="2"/>
      <c r="M19" s="2"/>
      <c r="N19" s="2"/>
      <c r="O19" s="2"/>
    </row>
    <row r="20" spans="1:15" ht="13.05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2"/>
      <c r="M20" s="2"/>
      <c r="N20" s="2"/>
      <c r="O20" s="2"/>
    </row>
    <row r="21" spans="1:15" ht="13.05" customHeight="1" x14ac:dyDescent="0.45">
      <c r="A21" s="153" t="s">
        <v>144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2"/>
      <c r="M21" s="2"/>
      <c r="N21" s="2"/>
      <c r="O21" s="2"/>
    </row>
    <row r="22" spans="1:15" ht="13.05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2"/>
      <c r="M22" s="2"/>
      <c r="N22" s="2"/>
      <c r="O22" s="2"/>
    </row>
    <row r="23" spans="1:15" ht="26" customHeight="1" x14ac:dyDescent="0.45">
      <c r="A23" s="155" t="s">
        <v>73</v>
      </c>
      <c r="B23" s="144" t="s">
        <v>145</v>
      </c>
      <c r="C23" s="145"/>
      <c r="D23" s="155" t="s">
        <v>76</v>
      </c>
      <c r="E23" s="155" t="s">
        <v>146</v>
      </c>
      <c r="F23" s="154" t="s">
        <v>147</v>
      </c>
      <c r="G23" s="154"/>
      <c r="H23" s="154"/>
      <c r="I23" s="154"/>
      <c r="J23" s="155" t="s">
        <v>148</v>
      </c>
      <c r="K23" s="155" t="s">
        <v>78</v>
      </c>
      <c r="L23" s="2"/>
      <c r="M23" s="2"/>
      <c r="N23" s="2"/>
      <c r="O23" s="2"/>
    </row>
    <row r="24" spans="1:15" ht="24" customHeight="1" x14ac:dyDescent="0.45">
      <c r="A24" s="156"/>
      <c r="B24" s="157"/>
      <c r="C24" s="158"/>
      <c r="D24" s="156"/>
      <c r="E24" s="156"/>
      <c r="F24" s="12" t="s">
        <v>149</v>
      </c>
      <c r="G24" s="12" t="s">
        <v>150</v>
      </c>
      <c r="H24" s="12" t="s">
        <v>151</v>
      </c>
      <c r="I24" s="12" t="s">
        <v>152</v>
      </c>
      <c r="J24" s="156"/>
      <c r="K24" s="156"/>
      <c r="L24" s="2"/>
      <c r="M24" s="2"/>
      <c r="N24" s="2"/>
      <c r="O24" s="2"/>
    </row>
    <row r="25" spans="1:15" ht="12" customHeight="1" x14ac:dyDescent="0.45">
      <c r="A25" s="21">
        <v>1</v>
      </c>
      <c r="B25" s="163">
        <v>2</v>
      </c>
      <c r="C25" s="164"/>
      <c r="D25" s="21">
        <v>3</v>
      </c>
      <c r="E25" s="21">
        <v>4</v>
      </c>
      <c r="F25" s="21">
        <v>5</v>
      </c>
      <c r="G25" s="21">
        <v>6</v>
      </c>
      <c r="H25" s="21" t="s">
        <v>153</v>
      </c>
      <c r="I25" s="21" t="s">
        <v>154</v>
      </c>
      <c r="J25" s="21">
        <v>9</v>
      </c>
      <c r="K25" s="21" t="s">
        <v>155</v>
      </c>
      <c r="L25" s="2"/>
      <c r="M25" s="2"/>
      <c r="N25" s="2"/>
      <c r="O25" s="2"/>
    </row>
    <row r="26" spans="1:15" ht="13.05" customHeight="1" x14ac:dyDescent="0.45">
      <c r="A26" s="4">
        <f>IF(ITEM!$B4="","",ITEM!$A4)</f>
      </c>
      <c r="B26" s="118">
        <f>IF(ITEM!$B4="","",ITEM!$B4)</f>
      </c>
      <c r="C26" s="119"/>
      <c r="D26" s="13">
        <f>IF(ITEM!$B4="","",ITEM!$D4)</f>
      </c>
      <c r="E26" s="5">
        <f>IF(ITEM!$B4="","",ITEM!$C4)</f>
      </c>
      <c r="F26" s="13" cm="1">
        <f t="array" ref="F26">IF(ITEM!$B4="","",SUMPRODUCT((COLUMN(ITEM!$G4:$J4)-COLUMN(ITEM!$G4)+1&lt;$O$1)*ITEM!$G4:$J4))</f>
      </c>
      <c r="G26" s="13" cm="1">
        <f t="array" ref="G26">IF(ITEM!$B4="","",INDEX(ITEM!$G4:$J4,1,$O$1))</f>
      </c>
      <c r="H26" s="13">
        <f>IF(ITEM!$B4="","",$F26+$G26)</f>
      </c>
      <c r="I26" s="13">
        <f>IF(ITEM!$B4="","",$D26-$H26)</f>
      </c>
      <c r="J26" s="6">
        <f>IF(ITEM!$B4="","",ITEM!$E4)</f>
      </c>
      <c r="K26" s="6">
        <f>IF(ITEM!$B4="","",$G26*$J26)</f>
      </c>
      <c r="L26" s="2"/>
      <c r="M26" s="2"/>
      <c r="N26" s="2"/>
      <c r="O26" s="2"/>
    </row>
    <row r="27" spans="1:15" ht="13.05" customHeight="1" x14ac:dyDescent="0.45">
      <c r="A27" s="4">
        <f>IF(ITEM!$B5="","",ITEM!$A5)</f>
      </c>
      <c r="B27" s="118">
        <f>IF(ITEM!$B5="","",ITEM!$B5)</f>
      </c>
      <c r="C27" s="119"/>
      <c r="D27" s="13">
        <f>IF(ITEM!$B5="","",ITEM!$D5)</f>
      </c>
      <c r="E27" s="5">
        <f>IF(ITEM!$B5="","",ITEM!$C5)</f>
      </c>
      <c r="F27" s="13" cm="1">
        <f t="array" ref="F27">IF(ITEM!$B5="","",SUMPRODUCT((COLUMN(ITEM!$G5:$J5)-COLUMN(ITEM!$G5)+1&lt;$O$1)*ITEM!$G5:$J5))</f>
      </c>
      <c r="G27" s="13" cm="1">
        <f t="array" ref="G27">IF(ITEM!$B5="","",INDEX(ITEM!$G5:$J5,1,$O$1))</f>
      </c>
      <c r="H27" s="13">
        <f>IF(ITEM!$B5="","",$F27+$G27)</f>
      </c>
      <c r="I27" s="13">
        <f>IF(ITEM!$B5="","",$D27-$H27)</f>
      </c>
      <c r="J27" s="6">
        <f>IF(ITEM!$B5="","",ITEM!$E5)</f>
      </c>
      <c r="K27" s="6">
        <f>IF(ITEM!$B5="","",$G27*$J27)</f>
      </c>
      <c r="L27" s="2"/>
      <c r="M27" s="2"/>
      <c r="N27" s="2"/>
      <c r="O27" s="2"/>
    </row>
    <row r="28" spans="1:15" ht="13.05" customHeight="1" x14ac:dyDescent="0.45">
      <c r="A28" s="4">
        <f>IF(ITEM!$B6="","",ITEM!$A6)</f>
      </c>
      <c r="B28" s="118">
        <f>IF(ITEM!$B6="","",ITEM!$B6)</f>
      </c>
      <c r="C28" s="119"/>
      <c r="D28" s="13">
        <f>IF(ITEM!$B6="","",ITEM!$D6)</f>
      </c>
      <c r="E28" s="5">
        <f>IF(ITEM!$B6="","",ITEM!$C6)</f>
      </c>
      <c r="F28" s="13" cm="1">
        <f t="array" ref="F28">IF(ITEM!$B6="","",SUMPRODUCT((COLUMN(ITEM!$G6:$J6)-COLUMN(ITEM!$G6)+1&lt;$O$1)*ITEM!$G6:$J6))</f>
      </c>
      <c r="G28" s="13" cm="1">
        <f t="array" ref="G28">IF(ITEM!$B6="","",INDEX(ITEM!$G6:$J6,1,$O$1))</f>
      </c>
      <c r="H28" s="13">
        <f>IF(ITEM!$B6="","",$F28+$G28)</f>
      </c>
      <c r="I28" s="13">
        <f>IF(ITEM!$B6="","",$D28-$H28)</f>
      </c>
      <c r="J28" s="6">
        <f>IF(ITEM!$B6="","",ITEM!$E6)</f>
      </c>
      <c r="K28" s="6">
        <f>IF(ITEM!$B6="","",$G28*$J28)</f>
      </c>
      <c r="L28" s="2"/>
      <c r="M28" s="2"/>
      <c r="N28" s="2"/>
      <c r="O28" s="2"/>
    </row>
    <row r="29" spans="1:15" ht="13.05" customHeight="1" x14ac:dyDescent="0.45">
      <c r="A29" s="4">
        <f>IF(ITEM!$B7="","",ITEM!$A7)</f>
      </c>
      <c r="B29" s="118">
        <f>IF(ITEM!$B7="","",ITEM!$B7)</f>
      </c>
      <c r="C29" s="119"/>
      <c r="D29" s="13">
        <f>IF(ITEM!$B7="","",ITEM!$D7)</f>
      </c>
      <c r="E29" s="5">
        <f>IF(ITEM!$B7="","",ITEM!$C7)</f>
      </c>
      <c r="F29" s="13" cm="1">
        <f t="array" ref="F29">IF(ITEM!$B7="","",SUMPRODUCT((COLUMN(ITEM!$G7:$J7)-COLUMN(ITEM!$G7)+1&lt;$O$1)*ITEM!$G7:$J7))</f>
      </c>
      <c r="G29" s="13" cm="1">
        <f t="array" ref="G29">IF(ITEM!$B7="","",INDEX(ITEM!$G7:$J7,1,$O$1))</f>
      </c>
      <c r="H29" s="13">
        <f>IF(ITEM!$B7="","",$F29+$G29)</f>
      </c>
      <c r="I29" s="13">
        <f>IF(ITEM!$B7="","",$D29-$H29)</f>
      </c>
      <c r="J29" s="6">
        <f>IF(ITEM!$B7="","",ITEM!$E7)</f>
      </c>
      <c r="K29" s="6">
        <f>IF(ITEM!$B7="","",$G29*$J29)</f>
      </c>
      <c r="L29" s="2"/>
      <c r="M29" s="2"/>
      <c r="N29" s="2"/>
      <c r="O29" s="2"/>
    </row>
    <row r="30" spans="1:15" ht="13.05" customHeight="1" x14ac:dyDescent="0.45">
      <c r="A30" s="4">
        <f>IF(ITEM!$B8="","",ITEM!$A8)</f>
      </c>
      <c r="B30" s="118">
        <f>IF(ITEM!$B8="","",ITEM!$B8)</f>
      </c>
      <c r="C30" s="119"/>
      <c r="D30" s="13">
        <f>IF(ITEM!$B8="","",ITEM!$D8)</f>
      </c>
      <c r="E30" s="5">
        <f>IF(ITEM!$B8="","",ITEM!$C8)</f>
      </c>
      <c r="F30" s="13" cm="1">
        <f t="array" ref="F30">IF(ITEM!$B8="","",SUMPRODUCT((COLUMN(ITEM!$G8:$J8)-COLUMN(ITEM!$G8)+1&lt;$O$1)*ITEM!$G8:$J8))</f>
      </c>
      <c r="G30" s="13" cm="1">
        <f t="array" ref="G30">IF(ITEM!$B8="","",INDEX(ITEM!$G8:$J8,1,$O$1))</f>
      </c>
      <c r="H30" s="13">
        <f>IF(ITEM!$B8="","",$F30+$G30)</f>
      </c>
      <c r="I30" s="13">
        <f>IF(ITEM!$B8="","",$D30-$H30)</f>
      </c>
      <c r="J30" s="6">
        <f>IF(ITEM!$B8="","",ITEM!$E8)</f>
      </c>
      <c r="K30" s="6">
        <f>IF(ITEM!$B8="","",$G30*$J30)</f>
      </c>
      <c r="L30" s="2"/>
      <c r="M30" s="2"/>
      <c r="N30" s="2"/>
      <c r="O30" s="2"/>
    </row>
    <row r="31" spans="1:15" ht="13.05" customHeight="1" x14ac:dyDescent="0.45">
      <c r="A31" s="4">
        <f>IF(ITEM!$B9="","",ITEM!$A9)</f>
      </c>
      <c r="B31" s="118">
        <f>IF(ITEM!$B9="","",ITEM!$B9)</f>
      </c>
      <c r="C31" s="119"/>
      <c r="D31" s="13">
        <f>IF(ITEM!$B9="","",ITEM!$D9)</f>
      </c>
      <c r="E31" s="5">
        <f>IF(ITEM!$B9="","",ITEM!$C9)</f>
      </c>
      <c r="F31" s="13" cm="1">
        <f t="array" ref="F31">IF(ITEM!$B9="","",SUMPRODUCT((COLUMN(ITEM!$G9:$J9)-COLUMN(ITEM!$G9)+1&lt;$O$1)*ITEM!$G9:$J9))</f>
      </c>
      <c r="G31" s="13" cm="1">
        <f t="array" ref="G31">IF(ITEM!$B9="","",INDEX(ITEM!$G9:$J9,1,$O$1))</f>
      </c>
      <c r="H31" s="13">
        <f>IF(ITEM!$B9="","",$F31+$G31)</f>
      </c>
      <c r="I31" s="13">
        <f>IF(ITEM!$B9="","",$D31-$H31)</f>
      </c>
      <c r="J31" s="6">
        <f>IF(ITEM!$B9="","",ITEM!$E9)</f>
      </c>
      <c r="K31" s="6">
        <f>IF(ITEM!$B9="","",$G31*$J31)</f>
      </c>
      <c r="L31" s="2"/>
      <c r="M31" s="2"/>
      <c r="N31" s="2"/>
      <c r="O31" s="2"/>
    </row>
    <row r="32" spans="1:15" ht="13.05" customHeight="1" x14ac:dyDescent="0.45">
      <c r="A32" s="4">
        <f>IF(ITEM!$B10="","",ITEM!$A10)</f>
      </c>
      <c r="B32" s="118">
        <f>IF(ITEM!$B10="","",ITEM!$B10)</f>
      </c>
      <c r="C32" s="119"/>
      <c r="D32" s="13">
        <f>IF(ITEM!$B10="","",ITEM!$D10)</f>
      </c>
      <c r="E32" s="5">
        <f>IF(ITEM!$B10="","",ITEM!$C10)</f>
      </c>
      <c r="F32" s="13" cm="1">
        <f t="array" ref="F32">IF(ITEM!$B10="","",SUMPRODUCT((COLUMN(ITEM!$G10:$J10)-COLUMN(ITEM!$G10)+1&lt;$O$1)*ITEM!$G10:$J10))</f>
      </c>
      <c r="G32" s="13" cm="1">
        <f t="array" ref="G32">IF(ITEM!$B10="","",INDEX(ITEM!$G10:$J10,1,$O$1))</f>
      </c>
      <c r="H32" s="13">
        <f>IF(ITEM!$B10="","",$F32+$G32)</f>
      </c>
      <c r="I32" s="13">
        <f>IF(ITEM!$B10="","",$D32-$H32)</f>
      </c>
      <c r="J32" s="6">
        <f>IF(ITEM!$B10="","",ITEM!$E10)</f>
      </c>
      <c r="K32" s="6">
        <f>IF(ITEM!$B10="","",$G32*$J32)</f>
      </c>
      <c r="L32" s="2"/>
      <c r="M32" s="2"/>
      <c r="N32" s="2"/>
      <c r="O32" s="2"/>
    </row>
    <row r="33" spans="1:15" ht="13.05" customHeight="1" x14ac:dyDescent="0.45">
      <c r="A33" s="4">
        <f>IF(ITEM!$B11="","",ITEM!$A11)</f>
      </c>
      <c r="B33" s="118">
        <f>IF(ITEM!$B11="","",ITEM!$B11)</f>
      </c>
      <c r="C33" s="119"/>
      <c r="D33" s="13">
        <f>IF(ITEM!$B11="","",ITEM!$D11)</f>
      </c>
      <c r="E33" s="5">
        <f>IF(ITEM!$B11="","",ITEM!$C11)</f>
      </c>
      <c r="F33" s="13" cm="1">
        <f t="array" ref="F33">IF(ITEM!$B11="","",SUMPRODUCT((COLUMN(ITEM!$G11:$J11)-COLUMN(ITEM!$G11)+1&lt;$O$1)*ITEM!$G11:$J11))</f>
      </c>
      <c r="G33" s="13" cm="1">
        <f t="array" ref="G33">IF(ITEM!$B11="","",INDEX(ITEM!$G11:$J11,1,$O$1))</f>
      </c>
      <c r="H33" s="13">
        <f>IF(ITEM!$B11="","",$F33+$G33)</f>
      </c>
      <c r="I33" s="13">
        <f>IF(ITEM!$B11="","",$D33-$H33)</f>
      </c>
      <c r="J33" s="6">
        <f>IF(ITEM!$B11="","",ITEM!$E11)</f>
      </c>
      <c r="K33" s="6">
        <f>IF(ITEM!$B11="","",$G33*$J33)</f>
      </c>
      <c r="L33" s="2"/>
      <c r="M33" s="2"/>
      <c r="N33" s="2"/>
      <c r="O33" s="2"/>
    </row>
    <row r="34" spans="1:15" ht="13.05" customHeight="1" outlineLevel="1" x14ac:dyDescent="0.45">
      <c r="A34" s="4">
        <f>IF(ITEM!$B12="","",ITEM!$A12)</f>
      </c>
      <c r="B34" s="118">
        <f>IF(ITEM!$B12="","",ITEM!$B12)</f>
      </c>
      <c r="C34" s="119"/>
      <c r="D34" s="13">
        <f>IF(ITEM!$B12="","",ITEM!$D12)</f>
      </c>
      <c r="E34" s="5">
        <f>IF(ITEM!$B12="","",ITEM!$C12)</f>
      </c>
      <c r="F34" s="13" cm="1">
        <f t="array" ref="F34">IF(ITEM!$B12="","",SUMPRODUCT((COLUMN(ITEM!$G12:$J12)-COLUMN(ITEM!$G12)+1&lt;$O$1)*ITEM!$G12:$J12))</f>
      </c>
      <c r="G34" s="13" cm="1">
        <f t="array" ref="G34">IF(ITEM!$B12="","",INDEX(ITEM!$G12:$J12,1,$O$1))</f>
      </c>
      <c r="H34" s="13">
        <f>IF(ITEM!$B12="","",$F34+$G34)</f>
      </c>
      <c r="I34" s="13">
        <f>IF(ITEM!$B12="","",$D34-$H34)</f>
      </c>
      <c r="J34" s="6">
        <f>IF(ITEM!$B12="","",ITEM!$E12)</f>
      </c>
      <c r="K34" s="6">
        <f>IF(ITEM!$B12="","",$G34*$J34)</f>
      </c>
      <c r="L34" s="2"/>
      <c r="M34" s="2"/>
      <c r="N34" s="2"/>
      <c r="O34" s="2"/>
    </row>
    <row r="35" spans="1:15" ht="13.05" customHeight="1" outlineLevel="1" x14ac:dyDescent="0.45">
      <c r="A35" s="4">
        <f>IF(ITEM!$B13="","",ITEM!$A13)</f>
      </c>
      <c r="B35" s="118">
        <f>IF(ITEM!$B13="","",ITEM!$B13)</f>
      </c>
      <c r="C35" s="119"/>
      <c r="D35" s="13">
        <f>IF(ITEM!$B13="","",ITEM!$D13)</f>
      </c>
      <c r="E35" s="5">
        <f>IF(ITEM!$B13="","",ITEM!$C13)</f>
      </c>
      <c r="F35" s="13" cm="1">
        <f t="array" ref="F35">IF(ITEM!$B13="","",SUMPRODUCT((COLUMN(ITEM!$G13:$J13)-COLUMN(ITEM!$G13)+1&lt;$O$1)*ITEM!$G13:$J13))</f>
      </c>
      <c r="G35" s="13" cm="1">
        <f t="array" ref="G35">IF(ITEM!$B13="","",INDEX(ITEM!$G13:$J13,1,$O$1))</f>
      </c>
      <c r="H35" s="13">
        <f>IF(ITEM!$B13="","",$F35+$G35)</f>
      </c>
      <c r="I35" s="13">
        <f>IF(ITEM!$B13="","",$D35-$H35)</f>
      </c>
      <c r="J35" s="6">
        <f>IF(ITEM!$B13="","",ITEM!$E13)</f>
      </c>
      <c r="K35" s="6">
        <f>IF(ITEM!$B13="","",$G35*$J35)</f>
      </c>
      <c r="L35" s="2"/>
      <c r="M35" s="2"/>
      <c r="N35" s="2"/>
      <c r="O35" s="2"/>
    </row>
    <row r="36" spans="1:15" ht="13.05" customHeight="1" outlineLevel="1" x14ac:dyDescent="0.45">
      <c r="A36" s="4">
        <f>IF(ITEM!$B14="","",ITEM!$A14)</f>
      </c>
      <c r="B36" s="118">
        <f>IF(ITEM!$B14="","",ITEM!$B14)</f>
      </c>
      <c r="C36" s="119"/>
      <c r="D36" s="13">
        <f>IF(ITEM!$B14="","",ITEM!$D14)</f>
      </c>
      <c r="E36" s="5">
        <f>IF(ITEM!$B14="","",ITEM!$C14)</f>
      </c>
      <c r="F36" s="13" cm="1">
        <f t="array" ref="F36">IF(ITEM!$B14="","",SUMPRODUCT((COLUMN(ITEM!$G14:$J14)-COLUMN(ITEM!$G14)+1&lt;$O$1)*ITEM!$G14:$J14))</f>
      </c>
      <c r="G36" s="13" cm="1">
        <f t="array" ref="G36">IF(ITEM!$B14="","",INDEX(ITEM!$G14:$J14,1,$O$1))</f>
      </c>
      <c r="H36" s="13">
        <f>IF(ITEM!$B14="","",$F36+$G36)</f>
      </c>
      <c r="I36" s="13">
        <f>IF(ITEM!$B14="","",$D36-$H36)</f>
      </c>
      <c r="J36" s="6">
        <f>IF(ITEM!$B14="","",ITEM!$E14)</f>
      </c>
      <c r="K36" s="6">
        <f>IF(ITEM!$B14="","",$G36*$J36)</f>
      </c>
      <c r="L36" s="2"/>
      <c r="M36" s="2"/>
      <c r="N36" s="2"/>
      <c r="O36" s="2"/>
    </row>
    <row r="37" spans="1:15" ht="13.05" customHeight="1" outlineLevel="1" x14ac:dyDescent="0.45">
      <c r="A37" s="4">
        <f>IF(ITEM!$B15="","",ITEM!$A15)</f>
      </c>
      <c r="B37" s="118">
        <f>IF(ITEM!$B15="","",ITEM!$B15)</f>
      </c>
      <c r="C37" s="119"/>
      <c r="D37" s="13">
        <f>IF(ITEM!$B15="","",ITEM!$D15)</f>
      </c>
      <c r="E37" s="5">
        <f>IF(ITEM!$B15="","",ITEM!$C15)</f>
      </c>
      <c r="F37" s="13" cm="1">
        <f t="array" ref="F37">IF(ITEM!$B15="","",SUMPRODUCT((COLUMN(ITEM!$G15:$J15)-COLUMN(ITEM!$G15)+1&lt;$O$1)*ITEM!$G15:$J15))</f>
      </c>
      <c r="G37" s="13" cm="1">
        <f t="array" ref="G37">IF(ITEM!$B15="","",INDEX(ITEM!$G15:$J15,1,$O$1))</f>
      </c>
      <c r="H37" s="13">
        <f>IF(ITEM!$B15="","",$F37+$G37)</f>
      </c>
      <c r="I37" s="13">
        <f>IF(ITEM!$B15="","",$D37-$H37)</f>
      </c>
      <c r="J37" s="6">
        <f>IF(ITEM!$B15="","",ITEM!$E15)</f>
      </c>
      <c r="K37" s="6">
        <f>IF(ITEM!$B15="","",$G37*$J37)</f>
      </c>
      <c r="L37" s="2"/>
      <c r="M37" s="2"/>
      <c r="N37" s="2"/>
      <c r="O37" s="2"/>
    </row>
    <row r="38" spans="1:15" ht="13.05" customHeight="1" outlineLevel="1" x14ac:dyDescent="0.45">
      <c r="A38" s="4">
        <f>IF(ITEM!$B16="","",ITEM!$A16)</f>
      </c>
      <c r="B38" s="118">
        <f>IF(ITEM!$B16="","",ITEM!$B16)</f>
      </c>
      <c r="C38" s="119"/>
      <c r="D38" s="13">
        <f>IF(ITEM!$B16="","",ITEM!$D16)</f>
      </c>
      <c r="E38" s="5">
        <f>IF(ITEM!$B16="","",ITEM!$C16)</f>
      </c>
      <c r="F38" s="13" cm="1">
        <f t="array" ref="F38">IF(ITEM!$B16="","",SUMPRODUCT((COLUMN(ITEM!$G16:$J16)-COLUMN(ITEM!$G16)+1&lt;$O$1)*ITEM!$G16:$J16))</f>
      </c>
      <c r="G38" s="13" cm="1">
        <f t="array" ref="G38">IF(ITEM!$B16="","",INDEX(ITEM!$G16:$J16,1,$O$1))</f>
      </c>
      <c r="H38" s="13">
        <f>IF(ITEM!$B16="","",$F38+$G38)</f>
      </c>
      <c r="I38" s="13">
        <f>IF(ITEM!$B16="","",$D38-$H38)</f>
      </c>
      <c r="J38" s="6">
        <f>IF(ITEM!$B16="","",ITEM!$E16)</f>
      </c>
      <c r="K38" s="6">
        <f>IF(ITEM!$B16="","",$G38*$J38)</f>
      </c>
      <c r="L38" s="2"/>
      <c r="M38" s="2"/>
      <c r="N38" s="2"/>
      <c r="O38" s="2"/>
    </row>
    <row r="39" spans="1:15" ht="13.05" customHeight="1" outlineLevel="1" x14ac:dyDescent="0.45">
      <c r="A39" s="4">
        <f>IF(ITEM!$B17="","",ITEM!$A17)</f>
      </c>
      <c r="B39" s="118">
        <f>IF(ITEM!$B17="","",ITEM!$B17)</f>
      </c>
      <c r="C39" s="119"/>
      <c r="D39" s="13">
        <f>IF(ITEM!$B17="","",ITEM!$D17)</f>
      </c>
      <c r="E39" s="5">
        <f>IF(ITEM!$B17="","",ITEM!$C17)</f>
      </c>
      <c r="F39" s="13" cm="1">
        <f t="array" ref="F39">IF(ITEM!$B17="","",SUMPRODUCT((COLUMN(ITEM!$G17:$J17)-COLUMN(ITEM!$G17)+1&lt;$O$1)*ITEM!$G17:$J17))</f>
      </c>
      <c r="G39" s="13" cm="1">
        <f t="array" ref="G39">IF(ITEM!$B17="","",INDEX(ITEM!$G17:$J17,1,$O$1))</f>
      </c>
      <c r="H39" s="13">
        <f>IF(ITEM!$B17="","",$F39+$G39)</f>
      </c>
      <c r="I39" s="13">
        <f>IF(ITEM!$B17="","",$D39-$H39)</f>
      </c>
      <c r="J39" s="6">
        <f>IF(ITEM!$B17="","",ITEM!$E17)</f>
      </c>
      <c r="K39" s="6">
        <f>IF(ITEM!$B17="","",$G39*$J39)</f>
      </c>
      <c r="L39" s="2"/>
      <c r="M39" s="2"/>
      <c r="N39" s="2"/>
      <c r="O39" s="2"/>
    </row>
    <row r="40" spans="1:15" ht="13.05" customHeight="1" outlineLevel="1" x14ac:dyDescent="0.45">
      <c r="A40" s="4">
        <f>IF(ITEM!$B18="","",ITEM!$A18)</f>
      </c>
      <c r="B40" s="118">
        <f>IF(ITEM!$B18="","",ITEM!$B18)</f>
      </c>
      <c r="C40" s="119"/>
      <c r="D40" s="13">
        <f>IF(ITEM!$B18="","",ITEM!$D18)</f>
      </c>
      <c r="E40" s="5">
        <f>IF(ITEM!$B18="","",ITEM!$C18)</f>
      </c>
      <c r="F40" s="13" cm="1">
        <f t="array" ref="F40">IF(ITEM!$B18="","",SUMPRODUCT((COLUMN(ITEM!$G18:$J18)-COLUMN(ITEM!$G18)+1&lt;$O$1)*ITEM!$G18:$J18))</f>
      </c>
      <c r="G40" s="13" cm="1">
        <f t="array" ref="G40">IF(ITEM!$B18="","",INDEX(ITEM!$G18:$J18,1,$O$1))</f>
      </c>
      <c r="H40" s="13">
        <f>IF(ITEM!$B18="","",$F40+$G40)</f>
      </c>
      <c r="I40" s="13">
        <f>IF(ITEM!$B18="","",$D40-$H40)</f>
      </c>
      <c r="J40" s="6">
        <f>IF(ITEM!$B18="","",ITEM!$E18)</f>
      </c>
      <c r="K40" s="6">
        <f>IF(ITEM!$B18="","",$G40*$J40)</f>
      </c>
      <c r="L40" s="2"/>
      <c r="M40" s="2"/>
      <c r="N40" s="2"/>
      <c r="O40" s="2"/>
    </row>
    <row r="41" spans="1:15" ht="13.05" hidden="1" customHeight="1" outlineLevel="1" x14ac:dyDescent="0.45">
      <c r="A41" s="4">
        <f>IF(ITEM!$B19="","",ITEM!$A19)</f>
      </c>
      <c r="B41" s="118">
        <f>IF(ITEM!$B19="","",ITEM!$B19)</f>
      </c>
      <c r="C41" s="119"/>
      <c r="D41" s="13">
        <f>IF(ITEM!$B19="","",ITEM!$D19)</f>
      </c>
      <c r="E41" s="5">
        <f>IF(ITEM!$B19="","",ITEM!$C19)</f>
      </c>
      <c r="F41" s="13" cm="1">
        <f t="array" ref="F41">IF(ITEM!$B19="","",SUMPRODUCT((COLUMN(ITEM!$G19:$J19)-COLUMN(ITEM!$G19)+1&lt;$O$1)*ITEM!$G19:$J19))</f>
      </c>
      <c r="G41" s="13" cm="1">
        <f t="array" ref="G41">IF(ITEM!$B19="","",INDEX(ITEM!$G19:$J19,1,$O$1))</f>
      </c>
      <c r="H41" s="13">
        <f>IF(ITEM!$B19="","",$F41+$G41)</f>
      </c>
      <c r="I41" s="13">
        <f>IF(ITEM!$B19="","",$D41-$H41)</f>
      </c>
      <c r="J41" s="6">
        <f>IF(ITEM!$B19="","",ITEM!$E19)</f>
      </c>
      <c r="K41" s="6">
        <f>IF(ITEM!$B19="","",$G41*$J41)</f>
      </c>
      <c r="L41" s="2"/>
      <c r="M41" s="2"/>
      <c r="N41" s="2"/>
      <c r="O41" s="2"/>
    </row>
    <row r="42" spans="1:15" ht="13.05" hidden="1" customHeight="1" outlineLevel="1" x14ac:dyDescent="0.45">
      <c r="A42" s="4">
        <f>IF(ITEM!$B20="","",ITEM!$A20)</f>
      </c>
      <c r="B42" s="118">
        <f>IF(ITEM!$B20="","",ITEM!$B20)</f>
      </c>
      <c r="C42" s="119"/>
      <c r="D42" s="13">
        <f>IF(ITEM!$B20="","",ITEM!$D20)</f>
      </c>
      <c r="E42" s="5">
        <f>IF(ITEM!$B20="","",ITEM!$C20)</f>
      </c>
      <c r="F42" s="13" cm="1">
        <f t="array" ref="F42">IF(ITEM!$B20="","",SUMPRODUCT((COLUMN(ITEM!$G20:$J20)-COLUMN(ITEM!$G20)+1&lt;$O$1)*ITEM!$G20:$J20))</f>
      </c>
      <c r="G42" s="13" cm="1">
        <f t="array" ref="G42">IF(ITEM!$B20="","",INDEX(ITEM!$G20:$J20,1,$O$1))</f>
      </c>
      <c r="H42" s="13">
        <f>IF(ITEM!$B20="","",$F42+$G42)</f>
      </c>
      <c r="I42" s="13">
        <f>IF(ITEM!$B20="","",$D42-$H42)</f>
      </c>
      <c r="J42" s="6">
        <f>IF(ITEM!$B20="","",ITEM!$E20)</f>
      </c>
      <c r="K42" s="6">
        <f>IF(ITEM!$B20="","",$G42*$J42)</f>
      </c>
      <c r="L42" s="2"/>
      <c r="M42" s="2"/>
      <c r="N42" s="2"/>
      <c r="O42" s="2"/>
    </row>
    <row r="43" spans="1:15" ht="13.05" hidden="1" customHeight="1" outlineLevel="1" x14ac:dyDescent="0.45">
      <c r="A43" s="4">
        <f>IF(ITEM!$B21="","",ITEM!$A21)</f>
      </c>
      <c r="B43" s="118">
        <f>IF(ITEM!$B21="","",ITEM!$B21)</f>
      </c>
      <c r="C43" s="119"/>
      <c r="D43" s="13">
        <f>IF(ITEM!$B21="","",ITEM!$D21)</f>
      </c>
      <c r="E43" s="5">
        <f>IF(ITEM!$B21="","",ITEM!$C21)</f>
      </c>
      <c r="F43" s="13" cm="1">
        <f t="array" ref="F43">IF(ITEM!$B21="","",SUMPRODUCT((COLUMN(ITEM!$G21:$J21)-COLUMN(ITEM!$G21)+1&lt;$O$1)*ITEM!$G21:$J21))</f>
      </c>
      <c r="G43" s="13" cm="1">
        <f t="array" ref="G43">IF(ITEM!$B21="","",INDEX(ITEM!$G21:$J21,1,$O$1))</f>
      </c>
      <c r="H43" s="13">
        <f>IF(ITEM!$B21="","",$F43+$G43)</f>
      </c>
      <c r="I43" s="13">
        <f>IF(ITEM!$B21="","",$D43-$H43)</f>
      </c>
      <c r="J43" s="6">
        <f>IF(ITEM!$B21="","",ITEM!$E21)</f>
      </c>
      <c r="K43" s="6">
        <f>IF(ITEM!$B21="","",$G43*$J43)</f>
      </c>
      <c r="L43" s="2"/>
      <c r="M43" s="2"/>
      <c r="N43" s="2"/>
      <c r="O43" s="2"/>
    </row>
    <row r="44" spans="1:15" ht="13.05" hidden="1" customHeight="1" outlineLevel="1" x14ac:dyDescent="0.45">
      <c r="A44" s="4">
        <f>IF(ITEM!$B22="","",ITEM!$A22)</f>
      </c>
      <c r="B44" s="118">
        <f>IF(ITEM!$B22="","",ITEM!$B22)</f>
      </c>
      <c r="C44" s="119"/>
      <c r="D44" s="13">
        <f>IF(ITEM!$B22="","",ITEM!$D22)</f>
      </c>
      <c r="E44" s="5">
        <f>IF(ITEM!$B22="","",ITEM!$C22)</f>
      </c>
      <c r="F44" s="13" cm="1">
        <f t="array" ref="F44">IF(ITEM!$B22="","",SUMPRODUCT((COLUMN(ITEM!$G22:$J22)-COLUMN(ITEM!$G22)+1&lt;$O$1)*ITEM!$G22:$J22))</f>
      </c>
      <c r="G44" s="13" cm="1">
        <f t="array" ref="G44">IF(ITEM!$B22="","",INDEX(ITEM!$G22:$J22,1,$O$1))</f>
      </c>
      <c r="H44" s="13">
        <f>IF(ITEM!$B22="","",$F44+$G44)</f>
      </c>
      <c r="I44" s="13">
        <f>IF(ITEM!$B22="","",$D44-$H44)</f>
      </c>
      <c r="J44" s="6">
        <f>IF(ITEM!$B22="","",ITEM!$E22)</f>
      </c>
      <c r="K44" s="6">
        <f>IF(ITEM!$B22="","",$G44*$J44)</f>
      </c>
      <c r="L44" s="2"/>
      <c r="M44" s="2"/>
      <c r="N44" s="2"/>
      <c r="O44" s="2"/>
    </row>
    <row r="45" spans="1:15" ht="13.05" hidden="1" customHeight="1" outlineLevel="1" x14ac:dyDescent="0.45">
      <c r="A45" s="4">
        <f>IF(ITEM!$B23="","",ITEM!$A23)</f>
      </c>
      <c r="B45" s="118">
        <f>IF(ITEM!$B23="","",ITEM!$B23)</f>
      </c>
      <c r="C45" s="119"/>
      <c r="D45" s="13">
        <f>IF(ITEM!$B23="","",ITEM!$D23)</f>
      </c>
      <c r="E45" s="5">
        <f>IF(ITEM!$B23="","",ITEM!$C23)</f>
      </c>
      <c r="F45" s="13" cm="1">
        <f t="array" ref="F45">IF(ITEM!$B23="","",SUMPRODUCT((COLUMN(ITEM!$G23:$J23)-COLUMN(ITEM!$G23)+1&lt;$O$1)*ITEM!$G23:$J23))</f>
      </c>
      <c r="G45" s="13" cm="1">
        <f t="array" ref="G45">IF(ITEM!$B23="","",INDEX(ITEM!$G23:$J23,1,$O$1))</f>
      </c>
      <c r="H45" s="13">
        <f>IF(ITEM!$B23="","",$F45+$G45)</f>
      </c>
      <c r="I45" s="13">
        <f>IF(ITEM!$B23="","",$D45-$H45)</f>
      </c>
      <c r="J45" s="6">
        <f>IF(ITEM!$B23="","",ITEM!$E23)</f>
      </c>
      <c r="K45" s="6">
        <f>IF(ITEM!$B23="","",$G45*$J45)</f>
      </c>
      <c r="L45" s="2"/>
      <c r="M45" s="2"/>
      <c r="N45" s="2"/>
      <c r="O45" s="2"/>
    </row>
    <row r="46" spans="1:15" ht="13.05" hidden="1" customHeight="1" outlineLevel="2" x14ac:dyDescent="0.45">
      <c r="A46" s="4">
        <f>IF(ITEM!$B24="","",ITEM!$A24)</f>
      </c>
      <c r="B46" s="118">
        <f>IF(ITEM!$B24="","",ITEM!$B24)</f>
      </c>
      <c r="C46" s="119"/>
      <c r="D46" s="13">
        <f>IF(ITEM!$B24="","",ITEM!$D24)</f>
      </c>
      <c r="E46" s="5">
        <f>IF(ITEM!$B24="","",ITEM!$C24)</f>
      </c>
      <c r="F46" s="13" cm="1">
        <f t="array" ref="F46">IF(ITEM!$B24="","",SUMPRODUCT((COLUMN(ITEM!$G24:$J24)-COLUMN(ITEM!$G24)+1&lt;$O$1)*ITEM!$G24:$J24))</f>
      </c>
      <c r="G46" s="13" cm="1">
        <f t="array" ref="G46">IF(ITEM!$B24="","",INDEX(ITEM!$G24:$J24,1,$O$1))</f>
      </c>
      <c r="H46" s="13">
        <f>IF(ITEM!$B24="","",$F46+$G46)</f>
      </c>
      <c r="I46" s="13">
        <f>IF(ITEM!$B24="","",$D46-$H46)</f>
      </c>
      <c r="J46" s="6">
        <f>IF(ITEM!$B24="","",ITEM!$E24)</f>
      </c>
      <c r="K46" s="6">
        <f>IF(ITEM!$B24="","",$G46*$J46)</f>
      </c>
      <c r="L46" s="2"/>
      <c r="M46" s="2"/>
      <c r="N46" s="2"/>
      <c r="O46" s="2"/>
    </row>
    <row r="47" spans="1:15" ht="13.05" hidden="1" customHeight="1" outlineLevel="2" x14ac:dyDescent="0.45">
      <c r="A47" s="4">
        <f>IF(ITEM!$B25="","",ITEM!$A25)</f>
      </c>
      <c r="B47" s="118">
        <f>IF(ITEM!$B25="","",ITEM!$B25)</f>
      </c>
      <c r="C47" s="119"/>
      <c r="D47" s="13">
        <f>IF(ITEM!$B25="","",ITEM!$D25)</f>
      </c>
      <c r="E47" s="5">
        <f>IF(ITEM!$B25="","",ITEM!$C25)</f>
      </c>
      <c r="F47" s="13" cm="1">
        <f t="array" ref="F47">IF(ITEM!$B25="","",SUMPRODUCT((COLUMN(ITEM!$G25:$J25)-COLUMN(ITEM!$G25)+1&lt;$O$1)*ITEM!$G25:$J25))</f>
      </c>
      <c r="G47" s="13" cm="1">
        <f t="array" ref="G47">IF(ITEM!$B25="","",INDEX(ITEM!$G25:$J25,1,$O$1))</f>
      </c>
      <c r="H47" s="13">
        <f>IF(ITEM!$B25="","",$F47+$G47)</f>
      </c>
      <c r="I47" s="13">
        <f>IF(ITEM!$B25="","",$D47-$H47)</f>
      </c>
      <c r="J47" s="6">
        <f>IF(ITEM!$B25="","",ITEM!$E25)</f>
      </c>
      <c r="K47" s="6">
        <f>IF(ITEM!$B25="","",$G47*$J47)</f>
      </c>
      <c r="L47" s="2"/>
      <c r="M47" s="2"/>
      <c r="N47" s="2"/>
      <c r="O47" s="2"/>
    </row>
    <row r="48" spans="1:15" ht="13.05" hidden="1" customHeight="1" outlineLevel="2" x14ac:dyDescent="0.45">
      <c r="A48" s="4">
        <f>IF(ITEM!$B26="","",ITEM!$A26)</f>
      </c>
      <c r="B48" s="118">
        <f>IF(ITEM!$B26="","",ITEM!$B26)</f>
      </c>
      <c r="C48" s="119"/>
      <c r="D48" s="13">
        <f>IF(ITEM!$B26="","",ITEM!$D26)</f>
      </c>
      <c r="E48" s="5">
        <f>IF(ITEM!$B26="","",ITEM!$C26)</f>
      </c>
      <c r="F48" s="13" cm="1">
        <f t="array" ref="F48">IF(ITEM!$B26="","",SUMPRODUCT((COLUMN(ITEM!$G26:$J26)-COLUMN(ITEM!$G26)+1&lt;$O$1)*ITEM!$G26:$J26))</f>
      </c>
      <c r="G48" s="13" cm="1">
        <f t="array" ref="G48">IF(ITEM!$B26="","",INDEX(ITEM!$G26:$J26,1,$O$1))</f>
      </c>
      <c r="H48" s="13">
        <f>IF(ITEM!$B26="","",$F48+$G48)</f>
      </c>
      <c r="I48" s="13">
        <f>IF(ITEM!$B26="","",$D48-$H48)</f>
      </c>
      <c r="J48" s="6">
        <f>IF(ITEM!$B26="","",ITEM!$E26)</f>
      </c>
      <c r="K48" s="6">
        <f>IF(ITEM!$B26="","",$G48*$J48)</f>
      </c>
      <c r="L48" s="2"/>
      <c r="M48" s="2"/>
      <c r="N48" s="2"/>
      <c r="O48" s="2"/>
    </row>
    <row r="49" spans="1:15" ht="13.05" hidden="1" customHeight="1" outlineLevel="2" x14ac:dyDescent="0.45">
      <c r="A49" s="4">
        <f>IF(ITEM!$B27="","",ITEM!$A27)</f>
      </c>
      <c r="B49" s="118">
        <f>IF(ITEM!$B27="","",ITEM!$B27)</f>
      </c>
      <c r="C49" s="119"/>
      <c r="D49" s="13">
        <f>IF(ITEM!$B27="","",ITEM!$D27)</f>
      </c>
      <c r="E49" s="5">
        <f>IF(ITEM!$B27="","",ITEM!$C27)</f>
      </c>
      <c r="F49" s="13" cm="1">
        <f t="array" ref="F49">IF(ITEM!$B27="","",SUMPRODUCT((COLUMN(ITEM!$G27:$J27)-COLUMN(ITEM!$G27)+1&lt;$O$1)*ITEM!$G27:$J27))</f>
      </c>
      <c r="G49" s="13" cm="1">
        <f t="array" ref="G49">IF(ITEM!$B27="","",INDEX(ITEM!$G27:$J27,1,$O$1))</f>
      </c>
      <c r="H49" s="13">
        <f>IF(ITEM!$B27="","",$F49+$G49)</f>
      </c>
      <c r="I49" s="13">
        <f>IF(ITEM!$B27="","",$D49-$H49)</f>
      </c>
      <c r="J49" s="6">
        <f>IF(ITEM!$B27="","",ITEM!$E27)</f>
      </c>
      <c r="K49" s="6">
        <f>IF(ITEM!$B27="","",$G49*$J49)</f>
      </c>
      <c r="L49" s="2"/>
      <c r="M49" s="2"/>
      <c r="N49" s="2"/>
      <c r="O49" s="2"/>
    </row>
    <row r="50" spans="1:15" ht="13.05" hidden="1" customHeight="1" outlineLevel="2" x14ac:dyDescent="0.45">
      <c r="A50" s="4">
        <f>IF(ITEM!$B28="","",ITEM!$A28)</f>
      </c>
      <c r="B50" s="118">
        <f>IF(ITEM!$B28="","",ITEM!$B28)</f>
      </c>
      <c r="C50" s="119"/>
      <c r="D50" s="13">
        <f>IF(ITEM!$B28="","",ITEM!$D28)</f>
      </c>
      <c r="E50" s="5">
        <f>IF(ITEM!$B28="","",ITEM!$C28)</f>
      </c>
      <c r="F50" s="13" cm="1">
        <f t="array" ref="F50">IF(ITEM!$B28="","",SUMPRODUCT((COLUMN(ITEM!$G28:$J28)-COLUMN(ITEM!$G28)+1&lt;$O$1)*ITEM!$G28:$J28))</f>
      </c>
      <c r="G50" s="13" cm="1">
        <f t="array" ref="G50">IF(ITEM!$B28="","",INDEX(ITEM!$G28:$J28,1,$O$1))</f>
      </c>
      <c r="H50" s="13">
        <f>IF(ITEM!$B28="","",$F50+$G50)</f>
      </c>
      <c r="I50" s="13">
        <f>IF(ITEM!$B28="","",$D50-$H50)</f>
      </c>
      <c r="J50" s="6">
        <f>IF(ITEM!$B28="","",ITEM!$E28)</f>
      </c>
      <c r="K50" s="6">
        <f>IF(ITEM!$B28="","",$G50*$J50)</f>
      </c>
      <c r="L50" s="2"/>
      <c r="M50" s="2"/>
      <c r="N50" s="2"/>
      <c r="O50" s="2"/>
    </row>
    <row r="51" spans="1:15" ht="13.05" hidden="1" customHeight="1" outlineLevel="2" x14ac:dyDescent="0.45">
      <c r="A51" s="4">
        <f>IF(ITEM!$B29="","",ITEM!$A29)</f>
      </c>
      <c r="B51" s="118">
        <f>IF(ITEM!$B29="","",ITEM!$B29)</f>
      </c>
      <c r="C51" s="119"/>
      <c r="D51" s="13">
        <f>IF(ITEM!$B29="","",ITEM!$D29)</f>
      </c>
      <c r="E51" s="5">
        <f>IF(ITEM!$B29="","",ITEM!$C29)</f>
      </c>
      <c r="F51" s="13" cm="1">
        <f t="array" ref="F51">IF(ITEM!$B29="","",SUMPRODUCT((COLUMN(ITEM!$G29:$J29)-COLUMN(ITEM!$G29)+1&lt;$O$1)*ITEM!$G29:$J29))</f>
      </c>
      <c r="G51" s="13" cm="1">
        <f t="array" ref="G51">IF(ITEM!$B29="","",INDEX(ITEM!$G29:$J29,1,$O$1))</f>
      </c>
      <c r="H51" s="13">
        <f>IF(ITEM!$B29="","",$F51+$G51)</f>
      </c>
      <c r="I51" s="13">
        <f>IF(ITEM!$B29="","",$D51-$H51)</f>
      </c>
      <c r="J51" s="6">
        <f>IF(ITEM!$B29="","",ITEM!$E29)</f>
      </c>
      <c r="K51" s="6">
        <f>IF(ITEM!$B29="","",$G51*$J51)</f>
      </c>
      <c r="L51" s="2"/>
      <c r="M51" s="2"/>
      <c r="N51" s="2"/>
      <c r="O51" s="2"/>
    </row>
    <row r="52" spans="1:15" ht="13.05" hidden="1" customHeight="1" outlineLevel="2" x14ac:dyDescent="0.45">
      <c r="A52" s="4">
        <f>IF(ITEM!$B30="","",ITEM!$A30)</f>
      </c>
      <c r="B52" s="118">
        <f>IF(ITEM!$B30="","",ITEM!$B30)</f>
      </c>
      <c r="C52" s="119"/>
      <c r="D52" s="13">
        <f>IF(ITEM!$B30="","",ITEM!$D30)</f>
      </c>
      <c r="E52" s="5">
        <f>IF(ITEM!$B30="","",ITEM!$C30)</f>
      </c>
      <c r="F52" s="13" cm="1">
        <f t="array" ref="F52">IF(ITEM!$B30="","",SUMPRODUCT((COLUMN(ITEM!$G30:$J30)-COLUMN(ITEM!$G30)+1&lt;$O$1)*ITEM!$G30:$J30))</f>
      </c>
      <c r="G52" s="13" cm="1">
        <f t="array" ref="G52">IF(ITEM!$B30="","",INDEX(ITEM!$G30:$J30,1,$O$1))</f>
      </c>
      <c r="H52" s="13">
        <f>IF(ITEM!$B30="","",$F52+$G52)</f>
      </c>
      <c r="I52" s="13">
        <f>IF(ITEM!$B30="","",$D52-$H52)</f>
      </c>
      <c r="J52" s="6">
        <f>IF(ITEM!$B30="","",ITEM!$E30)</f>
      </c>
      <c r="K52" s="6">
        <f>IF(ITEM!$B30="","",$G52*$J52)</f>
      </c>
      <c r="L52" s="2"/>
      <c r="M52" s="2"/>
      <c r="N52" s="2"/>
      <c r="O52" s="2"/>
    </row>
    <row r="53" spans="1:15" ht="13.05" hidden="1" customHeight="1" outlineLevel="2" x14ac:dyDescent="0.45">
      <c r="A53" s="4">
        <f>IF(ITEM!$B31="","",ITEM!$A31)</f>
      </c>
      <c r="B53" s="118">
        <f>IF(ITEM!$B31="","",ITEM!$B31)</f>
      </c>
      <c r="C53" s="119"/>
      <c r="D53" s="13">
        <f>IF(ITEM!$B31="","",ITEM!$D31)</f>
      </c>
      <c r="E53" s="5">
        <f>IF(ITEM!$B31="","",ITEM!$C31)</f>
      </c>
      <c r="F53" s="13" cm="1">
        <f t="array" ref="F53">IF(ITEM!$B31="","",SUMPRODUCT((COLUMN(ITEM!$G31:$J31)-COLUMN(ITEM!$G31)+1&lt;$O$1)*ITEM!$G31:$J31))</f>
      </c>
      <c r="G53" s="13" cm="1">
        <f t="array" ref="G53">IF(ITEM!$B31="","",INDEX(ITEM!$G31:$J31,1,$O$1))</f>
      </c>
      <c r="H53" s="13">
        <f>IF(ITEM!$B31="","",$F53+$G53)</f>
      </c>
      <c r="I53" s="13">
        <f>IF(ITEM!$B31="","",$D53-$H53)</f>
      </c>
      <c r="J53" s="6">
        <f>IF(ITEM!$B31="","",ITEM!$E31)</f>
      </c>
      <c r="K53" s="6">
        <f>IF(ITEM!$B31="","",$G53*$J53)</f>
      </c>
      <c r="L53" s="2"/>
      <c r="M53" s="2"/>
      <c r="N53" s="2"/>
      <c r="O53" s="2"/>
    </row>
    <row r="54" spans="1:15" ht="13.05" hidden="1" customHeight="1" outlineLevel="2" x14ac:dyDescent="0.45">
      <c r="A54" s="4">
        <f>IF(ITEM!$B32="","",ITEM!$A32)</f>
      </c>
      <c r="B54" s="118">
        <f>IF(ITEM!$B32="","",ITEM!$B32)</f>
      </c>
      <c r="C54" s="119"/>
      <c r="D54" s="13">
        <f>IF(ITEM!$B32="","",ITEM!$D32)</f>
      </c>
      <c r="E54" s="5">
        <f>IF(ITEM!$B32="","",ITEM!$C32)</f>
      </c>
      <c r="F54" s="13" cm="1">
        <f t="array" ref="F54">IF(ITEM!$B32="","",SUMPRODUCT((COLUMN(ITEM!$G32:$J32)-COLUMN(ITEM!$G32)+1&lt;$O$1)*ITEM!$G32:$J32))</f>
      </c>
      <c r="G54" s="13" cm="1">
        <f t="array" ref="G54">IF(ITEM!$B32="","",INDEX(ITEM!$G32:$J32,1,$O$1))</f>
      </c>
      <c r="H54" s="13">
        <f>IF(ITEM!$B32="","",$F54+$G54)</f>
      </c>
      <c r="I54" s="13">
        <f>IF(ITEM!$B32="","",$D54-$H54)</f>
      </c>
      <c r="J54" s="6">
        <f>IF(ITEM!$B32="","",ITEM!$E32)</f>
      </c>
      <c r="K54" s="6">
        <f>IF(ITEM!$B32="","",$G54*$J54)</f>
      </c>
      <c r="L54" s="2"/>
      <c r="M54" s="2"/>
      <c r="N54" s="2"/>
      <c r="O54" s="2"/>
    </row>
    <row r="55" spans="1:15" ht="13.05" hidden="1" customHeight="1" outlineLevel="2" x14ac:dyDescent="0.45">
      <c r="A55" s="4">
        <f>IF(ITEM!$B33="","",ITEM!$A33)</f>
      </c>
      <c r="B55" s="118">
        <f>IF(ITEM!$B33="","",ITEM!$B33)</f>
      </c>
      <c r="C55" s="119"/>
      <c r="D55" s="13">
        <f>IF(ITEM!$B33="","",ITEM!$D33)</f>
      </c>
      <c r="E55" s="5">
        <f>IF(ITEM!$B33="","",ITEM!$C33)</f>
      </c>
      <c r="F55" s="13" cm="1">
        <f t="array" ref="F55">IF(ITEM!$B33="","",SUMPRODUCT((COLUMN(ITEM!$G33:$J33)-COLUMN(ITEM!$G33)+1&lt;$O$1)*ITEM!$G33:$J33))</f>
      </c>
      <c r="G55" s="13" cm="1">
        <f t="array" ref="G55">IF(ITEM!$B33="","",INDEX(ITEM!$G33:$J33,1,$O$1))</f>
      </c>
      <c r="H55" s="13">
        <f>IF(ITEM!$B33="","",$F55+$G55)</f>
      </c>
      <c r="I55" s="13">
        <f>IF(ITEM!$B33="","",$D55-$H55)</f>
      </c>
      <c r="J55" s="6">
        <f>IF(ITEM!$B33="","",ITEM!$E33)</f>
      </c>
      <c r="K55" s="6">
        <f>IF(ITEM!$B33="","",$G55*$J55)</f>
      </c>
      <c r="L55" s="2"/>
      <c r="M55" s="2"/>
      <c r="N55" s="2"/>
      <c r="O55" s="2"/>
    </row>
    <row r="56" spans="1:15" ht="13.05" hidden="1" customHeight="1" outlineLevel="2" x14ac:dyDescent="0.45">
      <c r="A56" s="4">
        <f>IF(ITEM!$B34="","",ITEM!$A34)</f>
      </c>
      <c r="B56" s="118">
        <f>IF(ITEM!$B34="","",ITEM!$B34)</f>
      </c>
      <c r="C56" s="119"/>
      <c r="D56" s="13">
        <f>IF(ITEM!$B34="","",ITEM!$D34)</f>
      </c>
      <c r="E56" s="5">
        <f>IF(ITEM!$B34="","",ITEM!$C34)</f>
      </c>
      <c r="F56" s="13" cm="1">
        <f t="array" ref="F56">IF(ITEM!$B34="","",SUMPRODUCT((COLUMN(ITEM!$G34:$J34)-COLUMN(ITEM!$G34)+1&lt;$O$1)*ITEM!$G34:$J34))</f>
      </c>
      <c r="G56" s="13" cm="1">
        <f t="array" ref="G56">IF(ITEM!$B34="","",INDEX(ITEM!$G34:$J34,1,$O$1))</f>
      </c>
      <c r="H56" s="13">
        <f>IF(ITEM!$B34="","",$F56+$G56)</f>
      </c>
      <c r="I56" s="13">
        <f>IF(ITEM!$B34="","",$D56-$H56)</f>
      </c>
      <c r="J56" s="6">
        <f>IF(ITEM!$B34="","",ITEM!$E34)</f>
      </c>
      <c r="K56" s="6">
        <f>IF(ITEM!$B34="","",$G56*$J56)</f>
      </c>
      <c r="L56" s="2"/>
      <c r="M56" s="2"/>
      <c r="N56" s="2"/>
      <c r="O56" s="2"/>
    </row>
    <row r="57" spans="1:15" ht="13.05" hidden="1" customHeight="1" outlineLevel="2" x14ac:dyDescent="0.45">
      <c r="A57" s="4">
        <f>IF(ITEM!$B35="","",ITEM!$A35)</f>
      </c>
      <c r="B57" s="118">
        <f>IF(ITEM!$B35="","",ITEM!$B35)</f>
      </c>
      <c r="C57" s="119"/>
      <c r="D57" s="13">
        <f>IF(ITEM!$B35="","",ITEM!$D35)</f>
      </c>
      <c r="E57" s="5">
        <f>IF(ITEM!$B35="","",ITEM!$C35)</f>
      </c>
      <c r="F57" s="13" cm="1">
        <f t="array" ref="F57">IF(ITEM!$B35="","",SUMPRODUCT((COLUMN(ITEM!$G35:$J35)-COLUMN(ITEM!$G35)+1&lt;$O$1)*ITEM!$G35:$J35))</f>
      </c>
      <c r="G57" s="13" cm="1">
        <f t="array" ref="G57">IF(ITEM!$B35="","",INDEX(ITEM!$G35:$J35,1,$O$1))</f>
      </c>
      <c r="H57" s="13">
        <f>IF(ITEM!$B35="","",$F57+$G57)</f>
      </c>
      <c r="I57" s="13">
        <f>IF(ITEM!$B35="","",$D57-$H57)</f>
      </c>
      <c r="J57" s="6">
        <f>IF(ITEM!$B35="","",ITEM!$E35)</f>
      </c>
      <c r="K57" s="6">
        <f>IF(ITEM!$B35="","",$G57*$J57)</f>
      </c>
      <c r="L57" s="2"/>
      <c r="M57" s="2"/>
      <c r="N57" s="2"/>
      <c r="O57" s="2"/>
    </row>
    <row r="58" spans="1:15" ht="13.05" hidden="1" customHeight="1" outlineLevel="2" x14ac:dyDescent="0.45">
      <c r="A58" s="4">
        <f>IF(ITEM!$B36="","",ITEM!$A36)</f>
      </c>
      <c r="B58" s="118">
        <f>IF(ITEM!$B36="","",ITEM!$B36)</f>
      </c>
      <c r="C58" s="119"/>
      <c r="D58" s="13">
        <f>IF(ITEM!$B36="","",ITEM!$D36)</f>
      </c>
      <c r="E58" s="5">
        <f>IF(ITEM!$B36="","",ITEM!$C36)</f>
      </c>
      <c r="F58" s="13" cm="1">
        <f t="array" ref="F58">IF(ITEM!$B36="","",SUMPRODUCT((COLUMN(ITEM!$G36:$J36)-COLUMN(ITEM!$G36)+1&lt;$O$1)*ITEM!$G36:$J36))</f>
      </c>
      <c r="G58" s="13" cm="1">
        <f t="array" ref="G58">IF(ITEM!$B36="","",INDEX(ITEM!$G36:$J36,1,$O$1))</f>
      </c>
      <c r="H58" s="13">
        <f>IF(ITEM!$B36="","",$F58+$G58)</f>
      </c>
      <c r="I58" s="13">
        <f>IF(ITEM!$B36="","",$D58-$H58)</f>
      </c>
      <c r="J58" s="6">
        <f>IF(ITEM!$B36="","",ITEM!$E36)</f>
      </c>
      <c r="K58" s="6">
        <f>IF(ITEM!$B36="","",$G58*$J58)</f>
      </c>
      <c r="L58" s="2"/>
      <c r="M58" s="2"/>
      <c r="N58" s="2"/>
      <c r="O58" s="2"/>
    </row>
    <row r="59" spans="1:15" ht="13.05" hidden="1" customHeight="1" outlineLevel="2" x14ac:dyDescent="0.45">
      <c r="A59" s="4">
        <f>IF(ITEM!$B37="","",ITEM!$A37)</f>
      </c>
      <c r="B59" s="118">
        <f>IF(ITEM!$B37="","",ITEM!$B37)</f>
      </c>
      <c r="C59" s="119"/>
      <c r="D59" s="13">
        <f>IF(ITEM!$B37="","",ITEM!$D37)</f>
      </c>
      <c r="E59" s="5">
        <f>IF(ITEM!$B37="","",ITEM!$C37)</f>
      </c>
      <c r="F59" s="13" cm="1">
        <f t="array" ref="F59">IF(ITEM!$B37="","",SUMPRODUCT((COLUMN(ITEM!$G37:$J37)-COLUMN(ITEM!$G37)+1&lt;$O$1)*ITEM!$G37:$J37))</f>
      </c>
      <c r="G59" s="13" cm="1">
        <f t="array" ref="G59">IF(ITEM!$B37="","",INDEX(ITEM!$G37:$J37,1,$O$1))</f>
      </c>
      <c r="H59" s="13">
        <f>IF(ITEM!$B37="","",$F59+$G59)</f>
      </c>
      <c r="I59" s="13">
        <f>IF(ITEM!$B37="","",$D59-$H59)</f>
      </c>
      <c r="J59" s="6">
        <f>IF(ITEM!$B37="","",ITEM!$E37)</f>
      </c>
      <c r="K59" s="6">
        <f>IF(ITEM!$B37="","",$G59*$J59)</f>
      </c>
      <c r="L59" s="2"/>
      <c r="M59" s="2"/>
      <c r="N59" s="2"/>
      <c r="O59" s="2"/>
    </row>
    <row r="60" spans="1:15" ht="13.05" hidden="1" customHeight="1" outlineLevel="2" x14ac:dyDescent="0.45">
      <c r="A60" s="4">
        <f>IF(ITEM!$B38="","",ITEM!$A38)</f>
      </c>
      <c r="B60" s="118">
        <f>IF(ITEM!$B38="","",ITEM!$B38)</f>
      </c>
      <c r="C60" s="119"/>
      <c r="D60" s="13">
        <f>IF(ITEM!$B38="","",ITEM!$D38)</f>
      </c>
      <c r="E60" s="5">
        <f>IF(ITEM!$B38="","",ITEM!$C38)</f>
      </c>
      <c r="F60" s="13" cm="1">
        <f t="array" ref="F60">IF(ITEM!$B38="","",SUMPRODUCT((COLUMN(ITEM!$G38:$J38)-COLUMN(ITEM!$G38)+1&lt;$O$1)*ITEM!$G38:$J38))</f>
      </c>
      <c r="G60" s="13" cm="1">
        <f t="array" ref="G60">IF(ITEM!$B38="","",INDEX(ITEM!$G38:$J38,1,$O$1))</f>
      </c>
      <c r="H60" s="13">
        <f>IF(ITEM!$B38="","",$F60+$G60)</f>
      </c>
      <c r="I60" s="13">
        <f>IF(ITEM!$B38="","",$D60-$H60)</f>
      </c>
      <c r="J60" s="6">
        <f>IF(ITEM!$B38="","",ITEM!$E38)</f>
      </c>
      <c r="K60" s="6">
        <f>IF(ITEM!$B38="","",$G60*$J60)</f>
      </c>
      <c r="L60" s="2"/>
      <c r="M60" s="2"/>
      <c r="N60" s="2"/>
      <c r="O60" s="2"/>
    </row>
    <row r="61" spans="1:15" ht="13.05" hidden="1" customHeight="1" outlineLevel="2" x14ac:dyDescent="0.45">
      <c r="A61" s="4">
        <f>IF(ITEM!$B39="","",ITEM!$A39)</f>
      </c>
      <c r="B61" s="118">
        <f>IF(ITEM!$B39="","",ITEM!$B39)</f>
      </c>
      <c r="C61" s="119"/>
      <c r="D61" s="13">
        <f>IF(ITEM!$B39="","",ITEM!$D39)</f>
      </c>
      <c r="E61" s="5">
        <f>IF(ITEM!$B39="","",ITEM!$C39)</f>
      </c>
      <c r="F61" s="13" cm="1">
        <f t="array" ref="F61">IF(ITEM!$B39="","",SUMPRODUCT((COLUMN(ITEM!$G39:$J39)-COLUMN(ITEM!$G39)+1&lt;$O$1)*ITEM!$G39:$J39))</f>
      </c>
      <c r="G61" s="13" cm="1">
        <f t="array" ref="G61">IF(ITEM!$B39="","",INDEX(ITEM!$G39:$J39,1,$O$1))</f>
      </c>
      <c r="H61" s="13">
        <f>IF(ITEM!$B39="","",$F61+$G61)</f>
      </c>
      <c r="I61" s="13">
        <f>IF(ITEM!$B39="","",$D61-$H61)</f>
      </c>
      <c r="J61" s="6">
        <f>IF(ITEM!$B39="","",ITEM!$E39)</f>
      </c>
      <c r="K61" s="6">
        <f>IF(ITEM!$B39="","",$G61*$J61)</f>
      </c>
      <c r="L61" s="2"/>
      <c r="M61" s="2"/>
      <c r="N61" s="2"/>
      <c r="O61" s="2"/>
    </row>
    <row r="62" spans="1:15" ht="13.05" hidden="1" customHeight="1" outlineLevel="2" x14ac:dyDescent="0.45">
      <c r="A62" s="4">
        <f>IF(ITEM!$B40="","",ITEM!$A40)</f>
      </c>
      <c r="B62" s="118">
        <f>IF(ITEM!$B40="","",ITEM!$B40)</f>
      </c>
      <c r="C62" s="119"/>
      <c r="D62" s="13">
        <f>IF(ITEM!$B40="","",ITEM!$D40)</f>
      </c>
      <c r="E62" s="5">
        <f>IF(ITEM!$B40="","",ITEM!$C40)</f>
      </c>
      <c r="F62" s="13" cm="1">
        <f t="array" ref="F62">IF(ITEM!$B40="","",SUMPRODUCT((COLUMN(ITEM!$G40:$J40)-COLUMN(ITEM!$G40)+1&lt;$O$1)*ITEM!$G40:$J40))</f>
      </c>
      <c r="G62" s="13" cm="1">
        <f t="array" ref="G62">IF(ITEM!$B40="","",INDEX(ITEM!$G40:$J40,1,$O$1))</f>
      </c>
      <c r="H62" s="13">
        <f>IF(ITEM!$B40="","",$F62+$G62)</f>
      </c>
      <c r="I62" s="13">
        <f>IF(ITEM!$B40="","",$D62-$H62)</f>
      </c>
      <c r="J62" s="6">
        <f>IF(ITEM!$B40="","",ITEM!$E40)</f>
      </c>
      <c r="K62" s="6">
        <f>IF(ITEM!$B40="","",$G62*$J62)</f>
      </c>
      <c r="L62" s="2"/>
      <c r="M62" s="2"/>
      <c r="N62" s="2"/>
      <c r="O62" s="2"/>
    </row>
    <row r="63" spans="1:15" ht="13.05" hidden="1" customHeight="1" outlineLevel="2" x14ac:dyDescent="0.45">
      <c r="A63" s="4">
        <f>IF(ITEM!$B41="","",ITEM!$A41)</f>
      </c>
      <c r="B63" s="118">
        <f>IF(ITEM!$B41="","",ITEM!$B41)</f>
      </c>
      <c r="C63" s="119"/>
      <c r="D63" s="13">
        <f>IF(ITEM!$B41="","",ITEM!$D41)</f>
      </c>
      <c r="E63" s="5">
        <f>IF(ITEM!$B41="","",ITEM!$C41)</f>
      </c>
      <c r="F63" s="13" cm="1">
        <f t="array" ref="F63">IF(ITEM!$B41="","",SUMPRODUCT((COLUMN(ITEM!$G41:$J41)-COLUMN(ITEM!$G41)+1&lt;$O$1)*ITEM!$G41:$J41))</f>
      </c>
      <c r="G63" s="13" cm="1">
        <f t="array" ref="G63">IF(ITEM!$B41="","",INDEX(ITEM!$G41:$J41,1,$O$1))</f>
      </c>
      <c r="H63" s="13">
        <f>IF(ITEM!$B41="","",$F63+$G63)</f>
      </c>
      <c r="I63" s="13">
        <f>IF(ITEM!$B41="","",$D63-$H63)</f>
      </c>
      <c r="J63" s="6">
        <f>IF(ITEM!$B41="","",ITEM!$E41)</f>
      </c>
      <c r="K63" s="6">
        <f>IF(ITEM!$B41="","",$G63*$J63)</f>
      </c>
      <c r="L63" s="2"/>
      <c r="M63" s="2"/>
      <c r="N63" s="2"/>
      <c r="O63" s="2"/>
    </row>
    <row r="64" spans="1:15" ht="13.05" hidden="1" customHeight="1" outlineLevel="2" x14ac:dyDescent="0.45">
      <c r="A64" s="4">
        <f>IF(ITEM!$B42="","",ITEM!$A42)</f>
      </c>
      <c r="B64" s="118">
        <f>IF(ITEM!$B42="","",ITEM!$B42)</f>
      </c>
      <c r="C64" s="119"/>
      <c r="D64" s="13">
        <f>IF(ITEM!$B42="","",ITEM!$D42)</f>
      </c>
      <c r="E64" s="5">
        <f>IF(ITEM!$B42="","",ITEM!$C42)</f>
      </c>
      <c r="F64" s="13" cm="1">
        <f t="array" ref="F64">IF(ITEM!$B42="","",SUMPRODUCT((COLUMN(ITEM!$G42:$J42)-COLUMN(ITEM!$G42)+1&lt;$O$1)*ITEM!$G42:$J42))</f>
      </c>
      <c r="G64" s="13" cm="1">
        <f t="array" ref="G64">IF(ITEM!$B42="","",INDEX(ITEM!$G42:$J42,1,$O$1))</f>
      </c>
      <c r="H64" s="13">
        <f>IF(ITEM!$B42="","",$F64+$G64)</f>
      </c>
      <c r="I64" s="13">
        <f>IF(ITEM!$B42="","",$D64-$H64)</f>
      </c>
      <c r="J64" s="6">
        <f>IF(ITEM!$B42="","",ITEM!$E42)</f>
      </c>
      <c r="K64" s="6">
        <f>IF(ITEM!$B42="","",$G64*$J64)</f>
      </c>
      <c r="L64" s="2"/>
      <c r="M64" s="2"/>
      <c r="N64" s="2"/>
      <c r="O64" s="2"/>
    </row>
    <row r="65" spans="1:15" ht="13.05" hidden="1" customHeight="1" outlineLevel="2" x14ac:dyDescent="0.45">
      <c r="A65" s="4">
        <f>IF(ITEM!$B43="","",ITEM!$A43)</f>
      </c>
      <c r="B65" s="118">
        <f>IF(ITEM!$B43="","",ITEM!$B43)</f>
      </c>
      <c r="C65" s="119"/>
      <c r="D65" s="13">
        <f>IF(ITEM!$B43="","",ITEM!$D43)</f>
      </c>
      <c r="E65" s="5">
        <f>IF(ITEM!$B43="","",ITEM!$C43)</f>
      </c>
      <c r="F65" s="13" cm="1">
        <f t="array" ref="F65">IF(ITEM!$B43="","",SUMPRODUCT((COLUMN(ITEM!$G43:$J43)-COLUMN(ITEM!$G43)+1&lt;$O$1)*ITEM!$G43:$J43))</f>
      </c>
      <c r="G65" s="13" cm="1">
        <f t="array" ref="G65">IF(ITEM!$B43="","",INDEX(ITEM!$G43:$J43,1,$O$1))</f>
      </c>
      <c r="H65" s="13">
        <f>IF(ITEM!$B43="","",$F65+$G65)</f>
      </c>
      <c r="I65" s="13">
        <f>IF(ITEM!$B43="","",$D65-$H65)</f>
      </c>
      <c r="J65" s="6">
        <f>IF(ITEM!$B43="","",ITEM!$E43)</f>
      </c>
      <c r="K65" s="6">
        <f>IF(ITEM!$B43="","",$G65*$J65)</f>
      </c>
      <c r="L65" s="2"/>
      <c r="M65" s="2"/>
      <c r="N65" s="2"/>
      <c r="O65" s="2"/>
    </row>
    <row r="66" spans="1:15" ht="13.05" hidden="1" customHeight="1" outlineLevel="2" x14ac:dyDescent="0.45">
      <c r="A66" s="4">
        <f>IF(ITEM!$B44="","",ITEM!$A44)</f>
      </c>
      <c r="B66" s="118">
        <f>IF(ITEM!$B44="","",ITEM!$B44)</f>
      </c>
      <c r="C66" s="119"/>
      <c r="D66" s="13">
        <f>IF(ITEM!$B44="","",ITEM!$D44)</f>
      </c>
      <c r="E66" s="5">
        <f>IF(ITEM!$B44="","",ITEM!$C44)</f>
      </c>
      <c r="F66" s="13" cm="1">
        <f t="array" ref="F66">IF(ITEM!$B44="","",SUMPRODUCT((COLUMN(ITEM!$G44:$J44)-COLUMN(ITEM!$G44)+1&lt;$O$1)*ITEM!$G44:$J44))</f>
      </c>
      <c r="G66" s="13" cm="1">
        <f t="array" ref="G66">IF(ITEM!$B44="","",INDEX(ITEM!$G44:$J44,1,$O$1))</f>
      </c>
      <c r="H66" s="13">
        <f>IF(ITEM!$B44="","",$F66+$G66)</f>
      </c>
      <c r="I66" s="13">
        <f>IF(ITEM!$B44="","",$D66-$H66)</f>
      </c>
      <c r="J66" s="6">
        <f>IF(ITEM!$B44="","",ITEM!$E44)</f>
      </c>
      <c r="K66" s="6">
        <f>IF(ITEM!$B44="","",$G66*$J66)</f>
      </c>
      <c r="L66" s="2"/>
      <c r="M66" s="2"/>
      <c r="N66" s="2"/>
      <c r="O66" s="2"/>
    </row>
    <row r="67" spans="1:15" ht="13.05" hidden="1" customHeight="1" outlineLevel="2" x14ac:dyDescent="0.45">
      <c r="A67" s="4">
        <f>IF(ITEM!$B45="","",ITEM!$A45)</f>
      </c>
      <c r="B67" s="118">
        <f>IF(ITEM!$B45="","",ITEM!$B45)</f>
      </c>
      <c r="C67" s="119"/>
      <c r="D67" s="13">
        <f>IF(ITEM!$B45="","",ITEM!$D45)</f>
      </c>
      <c r="E67" s="5">
        <f>IF(ITEM!$B45="","",ITEM!$C45)</f>
      </c>
      <c r="F67" s="13" cm="1">
        <f t="array" ref="F67">IF(ITEM!$B45="","",SUMPRODUCT((COLUMN(ITEM!$G45:$J45)-COLUMN(ITEM!$G45)+1&lt;$O$1)*ITEM!$G45:$J45))</f>
      </c>
      <c r="G67" s="13" cm="1">
        <f t="array" ref="G67">IF(ITEM!$B45="","",INDEX(ITEM!$G45:$J45,1,$O$1))</f>
      </c>
      <c r="H67" s="13">
        <f>IF(ITEM!$B45="","",$F67+$G67)</f>
      </c>
      <c r="I67" s="13">
        <f>IF(ITEM!$B45="","",$D67-$H67)</f>
      </c>
      <c r="J67" s="6">
        <f>IF(ITEM!$B45="","",ITEM!$E45)</f>
      </c>
      <c r="K67" s="6">
        <f>IF(ITEM!$B45="","",$G67*$J67)</f>
      </c>
      <c r="L67" s="2"/>
      <c r="M67" s="2"/>
      <c r="N67" s="2"/>
      <c r="O67" s="2"/>
    </row>
    <row r="68" spans="1:15" ht="13.05" hidden="1" customHeight="1" outlineLevel="2" x14ac:dyDescent="0.45">
      <c r="A68" s="4">
        <f>IF(ITEM!$B46="","",ITEM!$A46)</f>
      </c>
      <c r="B68" s="118">
        <f>IF(ITEM!$B46="","",ITEM!$B46)</f>
      </c>
      <c r="C68" s="119"/>
      <c r="D68" s="13">
        <f>IF(ITEM!$B46="","",ITEM!$D46)</f>
      </c>
      <c r="E68" s="5">
        <f>IF(ITEM!$B46="","",ITEM!$C46)</f>
      </c>
      <c r="F68" s="13" cm="1">
        <f t="array" ref="F68">IF(ITEM!$B46="","",SUMPRODUCT((COLUMN(ITEM!$G46:$J46)-COLUMN(ITEM!$G46)+1&lt;$O$1)*ITEM!$G46:$J46))</f>
      </c>
      <c r="G68" s="13" cm="1">
        <f t="array" ref="G68">IF(ITEM!$B46="","",INDEX(ITEM!$G46:$J46,1,$O$1))</f>
      </c>
      <c r="H68" s="13">
        <f>IF(ITEM!$B46="","",$F68+$G68)</f>
      </c>
      <c r="I68" s="13">
        <f>IF(ITEM!$B46="","",$D68-$H68)</f>
      </c>
      <c r="J68" s="6">
        <f>IF(ITEM!$B46="","",ITEM!$E46)</f>
      </c>
      <c r="K68" s="6">
        <f>IF(ITEM!$B46="","",$G68*$J68)</f>
      </c>
      <c r="L68" s="2"/>
      <c r="M68" s="2"/>
      <c r="N68" s="2"/>
      <c r="O68" s="2"/>
    </row>
    <row r="69" spans="1:15" ht="13.05" hidden="1" customHeight="1" outlineLevel="2" x14ac:dyDescent="0.45">
      <c r="A69" s="4">
        <f>IF(ITEM!$B47="","",ITEM!$A47)</f>
      </c>
      <c r="B69" s="118">
        <f>IF(ITEM!$B47="","",ITEM!$B47)</f>
      </c>
      <c r="C69" s="119"/>
      <c r="D69" s="13">
        <f>IF(ITEM!$B47="","",ITEM!$D47)</f>
      </c>
      <c r="E69" s="5">
        <f>IF(ITEM!$B47="","",ITEM!$C47)</f>
      </c>
      <c r="F69" s="13" cm="1">
        <f t="array" ref="F69">IF(ITEM!$B47="","",SUMPRODUCT((COLUMN(ITEM!$G47:$J47)-COLUMN(ITEM!$G47)+1&lt;$O$1)*ITEM!$G47:$J47))</f>
      </c>
      <c r="G69" s="13" cm="1">
        <f t="array" ref="G69">IF(ITEM!$B47="","",INDEX(ITEM!$G47:$J47,1,$O$1))</f>
      </c>
      <c r="H69" s="13">
        <f>IF(ITEM!$B47="","",$F69+$G69)</f>
      </c>
      <c r="I69" s="13">
        <f>IF(ITEM!$B47="","",$D69-$H69)</f>
      </c>
      <c r="J69" s="6">
        <f>IF(ITEM!$B47="","",ITEM!$E47)</f>
      </c>
      <c r="K69" s="6">
        <f>IF(ITEM!$B47="","",$G69*$J69)</f>
      </c>
      <c r="L69" s="2"/>
      <c r="M69" s="2"/>
      <c r="N69" s="2"/>
      <c r="O69" s="2"/>
    </row>
    <row r="70" spans="1:15" ht="13.05" hidden="1" customHeight="1" outlineLevel="2" x14ac:dyDescent="0.45">
      <c r="A70" s="4">
        <f>IF(ITEM!$B48="","",ITEM!$A48)</f>
      </c>
      <c r="B70" s="118">
        <f>IF(ITEM!$B48="","",ITEM!$B48)</f>
      </c>
      <c r="C70" s="119"/>
      <c r="D70" s="13">
        <f>IF(ITEM!$B48="","",ITEM!$D48)</f>
      </c>
      <c r="E70" s="5">
        <f>IF(ITEM!$B48="","",ITEM!$C48)</f>
      </c>
      <c r="F70" s="13" cm="1">
        <f t="array" ref="F70">IF(ITEM!$B48="","",SUMPRODUCT((COLUMN(ITEM!$G48:$J48)-COLUMN(ITEM!$G48)+1&lt;$O$1)*ITEM!$G48:$J48))</f>
      </c>
      <c r="G70" s="13" cm="1">
        <f t="array" ref="G70">IF(ITEM!$B48="","",INDEX(ITEM!$G48:$J48,1,$O$1))</f>
      </c>
      <c r="H70" s="13">
        <f>IF(ITEM!$B48="","",$F70+$G70)</f>
      </c>
      <c r="I70" s="13">
        <f>IF(ITEM!$B48="","",$D70-$H70)</f>
      </c>
      <c r="J70" s="6">
        <f>IF(ITEM!$B48="","",ITEM!$E48)</f>
      </c>
      <c r="K70" s="6">
        <f>IF(ITEM!$B48="","",$G70*$J70)</f>
      </c>
      <c r="L70" s="2"/>
      <c r="M70" s="2"/>
      <c r="N70" s="2"/>
      <c r="O70" s="2"/>
    </row>
    <row r="71" spans="1:15" ht="13.05" hidden="1" customHeight="1" outlineLevel="2" x14ac:dyDescent="0.45">
      <c r="A71" s="4">
        <f>IF(ITEM!$B49="","",ITEM!$A49)</f>
      </c>
      <c r="B71" s="118">
        <f>IF(ITEM!$B49="","",ITEM!$B49)</f>
      </c>
      <c r="C71" s="119"/>
      <c r="D71" s="13">
        <f>IF(ITEM!$B49="","",ITEM!$D49)</f>
      </c>
      <c r="E71" s="5">
        <f>IF(ITEM!$B49="","",ITEM!$C49)</f>
      </c>
      <c r="F71" s="13" cm="1">
        <f t="array" ref="F71">IF(ITEM!$B49="","",SUMPRODUCT((COLUMN(ITEM!$G49:$J49)-COLUMN(ITEM!$G49)+1&lt;$O$1)*ITEM!$G49:$J49))</f>
      </c>
      <c r="G71" s="13" cm="1">
        <f t="array" ref="G71">IF(ITEM!$B49="","",INDEX(ITEM!$G49:$J49,1,$O$1))</f>
      </c>
      <c r="H71" s="13">
        <f>IF(ITEM!$B49="","",$F71+$G71)</f>
      </c>
      <c r="I71" s="13">
        <f>IF(ITEM!$B49="","",$D71-$H71)</f>
      </c>
      <c r="J71" s="6">
        <f>IF(ITEM!$B49="","",ITEM!$E49)</f>
      </c>
      <c r="K71" s="6">
        <f>IF(ITEM!$B49="","",$G71*$J71)</f>
      </c>
      <c r="L71" s="2"/>
      <c r="M71" s="2"/>
      <c r="N71" s="2"/>
      <c r="O71" s="2"/>
    </row>
    <row r="72" spans="1:15" ht="13.05" hidden="1" customHeight="1" outlineLevel="2" x14ac:dyDescent="0.45">
      <c r="A72" s="4">
        <f>IF(ITEM!$B50="","",ITEM!$A50)</f>
      </c>
      <c r="B72" s="118">
        <f>IF(ITEM!$B50="","",ITEM!$B50)</f>
      </c>
      <c r="C72" s="119"/>
      <c r="D72" s="13">
        <f>IF(ITEM!$B50="","",ITEM!$D50)</f>
      </c>
      <c r="E72" s="5">
        <f>IF(ITEM!$B50="","",ITEM!$C50)</f>
      </c>
      <c r="F72" s="13" cm="1">
        <f t="array" ref="F72">IF(ITEM!$B50="","",SUMPRODUCT((COLUMN(ITEM!$G50:$J50)-COLUMN(ITEM!$G50)+1&lt;$O$1)*ITEM!$G50:$J50))</f>
      </c>
      <c r="G72" s="13" cm="1">
        <f t="array" ref="G72">IF(ITEM!$B50="","",INDEX(ITEM!$G50:$J50,1,$O$1))</f>
      </c>
      <c r="H72" s="13">
        <f>IF(ITEM!$B50="","",$F72+$G72)</f>
      </c>
      <c r="I72" s="13">
        <f>IF(ITEM!$B50="","",$D72-$H72)</f>
      </c>
      <c r="J72" s="6">
        <f>IF(ITEM!$B50="","",ITEM!$E50)</f>
      </c>
      <c r="K72" s="6">
        <f>IF(ITEM!$B50="","",$G72*$J72)</f>
      </c>
      <c r="L72" s="2"/>
      <c r="M72" s="2"/>
      <c r="N72" s="2"/>
      <c r="O72" s="2"/>
    </row>
    <row r="73" spans="1:15" ht="13.05" hidden="1" customHeight="1" outlineLevel="2" x14ac:dyDescent="0.45">
      <c r="A73" s="4">
        <f>IF(ITEM!$B51="","",ITEM!$A51)</f>
      </c>
      <c r="B73" s="118">
        <f>IF(ITEM!$B51="","",ITEM!$B51)</f>
      </c>
      <c r="C73" s="119"/>
      <c r="D73" s="13">
        <f>IF(ITEM!$B51="","",ITEM!$D51)</f>
      </c>
      <c r="E73" s="5">
        <f>IF(ITEM!$B51="","",ITEM!$C51)</f>
      </c>
      <c r="F73" s="13" cm="1">
        <f t="array" ref="F73">IF(ITEM!$B51="","",SUMPRODUCT((COLUMN(ITEM!$G51:$J51)-COLUMN(ITEM!$G51)+1&lt;$O$1)*ITEM!$G51:$J51))</f>
      </c>
      <c r="G73" s="13" cm="1">
        <f t="array" ref="G73">IF(ITEM!$B51="","",INDEX(ITEM!$G51:$J51,1,$O$1))</f>
      </c>
      <c r="H73" s="13">
        <f>IF(ITEM!$B51="","",$F73+$G73)</f>
      </c>
      <c r="I73" s="13">
        <f>IF(ITEM!$B51="","",$D73-$H73)</f>
      </c>
      <c r="J73" s="6">
        <f>IF(ITEM!$B51="","",ITEM!$E51)</f>
      </c>
      <c r="K73" s="6">
        <f>IF(ITEM!$B51="","",$G73*$J73)</f>
      </c>
      <c r="L73" s="2"/>
      <c r="M73" s="2"/>
      <c r="N73" s="2"/>
      <c r="O73" s="2"/>
    </row>
    <row r="74" spans="1:15" ht="13.05" hidden="1" customHeight="1" outlineLevel="2" x14ac:dyDescent="0.45">
      <c r="A74" s="4">
        <f>IF(ITEM!$B52="","",ITEM!$A52)</f>
      </c>
      <c r="B74" s="118">
        <f>IF(ITEM!$B52="","",ITEM!$B52)</f>
      </c>
      <c r="C74" s="119"/>
      <c r="D74" s="13">
        <f>IF(ITEM!$B52="","",ITEM!$D52)</f>
      </c>
      <c r="E74" s="5">
        <f>IF(ITEM!$B52="","",ITEM!$C52)</f>
      </c>
      <c r="F74" s="13" cm="1">
        <f t="array" ref="F74">IF(ITEM!$B52="","",SUMPRODUCT((COLUMN(ITEM!$G52:$J52)-COLUMN(ITEM!$G52)+1&lt;$O$1)*ITEM!$G52:$J52))</f>
      </c>
      <c r="G74" s="13" cm="1">
        <f t="array" ref="G74">IF(ITEM!$B52="","",INDEX(ITEM!$G52:$J52,1,$O$1))</f>
      </c>
      <c r="H74" s="13">
        <f>IF(ITEM!$B52="","",$F74+$G74)</f>
      </c>
      <c r="I74" s="13">
        <f>IF(ITEM!$B52="","",$D74-$H74)</f>
      </c>
      <c r="J74" s="6">
        <f>IF(ITEM!$B52="","",ITEM!$E52)</f>
      </c>
      <c r="K74" s="6">
        <f>IF(ITEM!$B52="","",$G74*$J74)</f>
      </c>
      <c r="L74" s="2"/>
      <c r="M74" s="2"/>
      <c r="N74" s="2"/>
      <c r="O74" s="2"/>
    </row>
    <row r="75" spans="1:15" ht="13.05" hidden="1" customHeight="1" outlineLevel="2" x14ac:dyDescent="0.45">
      <c r="A75" s="4">
        <f>IF(ITEM!$B53="","",ITEM!$A53)</f>
      </c>
      <c r="B75" s="118">
        <f>IF(ITEM!$B53="","",ITEM!$B53)</f>
      </c>
      <c r="C75" s="119"/>
      <c r="D75" s="13">
        <f>IF(ITEM!$B53="","",ITEM!$D53)</f>
      </c>
      <c r="E75" s="5">
        <f>IF(ITEM!$B53="","",ITEM!$C53)</f>
      </c>
      <c r="F75" s="13" cm="1">
        <f t="array" ref="F75">IF(ITEM!$B53="","",SUMPRODUCT((COLUMN(ITEM!$G53:$J53)-COLUMN(ITEM!$G53)+1&lt;$O$1)*ITEM!$G53:$J53))</f>
      </c>
      <c r="G75" s="13" cm="1">
        <f t="array" ref="G75">IF(ITEM!$B53="","",INDEX(ITEM!$G53:$J53,1,$O$1))</f>
      </c>
      <c r="H75" s="13">
        <f>IF(ITEM!$B53="","",$F75+$G75)</f>
      </c>
      <c r="I75" s="13">
        <f>IF(ITEM!$B53="","",$D75-$H75)</f>
      </c>
      <c r="J75" s="6">
        <f>IF(ITEM!$B53="","",ITEM!$E53)</f>
      </c>
      <c r="K75" s="6">
        <f>IF(ITEM!$B53="","",$G75*$J75)</f>
      </c>
      <c r="L75" s="2"/>
      <c r="M75" s="2"/>
      <c r="N75" s="2"/>
      <c r="O75" s="2"/>
    </row>
    <row r="76" spans="1:15" ht="13.05" hidden="1" customHeight="1" outlineLevel="2" x14ac:dyDescent="0.45">
      <c r="A76" s="4">
        <f>IF(ITEM!$B54="","",ITEM!$A54)</f>
      </c>
      <c r="B76" s="118">
        <f>IF(ITEM!$B54="","",ITEM!$B54)</f>
      </c>
      <c r="C76" s="119"/>
      <c r="D76" s="13">
        <f>IF(ITEM!$B54="","",ITEM!$D54)</f>
      </c>
      <c r="E76" s="5">
        <f>IF(ITEM!$B54="","",ITEM!$C54)</f>
      </c>
      <c r="F76" s="13" cm="1">
        <f t="array" ref="F76">IF(ITEM!$B54="","",SUMPRODUCT((COLUMN(ITEM!$G54:$J54)-COLUMN(ITEM!$G54)+1&lt;$O$1)*ITEM!$G54:$J54))</f>
      </c>
      <c r="G76" s="13" cm="1">
        <f t="array" ref="G76">IF(ITEM!$B54="","",INDEX(ITEM!$G54:$J54,1,$O$1))</f>
      </c>
      <c r="H76" s="13">
        <f>IF(ITEM!$B54="","",$F76+$G76)</f>
      </c>
      <c r="I76" s="13">
        <f>IF(ITEM!$B54="","",$D76-$H76)</f>
      </c>
      <c r="J76" s="6">
        <f>IF(ITEM!$B54="","",ITEM!$E54)</f>
      </c>
      <c r="K76" s="6">
        <f>IF(ITEM!$B54="","",$G76*$J76)</f>
      </c>
      <c r="L76" s="2"/>
      <c r="M76" s="2"/>
      <c r="N76" s="2"/>
      <c r="O76" s="2"/>
    </row>
    <row r="77" spans="1:15" ht="13.05" hidden="1" customHeight="1" outlineLevel="2" x14ac:dyDescent="0.45">
      <c r="A77" s="4">
        <f>IF(ITEM!$B55="","",ITEM!$A55)</f>
      </c>
      <c r="B77" s="118">
        <f>IF(ITEM!$B55="","",ITEM!$B55)</f>
      </c>
      <c r="C77" s="119"/>
      <c r="D77" s="13">
        <f>IF(ITEM!$B55="","",ITEM!$D55)</f>
      </c>
      <c r="E77" s="5">
        <f>IF(ITEM!$B55="","",ITEM!$C55)</f>
      </c>
      <c r="F77" s="13" cm="1">
        <f t="array" ref="F77">IF(ITEM!$B55="","",SUMPRODUCT((COLUMN(ITEM!$G55:$J55)-COLUMN(ITEM!$G55)+1&lt;$O$1)*ITEM!$G55:$J55))</f>
      </c>
      <c r="G77" s="13" cm="1">
        <f t="array" ref="G77">IF(ITEM!$B55="","",INDEX(ITEM!$G55:$J55,1,$O$1))</f>
      </c>
      <c r="H77" s="13">
        <f>IF(ITEM!$B55="","",$F77+$G77)</f>
      </c>
      <c r="I77" s="13">
        <f>IF(ITEM!$B55="","",$D77-$H77)</f>
      </c>
      <c r="J77" s="6">
        <f>IF(ITEM!$B55="","",ITEM!$E55)</f>
      </c>
      <c r="K77" s="6">
        <f>IF(ITEM!$B55="","",$G77*$J77)</f>
      </c>
      <c r="L77" s="2"/>
      <c r="M77" s="2"/>
      <c r="N77" s="2"/>
      <c r="O77" s="2"/>
    </row>
    <row r="78" spans="1:15" ht="13.05" hidden="1" customHeight="1" outlineLevel="2" x14ac:dyDescent="0.45">
      <c r="A78" s="4">
        <f>IF(ITEM!$B56="","",ITEM!$A56)</f>
      </c>
      <c r="B78" s="118">
        <f>IF(ITEM!$B56="","",ITEM!$B56)</f>
      </c>
      <c r="C78" s="119"/>
      <c r="D78" s="13">
        <f>IF(ITEM!$B56="","",ITEM!$D56)</f>
      </c>
      <c r="E78" s="5">
        <f>IF(ITEM!$B56="","",ITEM!$C56)</f>
      </c>
      <c r="F78" s="13" cm="1">
        <f t="array" ref="F78">IF(ITEM!$B56="","",SUMPRODUCT((COLUMN(ITEM!$G56:$J56)-COLUMN(ITEM!$G56)+1&lt;$O$1)*ITEM!$G56:$J56))</f>
      </c>
      <c r="G78" s="13" cm="1">
        <f t="array" ref="G78">IF(ITEM!$B56="","",INDEX(ITEM!$G56:$J56,1,$O$1))</f>
      </c>
      <c r="H78" s="13">
        <f>IF(ITEM!$B56="","",$F78+$G78)</f>
      </c>
      <c r="I78" s="13">
        <f>IF(ITEM!$B56="","",$D78-$H78)</f>
      </c>
      <c r="J78" s="6">
        <f>IF(ITEM!$B56="","",ITEM!$E56)</f>
      </c>
      <c r="K78" s="6">
        <f>IF(ITEM!$B56="","",$G78*$J78)</f>
      </c>
      <c r="L78" s="2"/>
      <c r="M78" s="2"/>
      <c r="N78" s="2"/>
      <c r="O78" s="2"/>
    </row>
    <row r="79" spans="1:15" ht="13.05" hidden="1" customHeight="1" outlineLevel="2" x14ac:dyDescent="0.45">
      <c r="A79" s="4">
        <f>IF(ITEM!$B57="","",ITEM!$A57)</f>
      </c>
      <c r="B79" s="118">
        <f>IF(ITEM!$B57="","",ITEM!$B57)</f>
      </c>
      <c r="C79" s="119"/>
      <c r="D79" s="13">
        <f>IF(ITEM!$B57="","",ITEM!$D57)</f>
      </c>
      <c r="E79" s="5">
        <f>IF(ITEM!$B57="","",ITEM!$C57)</f>
      </c>
      <c r="F79" s="13" cm="1">
        <f t="array" ref="F79">IF(ITEM!$B57="","",SUMPRODUCT((COLUMN(ITEM!$G57:$J57)-COLUMN(ITEM!$G57)+1&lt;$O$1)*ITEM!$G57:$J57))</f>
      </c>
      <c r="G79" s="13" cm="1">
        <f t="array" ref="G79">IF(ITEM!$B57="","",INDEX(ITEM!$G57:$J57,1,$O$1))</f>
      </c>
      <c r="H79" s="13">
        <f>IF(ITEM!$B57="","",$F79+$G79)</f>
      </c>
      <c r="I79" s="13">
        <f>IF(ITEM!$B57="","",$D79-$H79)</f>
      </c>
      <c r="J79" s="6">
        <f>IF(ITEM!$B57="","",ITEM!$E57)</f>
      </c>
      <c r="K79" s="6">
        <f>IF(ITEM!$B57="","",$G79*$J79)</f>
      </c>
      <c r="L79" s="2"/>
      <c r="M79" s="2"/>
      <c r="N79" s="2"/>
      <c r="O79" s="2"/>
    </row>
    <row r="80" spans="1:15" ht="13.05" hidden="1" customHeight="1" outlineLevel="2" x14ac:dyDescent="0.45">
      <c r="A80" s="4">
        <f>IF(ITEM!$B58="","",ITEM!$A58)</f>
      </c>
      <c r="B80" s="118">
        <f>IF(ITEM!$B58="","",ITEM!$B58)</f>
      </c>
      <c r="C80" s="119"/>
      <c r="D80" s="13">
        <f>IF(ITEM!$B58="","",ITEM!$D58)</f>
      </c>
      <c r="E80" s="5">
        <f>IF(ITEM!$B58="","",ITEM!$C58)</f>
      </c>
      <c r="F80" s="13" cm="1">
        <f t="array" ref="F80">IF(ITEM!$B58="","",SUMPRODUCT((COLUMN(ITEM!$G58:$J58)-COLUMN(ITEM!$G58)+1&lt;$O$1)*ITEM!$G58:$J58))</f>
      </c>
      <c r="G80" s="13" cm="1">
        <f t="array" ref="G80">IF(ITEM!$B58="","",INDEX(ITEM!$G58:$J58,1,$O$1))</f>
      </c>
      <c r="H80" s="13">
        <f>IF(ITEM!$B58="","",$F80+$G80)</f>
      </c>
      <c r="I80" s="13">
        <f>IF(ITEM!$B58="","",$D80-$H80)</f>
      </c>
      <c r="J80" s="6">
        <f>IF(ITEM!$B58="","",ITEM!$E58)</f>
      </c>
      <c r="K80" s="6">
        <f>IF(ITEM!$B58="","",$G80*$J80)</f>
      </c>
      <c r="L80" s="2"/>
      <c r="M80" s="2"/>
      <c r="N80" s="2"/>
      <c r="O80" s="2"/>
    </row>
    <row r="81" spans="1:15" ht="13.05" hidden="1" customHeight="1" outlineLevel="2" x14ac:dyDescent="0.45">
      <c r="A81" s="4">
        <f>IF(ITEM!$B59="","",ITEM!$A59)</f>
      </c>
      <c r="B81" s="118">
        <f>IF(ITEM!$B59="","",ITEM!$B59)</f>
      </c>
      <c r="C81" s="119"/>
      <c r="D81" s="13">
        <f>IF(ITEM!$B59="","",ITEM!$D59)</f>
      </c>
      <c r="E81" s="5">
        <f>IF(ITEM!$B59="","",ITEM!$C59)</f>
      </c>
      <c r="F81" s="13" cm="1">
        <f t="array" ref="F81">IF(ITEM!$B59="","",SUMPRODUCT((COLUMN(ITEM!$G59:$J59)-COLUMN(ITEM!$G59)+1&lt;$O$1)*ITEM!$G59:$J59))</f>
      </c>
      <c r="G81" s="13" cm="1">
        <f t="array" ref="G81">IF(ITEM!$B59="","",INDEX(ITEM!$G59:$J59,1,$O$1))</f>
      </c>
      <c r="H81" s="13">
        <f>IF(ITEM!$B59="","",$F81+$G81)</f>
      </c>
      <c r="I81" s="13">
        <f>IF(ITEM!$B59="","",$D81-$H81)</f>
      </c>
      <c r="J81" s="6">
        <f>IF(ITEM!$B59="","",ITEM!$E59)</f>
      </c>
      <c r="K81" s="6">
        <f>IF(ITEM!$B59="","",$G81*$J81)</f>
      </c>
      <c r="L81" s="2"/>
      <c r="M81" s="2"/>
      <c r="N81" s="2"/>
      <c r="O81" s="2"/>
    </row>
    <row r="82" spans="1:15" ht="13.05" hidden="1" customHeight="1" outlineLevel="2" x14ac:dyDescent="0.45">
      <c r="A82" s="4">
        <f>IF(ITEM!$B60="","",ITEM!$A60)</f>
      </c>
      <c r="B82" s="118">
        <f>IF(ITEM!$B60="","",ITEM!$B60)</f>
      </c>
      <c r="C82" s="119"/>
      <c r="D82" s="13">
        <f>IF(ITEM!$B60="","",ITEM!$D60)</f>
      </c>
      <c r="E82" s="5">
        <f>IF(ITEM!$B60="","",ITEM!$C60)</f>
      </c>
      <c r="F82" s="13" cm="1">
        <f t="array" ref="F82">IF(ITEM!$B60="","",SUMPRODUCT((COLUMN(ITEM!$G60:$J60)-COLUMN(ITEM!$G60)+1&lt;$O$1)*ITEM!$G60:$J60))</f>
      </c>
      <c r="G82" s="13" cm="1">
        <f t="array" ref="G82">IF(ITEM!$B60="","",INDEX(ITEM!$G60:$J60,1,$O$1))</f>
      </c>
      <c r="H82" s="13">
        <f>IF(ITEM!$B60="","",$F82+$G82)</f>
      </c>
      <c r="I82" s="13">
        <f>IF(ITEM!$B60="","",$D82-$H82)</f>
      </c>
      <c r="J82" s="6">
        <f>IF(ITEM!$B60="","",ITEM!$E60)</f>
      </c>
      <c r="K82" s="6">
        <f>IF(ITEM!$B60="","",$G82*$J82)</f>
      </c>
      <c r="L82" s="2"/>
      <c r="M82" s="2"/>
      <c r="N82" s="2"/>
      <c r="O82" s="2"/>
    </row>
    <row r="83" spans="1:15" ht="13.05" hidden="1" customHeight="1" outlineLevel="2" x14ac:dyDescent="0.45">
      <c r="A83" s="4">
        <f>IF(ITEM!$B61="","",ITEM!$A61)</f>
      </c>
      <c r="B83" s="118">
        <f>IF(ITEM!$B61="","",ITEM!$B61)</f>
      </c>
      <c r="C83" s="119"/>
      <c r="D83" s="13">
        <f>IF(ITEM!$B61="","",ITEM!$D61)</f>
      </c>
      <c r="E83" s="5">
        <f>IF(ITEM!$B61="","",ITEM!$C61)</f>
      </c>
      <c r="F83" s="13" cm="1">
        <f t="array" ref="F83">IF(ITEM!$B61="","",SUMPRODUCT((COLUMN(ITEM!$G61:$J61)-COLUMN(ITEM!$G61)+1&lt;$O$1)*ITEM!$G61:$J61))</f>
      </c>
      <c r="G83" s="13" cm="1">
        <f t="array" ref="G83">IF(ITEM!$B61="","",INDEX(ITEM!$G61:$J61,1,$O$1))</f>
      </c>
      <c r="H83" s="13">
        <f>IF(ITEM!$B61="","",$F83+$G83)</f>
      </c>
      <c r="I83" s="13">
        <f>IF(ITEM!$B61="","",$D83-$H83)</f>
      </c>
      <c r="J83" s="6">
        <f>IF(ITEM!$B61="","",ITEM!$E61)</f>
      </c>
      <c r="K83" s="6">
        <f>IF(ITEM!$B61="","",$G83*$J83)</f>
      </c>
      <c r="L83" s="2"/>
      <c r="M83" s="2"/>
      <c r="N83" s="2"/>
      <c r="O83" s="2"/>
    </row>
    <row r="84" spans="1:15" ht="13.05" hidden="1" customHeight="1" outlineLevel="2" x14ac:dyDescent="0.45">
      <c r="A84" s="4">
        <f>IF(ITEM!$B62="","",ITEM!$A62)</f>
      </c>
      <c r="B84" s="118">
        <f>IF(ITEM!$B62="","",ITEM!$B62)</f>
      </c>
      <c r="C84" s="119"/>
      <c r="D84" s="13">
        <f>IF(ITEM!$B62="","",ITEM!$D62)</f>
      </c>
      <c r="E84" s="5">
        <f>IF(ITEM!$B62="","",ITEM!$C62)</f>
      </c>
      <c r="F84" s="13" cm="1">
        <f t="array" ref="F84">IF(ITEM!$B62="","",SUMPRODUCT((COLUMN(ITEM!$G62:$J62)-COLUMN(ITEM!$G62)+1&lt;$O$1)*ITEM!$G62:$J62))</f>
      </c>
      <c r="G84" s="13" cm="1">
        <f t="array" ref="G84">IF(ITEM!$B62="","",INDEX(ITEM!$G62:$J62,1,$O$1))</f>
      </c>
      <c r="H84" s="13">
        <f>IF(ITEM!$B62="","",$F84+$G84)</f>
      </c>
      <c r="I84" s="13">
        <f>IF(ITEM!$B62="","",$D84-$H84)</f>
      </c>
      <c r="J84" s="6">
        <f>IF(ITEM!$B62="","",ITEM!$E62)</f>
      </c>
      <c r="K84" s="6">
        <f>IF(ITEM!$B62="","",$G84*$J84)</f>
      </c>
      <c r="L84" s="2"/>
      <c r="M84" s="2"/>
      <c r="N84" s="2"/>
      <c r="O84" s="2"/>
    </row>
    <row r="85" spans="1:15" ht="13.05" hidden="1" customHeight="1" outlineLevel="2" x14ac:dyDescent="0.45">
      <c r="A85" s="4">
        <f>IF(ITEM!$B63="","",ITEM!$A63)</f>
      </c>
      <c r="B85" s="118">
        <f>IF(ITEM!$B63="","",ITEM!$B63)</f>
      </c>
      <c r="C85" s="119"/>
      <c r="D85" s="13">
        <f>IF(ITEM!$B63="","",ITEM!$D63)</f>
      </c>
      <c r="E85" s="5">
        <f>IF(ITEM!$B63="","",ITEM!$C63)</f>
      </c>
      <c r="F85" s="13" cm="1">
        <f t="array" ref="F85">IF(ITEM!$B63="","",SUMPRODUCT((COLUMN(ITEM!$G63:$J63)-COLUMN(ITEM!$G63)+1&lt;$O$1)*ITEM!$G63:$J63))</f>
      </c>
      <c r="G85" s="13" cm="1">
        <f t="array" ref="G85">IF(ITEM!$B63="","",INDEX(ITEM!$G63:$J63,1,$O$1))</f>
      </c>
      <c r="H85" s="13">
        <f>IF(ITEM!$B63="","",$F85+$G85)</f>
      </c>
      <c r="I85" s="13">
        <f>IF(ITEM!$B63="","",$D85-$H85)</f>
      </c>
      <c r="J85" s="6">
        <f>IF(ITEM!$B63="","",ITEM!$E63)</f>
      </c>
      <c r="K85" s="6">
        <f>IF(ITEM!$B63="","",$G85*$J85)</f>
      </c>
      <c r="L85" s="2"/>
      <c r="M85" s="2"/>
      <c r="N85" s="2"/>
      <c r="O85" s="2"/>
    </row>
    <row r="86" spans="1:15" ht="13.05" hidden="1" customHeight="1" outlineLevel="2" x14ac:dyDescent="0.45">
      <c r="A86" s="4">
        <f>IF(ITEM!$B64="","",ITEM!$A64)</f>
      </c>
      <c r="B86" s="118">
        <f>IF(ITEM!$B64="","",ITEM!$B64)</f>
      </c>
      <c r="C86" s="119"/>
      <c r="D86" s="13">
        <f>IF(ITEM!$B64="","",ITEM!$D64)</f>
      </c>
      <c r="E86" s="5">
        <f>IF(ITEM!$B64="","",ITEM!$C64)</f>
      </c>
      <c r="F86" s="13" cm="1">
        <f t="array" ref="F86">IF(ITEM!$B64="","",SUMPRODUCT((COLUMN(ITEM!$G64:$J64)-COLUMN(ITEM!$G64)+1&lt;$O$1)*ITEM!$G64:$J64))</f>
      </c>
      <c r="G86" s="13" cm="1">
        <f t="array" ref="G86">IF(ITEM!$B64="","",INDEX(ITEM!$G64:$J64,1,$O$1))</f>
      </c>
      <c r="H86" s="13">
        <f>IF(ITEM!$B64="","",$F86+$G86)</f>
      </c>
      <c r="I86" s="13">
        <f>IF(ITEM!$B64="","",$D86-$H86)</f>
      </c>
      <c r="J86" s="6">
        <f>IF(ITEM!$B64="","",ITEM!$E64)</f>
      </c>
      <c r="K86" s="6">
        <f>IF(ITEM!$B64="","",$G86*$J86)</f>
      </c>
      <c r="L86" s="2"/>
      <c r="M86" s="2"/>
      <c r="N86" s="2"/>
      <c r="O86" s="2"/>
    </row>
    <row r="87" spans="1:15" ht="13.05" hidden="1" customHeight="1" outlineLevel="2" x14ac:dyDescent="0.45">
      <c r="A87" s="4">
        <f>IF(ITEM!$B65="","",ITEM!$A65)</f>
      </c>
      <c r="B87" s="118">
        <f>IF(ITEM!$B65="","",ITEM!$B65)</f>
      </c>
      <c r="C87" s="119"/>
      <c r="D87" s="13">
        <f>IF(ITEM!$B65="","",ITEM!$D65)</f>
      </c>
      <c r="E87" s="5">
        <f>IF(ITEM!$B65="","",ITEM!$C65)</f>
      </c>
      <c r="F87" s="13" cm="1">
        <f t="array" ref="F87">IF(ITEM!$B65="","",SUMPRODUCT((COLUMN(ITEM!$G65:$J65)-COLUMN(ITEM!$G65)+1&lt;$O$1)*ITEM!$G65:$J65))</f>
      </c>
      <c r="G87" s="13" cm="1">
        <f t="array" ref="G87">IF(ITEM!$B65="","",INDEX(ITEM!$G65:$J65,1,$O$1))</f>
      </c>
      <c r="H87" s="13">
        <f>IF(ITEM!$B65="","",$F87+$G87)</f>
      </c>
      <c r="I87" s="13">
        <f>IF(ITEM!$B65="","",$D87-$H87)</f>
      </c>
      <c r="J87" s="6">
        <f>IF(ITEM!$B65="","",ITEM!$E65)</f>
      </c>
      <c r="K87" s="6">
        <f>IF(ITEM!$B65="","",$G87*$J87)</f>
      </c>
      <c r="L87" s="2"/>
      <c r="M87" s="2"/>
      <c r="N87" s="2"/>
      <c r="O87" s="2"/>
    </row>
    <row r="88" spans="1:15" ht="13.05" hidden="1" customHeight="1" outlineLevel="2" x14ac:dyDescent="0.45">
      <c r="A88" s="4">
        <f>IF(ITEM!$B66="","",ITEM!$A66)</f>
      </c>
      <c r="B88" s="118">
        <f>IF(ITEM!$B66="","",ITEM!$B66)</f>
      </c>
      <c r="C88" s="119"/>
      <c r="D88" s="13">
        <f>IF(ITEM!$B66="","",ITEM!$D66)</f>
      </c>
      <c r="E88" s="5">
        <f>IF(ITEM!$B66="","",ITEM!$C66)</f>
      </c>
      <c r="F88" s="13" cm="1">
        <f t="array" ref="F88">IF(ITEM!$B66="","",SUMPRODUCT((COLUMN(ITEM!$G66:$J66)-COLUMN(ITEM!$G66)+1&lt;$O$1)*ITEM!$G66:$J66))</f>
      </c>
      <c r="G88" s="13" cm="1">
        <f t="array" ref="G88">IF(ITEM!$B66="","",INDEX(ITEM!$G66:$J66,1,$O$1))</f>
      </c>
      <c r="H88" s="13">
        <f>IF(ITEM!$B66="","",$F88+$G88)</f>
      </c>
      <c r="I88" s="13">
        <f>IF(ITEM!$B66="","",$D88-$H88)</f>
      </c>
      <c r="J88" s="6">
        <f>IF(ITEM!$B66="","",ITEM!$E66)</f>
      </c>
      <c r="K88" s="6">
        <f>IF(ITEM!$B66="","",$G88*$J88)</f>
      </c>
      <c r="L88" s="2"/>
      <c r="M88" s="2"/>
      <c r="N88" s="2"/>
      <c r="O88" s="2"/>
    </row>
    <row r="89" spans="1:15" ht="13.05" hidden="1" customHeight="1" outlineLevel="2" x14ac:dyDescent="0.45">
      <c r="A89" s="4">
        <f>IF(ITEM!$B67="","",ITEM!$A67)</f>
      </c>
      <c r="B89" s="118">
        <f>IF(ITEM!$B67="","",ITEM!$B67)</f>
      </c>
      <c r="C89" s="119"/>
      <c r="D89" s="13">
        <f>IF(ITEM!$B67="","",ITEM!$D67)</f>
      </c>
      <c r="E89" s="5">
        <f>IF(ITEM!$B67="","",ITEM!$C67)</f>
      </c>
      <c r="F89" s="13" cm="1">
        <f t="array" ref="F89">IF(ITEM!$B67="","",SUMPRODUCT((COLUMN(ITEM!$G67:$J67)-COLUMN(ITEM!$G67)+1&lt;$O$1)*ITEM!$G67:$J67))</f>
      </c>
      <c r="G89" s="13" cm="1">
        <f t="array" ref="G89">IF(ITEM!$B67="","",INDEX(ITEM!$G67:$J67,1,$O$1))</f>
      </c>
      <c r="H89" s="13">
        <f>IF(ITEM!$B67="","",$F89+$G89)</f>
      </c>
      <c r="I89" s="13">
        <f>IF(ITEM!$B67="","",$D89-$H89)</f>
      </c>
      <c r="J89" s="6">
        <f>IF(ITEM!$B67="","",ITEM!$E67)</f>
      </c>
      <c r="K89" s="6">
        <f>IF(ITEM!$B67="","",$G89*$J89)</f>
      </c>
      <c r="L89" s="2"/>
      <c r="M89" s="2"/>
      <c r="N89" s="2"/>
      <c r="O89" s="2"/>
    </row>
    <row r="90" spans="1:15" ht="13.05" hidden="1" customHeight="1" outlineLevel="2" x14ac:dyDescent="0.45">
      <c r="A90" s="4">
        <f>IF(ITEM!$B68="","",ITEM!$A68)</f>
      </c>
      <c r="B90" s="118">
        <f>IF(ITEM!$B68="","",ITEM!$B68)</f>
      </c>
      <c r="C90" s="119"/>
      <c r="D90" s="13">
        <f>IF(ITEM!$B68="","",ITEM!$D68)</f>
      </c>
      <c r="E90" s="5">
        <f>IF(ITEM!$B68="","",ITEM!$C68)</f>
      </c>
      <c r="F90" s="13" cm="1">
        <f t="array" ref="F90">IF(ITEM!$B68="","",SUMPRODUCT((COLUMN(ITEM!$G68:$J68)-COLUMN(ITEM!$G68)+1&lt;$O$1)*ITEM!$G68:$J68))</f>
      </c>
      <c r="G90" s="13" cm="1">
        <f t="array" ref="G90">IF(ITEM!$B68="","",INDEX(ITEM!$G68:$J68,1,$O$1))</f>
      </c>
      <c r="H90" s="13">
        <f>IF(ITEM!$B68="","",$F90+$G90)</f>
      </c>
      <c r="I90" s="13">
        <f>IF(ITEM!$B68="","",$D90-$H90)</f>
      </c>
      <c r="J90" s="6">
        <f>IF(ITEM!$B68="","",ITEM!$E68)</f>
      </c>
      <c r="K90" s="6">
        <f>IF(ITEM!$B68="","",$G90*$J90)</f>
      </c>
      <c r="L90" s="2"/>
      <c r="M90" s="2"/>
      <c r="N90" s="2"/>
      <c r="O90" s="2"/>
    </row>
    <row r="91" spans="1:15" ht="13.05" hidden="1" customHeight="1" outlineLevel="2" x14ac:dyDescent="0.45">
      <c r="A91" s="4">
        <f>IF(ITEM!$B69="","",ITEM!$A69)</f>
      </c>
      <c r="B91" s="118">
        <f>IF(ITEM!$B69="","",ITEM!$B69)</f>
      </c>
      <c r="C91" s="119"/>
      <c r="D91" s="13">
        <f>IF(ITEM!$B69="","",ITEM!$D69)</f>
      </c>
      <c r="E91" s="5">
        <f>IF(ITEM!$B69="","",ITEM!$C69)</f>
      </c>
      <c r="F91" s="13" cm="1">
        <f t="array" ref="F91">IF(ITEM!$B69="","",SUMPRODUCT((COLUMN(ITEM!$G69:$J69)-COLUMN(ITEM!$G69)+1&lt;$O$1)*ITEM!$G69:$J69))</f>
      </c>
      <c r="G91" s="13" cm="1">
        <f t="array" ref="G91">IF(ITEM!$B69="","",INDEX(ITEM!$G69:$J69,1,$O$1))</f>
      </c>
      <c r="H91" s="13">
        <f>IF(ITEM!$B69="","",$F91+$G91)</f>
      </c>
      <c r="I91" s="13">
        <f>IF(ITEM!$B69="","",$D91-$H91)</f>
      </c>
      <c r="J91" s="6">
        <f>IF(ITEM!$B69="","",ITEM!$E69)</f>
      </c>
      <c r="K91" s="6">
        <f>IF(ITEM!$B69="","",$G91*$J91)</f>
      </c>
      <c r="L91" s="2"/>
      <c r="M91" s="2"/>
      <c r="N91" s="2"/>
      <c r="O91" s="2"/>
    </row>
    <row r="92" spans="1:15" ht="13.05" hidden="1" customHeight="1" outlineLevel="2" x14ac:dyDescent="0.45">
      <c r="A92" s="4">
        <f>IF(ITEM!$B70="","",ITEM!$A70)</f>
      </c>
      <c r="B92" s="118">
        <f>IF(ITEM!$B70="","",ITEM!$B70)</f>
      </c>
      <c r="C92" s="119"/>
      <c r="D92" s="13">
        <f>IF(ITEM!$B70="","",ITEM!$D70)</f>
      </c>
      <c r="E92" s="5">
        <f>IF(ITEM!$B70="","",ITEM!$C70)</f>
      </c>
      <c r="F92" s="13" cm="1">
        <f t="array" ref="F92">IF(ITEM!$B70="","",SUMPRODUCT((COLUMN(ITEM!$G70:$J70)-COLUMN(ITEM!$G70)+1&lt;$O$1)*ITEM!$G70:$J70))</f>
      </c>
      <c r="G92" s="13" cm="1">
        <f t="array" ref="G92">IF(ITEM!$B70="","",INDEX(ITEM!$G70:$J70,1,$O$1))</f>
      </c>
      <c r="H92" s="13">
        <f>IF(ITEM!$B70="","",$F92+$G92)</f>
      </c>
      <c r="I92" s="13">
        <f>IF(ITEM!$B70="","",$D92-$H92)</f>
      </c>
      <c r="J92" s="6">
        <f>IF(ITEM!$B70="","",ITEM!$E70)</f>
      </c>
      <c r="K92" s="6">
        <f>IF(ITEM!$B70="","",$G92*$J92)</f>
      </c>
      <c r="L92" s="2"/>
      <c r="M92" s="2"/>
      <c r="N92" s="2"/>
      <c r="O92" s="2"/>
    </row>
    <row r="93" spans="1:15" ht="13.05" hidden="1" customHeight="1" outlineLevel="2" x14ac:dyDescent="0.45">
      <c r="A93" s="4">
        <f>IF(ITEM!$B71="","",ITEM!$A71)</f>
      </c>
      <c r="B93" s="118">
        <f>IF(ITEM!$B71="","",ITEM!$B71)</f>
      </c>
      <c r="C93" s="119"/>
      <c r="D93" s="13">
        <f>IF(ITEM!$B71="","",ITEM!$D71)</f>
      </c>
      <c r="E93" s="5">
        <f>IF(ITEM!$B71="","",ITEM!$C71)</f>
      </c>
      <c r="F93" s="13" cm="1">
        <f t="array" ref="F93">IF(ITEM!$B71="","",SUMPRODUCT((COLUMN(ITEM!$G71:$J71)-COLUMN(ITEM!$G71)+1&lt;$O$1)*ITEM!$G71:$J71))</f>
      </c>
      <c r="G93" s="13" cm="1">
        <f t="array" ref="G93">IF(ITEM!$B71="","",INDEX(ITEM!$G71:$J71,1,$O$1))</f>
      </c>
      <c r="H93" s="13">
        <f>IF(ITEM!$B71="","",$F93+$G93)</f>
      </c>
      <c r="I93" s="13">
        <f>IF(ITEM!$B71="","",$D93-$H93)</f>
      </c>
      <c r="J93" s="6">
        <f>IF(ITEM!$B71="","",ITEM!$E71)</f>
      </c>
      <c r="K93" s="6">
        <f>IF(ITEM!$B71="","",$G93*$J93)</f>
      </c>
      <c r="L93" s="2"/>
      <c r="M93" s="2"/>
      <c r="N93" s="2"/>
      <c r="O93" s="2"/>
    </row>
    <row r="94" spans="1:15" ht="13.05" hidden="1" customHeight="1" outlineLevel="2" x14ac:dyDescent="0.45">
      <c r="A94" s="4">
        <f>IF(ITEM!$B72="","",ITEM!$A72)</f>
      </c>
      <c r="B94" s="118">
        <f>IF(ITEM!$B72="","",ITEM!$B72)</f>
      </c>
      <c r="C94" s="119"/>
      <c r="D94" s="13">
        <f>IF(ITEM!$B72="","",ITEM!$D72)</f>
      </c>
      <c r="E94" s="5">
        <f>IF(ITEM!$B72="","",ITEM!$C72)</f>
      </c>
      <c r="F94" s="13" cm="1">
        <f t="array" ref="F94">IF(ITEM!$B72="","",SUMPRODUCT((COLUMN(ITEM!$G72:$J72)-COLUMN(ITEM!$G72)+1&lt;$O$1)*ITEM!$G72:$J72))</f>
      </c>
      <c r="G94" s="13" cm="1">
        <f t="array" ref="G94">IF(ITEM!$B72="","",INDEX(ITEM!$G72:$J72,1,$O$1))</f>
      </c>
      <c r="H94" s="13">
        <f>IF(ITEM!$B72="","",$F94+$G94)</f>
      </c>
      <c r="I94" s="13">
        <f>IF(ITEM!$B72="","",$D94-$H94)</f>
      </c>
      <c r="J94" s="6">
        <f>IF(ITEM!$B72="","",ITEM!$E72)</f>
      </c>
      <c r="K94" s="6">
        <f>IF(ITEM!$B72="","",$G94*$J94)</f>
      </c>
      <c r="L94" s="2"/>
      <c r="M94" s="2"/>
      <c r="N94" s="2"/>
      <c r="O94" s="2"/>
    </row>
    <row r="95" spans="1:15" ht="13.05" hidden="1" customHeight="1" outlineLevel="2" x14ac:dyDescent="0.45">
      <c r="A95" s="4">
        <f>IF(ITEM!$B73="","",ITEM!$A73)</f>
      </c>
      <c r="B95" s="118">
        <f>IF(ITEM!$B73="","",ITEM!$B73)</f>
      </c>
      <c r="C95" s="119"/>
      <c r="D95" s="13">
        <f>IF(ITEM!$B73="","",ITEM!$D73)</f>
      </c>
      <c r="E95" s="5">
        <f>IF(ITEM!$B73="","",ITEM!$C73)</f>
      </c>
      <c r="F95" s="13" cm="1">
        <f t="array" ref="F95">IF(ITEM!$B73="","",SUMPRODUCT((COLUMN(ITEM!$G73:$J73)-COLUMN(ITEM!$G73)+1&lt;$O$1)*ITEM!$G73:$J73))</f>
      </c>
      <c r="G95" s="13" cm="1">
        <f t="array" ref="G95">IF(ITEM!$B73="","",INDEX(ITEM!$G73:$J73,1,$O$1))</f>
      </c>
      <c r="H95" s="13">
        <f>IF(ITEM!$B73="","",$F95+$G95)</f>
      </c>
      <c r="I95" s="13">
        <f>IF(ITEM!$B73="","",$D95-$H95)</f>
      </c>
      <c r="J95" s="6">
        <f>IF(ITEM!$B73="","",ITEM!$E73)</f>
      </c>
      <c r="K95" s="6">
        <f>IF(ITEM!$B73="","",$G95*$J95)</f>
      </c>
      <c r="L95" s="2"/>
      <c r="M95" s="2"/>
      <c r="N95" s="2"/>
      <c r="O95" s="2"/>
    </row>
    <row r="96" spans="1:15" ht="13.05" hidden="1" customHeight="1" outlineLevel="2" x14ac:dyDescent="0.45">
      <c r="A96" s="4">
        <f>IF(ITEM!$B74="","",ITEM!$A74)</f>
      </c>
      <c r="B96" s="118">
        <f>IF(ITEM!$B74="","",ITEM!$B74)</f>
      </c>
      <c r="C96" s="119"/>
      <c r="D96" s="13">
        <f>IF(ITEM!$B74="","",ITEM!$D74)</f>
      </c>
      <c r="E96" s="5">
        <f>IF(ITEM!$B74="","",ITEM!$C74)</f>
      </c>
      <c r="F96" s="13" cm="1">
        <f t="array" ref="F96">IF(ITEM!$B74="","",SUMPRODUCT((COLUMN(ITEM!$G74:$J74)-COLUMN(ITEM!$G74)+1&lt;$O$1)*ITEM!$G74:$J74))</f>
      </c>
      <c r="G96" s="13" cm="1">
        <f t="array" ref="G96">IF(ITEM!$B74="","",INDEX(ITEM!$G74:$J74,1,$O$1))</f>
      </c>
      <c r="H96" s="13">
        <f>IF(ITEM!$B74="","",$F96+$G96)</f>
      </c>
      <c r="I96" s="13">
        <f>IF(ITEM!$B74="","",$D96-$H96)</f>
      </c>
      <c r="J96" s="6">
        <f>IF(ITEM!$B74="","",ITEM!$E74)</f>
      </c>
      <c r="K96" s="6">
        <f>IF(ITEM!$B74="","",$G96*$J96)</f>
      </c>
      <c r="L96" s="2"/>
      <c r="M96" s="2"/>
      <c r="N96" s="2"/>
      <c r="O96" s="2"/>
    </row>
    <row r="97" spans="1:15" ht="13.05" hidden="1" customHeight="1" outlineLevel="2" x14ac:dyDescent="0.45">
      <c r="A97" s="4">
        <f>IF(ITEM!$B75="","",ITEM!$A75)</f>
      </c>
      <c r="B97" s="118">
        <f>IF(ITEM!$B75="","",ITEM!$B75)</f>
      </c>
      <c r="C97" s="119"/>
      <c r="D97" s="13">
        <f>IF(ITEM!$B75="","",ITEM!$D75)</f>
      </c>
      <c r="E97" s="5">
        <f>IF(ITEM!$B75="","",ITEM!$C75)</f>
      </c>
      <c r="F97" s="13" cm="1">
        <f t="array" ref="F97">IF(ITEM!$B75="","",SUMPRODUCT((COLUMN(ITEM!$G75:$J75)-COLUMN(ITEM!$G75)+1&lt;$O$1)*ITEM!$G75:$J75))</f>
      </c>
      <c r="G97" s="13" cm="1">
        <f t="array" ref="G97">IF(ITEM!$B75="","",INDEX(ITEM!$G75:$J75,1,$O$1))</f>
      </c>
      <c r="H97" s="13">
        <f>IF(ITEM!$B75="","",$F97+$G97)</f>
      </c>
      <c r="I97" s="13">
        <f>IF(ITEM!$B75="","",$D97-$H97)</f>
      </c>
      <c r="J97" s="6">
        <f>IF(ITEM!$B75="","",ITEM!$E75)</f>
      </c>
      <c r="K97" s="6">
        <f>IF(ITEM!$B75="","",$G97*$J97)</f>
      </c>
      <c r="L97" s="2"/>
      <c r="M97" s="2"/>
      <c r="N97" s="2"/>
      <c r="O97" s="2"/>
    </row>
    <row r="98" spans="1:15" ht="13.05" hidden="1" customHeight="1" outlineLevel="2" x14ac:dyDescent="0.45">
      <c r="A98" s="4">
        <f>IF(ITEM!$B76="","",ITEM!$A76)</f>
      </c>
      <c r="B98" s="118">
        <f>IF(ITEM!$B76="","",ITEM!$B76)</f>
      </c>
      <c r="C98" s="119"/>
      <c r="D98" s="13">
        <f>IF(ITEM!$B76="","",ITEM!$D76)</f>
      </c>
      <c r="E98" s="5">
        <f>IF(ITEM!$B76="","",ITEM!$C76)</f>
      </c>
      <c r="F98" s="13" cm="1">
        <f t="array" ref="F98">IF(ITEM!$B76="","",SUMPRODUCT((COLUMN(ITEM!$G76:$J76)-COLUMN(ITEM!$G76)+1&lt;$O$1)*ITEM!$G76:$J76))</f>
      </c>
      <c r="G98" s="13" cm="1">
        <f t="array" ref="G98">IF(ITEM!$B76="","",INDEX(ITEM!$G76:$J76,1,$O$1))</f>
      </c>
      <c r="H98" s="13">
        <f>IF(ITEM!$B76="","",$F98+$G98)</f>
      </c>
      <c r="I98" s="13">
        <f>IF(ITEM!$B76="","",$D98-$H98)</f>
      </c>
      <c r="J98" s="6">
        <f>IF(ITEM!$B76="","",ITEM!$E76)</f>
      </c>
      <c r="K98" s="6">
        <f>IF(ITEM!$B76="","",$G98*$J98)</f>
      </c>
      <c r="L98" s="2"/>
      <c r="M98" s="2"/>
      <c r="N98" s="2"/>
      <c r="O98" s="2"/>
    </row>
    <row r="99" spans="1:15" ht="13.05" hidden="1" customHeight="1" outlineLevel="2" x14ac:dyDescent="0.45">
      <c r="A99" s="4">
        <f>IF(ITEM!$B77="","",ITEM!$A77)</f>
      </c>
      <c r="B99" s="118">
        <f>IF(ITEM!$B77="","",ITEM!$B77)</f>
      </c>
      <c r="C99" s="119"/>
      <c r="D99" s="13">
        <f>IF(ITEM!$B77="","",ITEM!$D77)</f>
      </c>
      <c r="E99" s="5">
        <f>IF(ITEM!$B77="","",ITEM!$C77)</f>
      </c>
      <c r="F99" s="13" cm="1">
        <f t="array" ref="F99">IF(ITEM!$B77="","",SUMPRODUCT((COLUMN(ITEM!$G77:$J77)-COLUMN(ITEM!$G77)+1&lt;$O$1)*ITEM!$G77:$J77))</f>
      </c>
      <c r="G99" s="13" cm="1">
        <f t="array" ref="G99">IF(ITEM!$B77="","",INDEX(ITEM!$G77:$J77,1,$O$1))</f>
      </c>
      <c r="H99" s="13">
        <f>IF(ITEM!$B77="","",$F99+$G99)</f>
      </c>
      <c r="I99" s="13">
        <f>IF(ITEM!$B77="","",$D99-$H99)</f>
      </c>
      <c r="J99" s="6">
        <f>IF(ITEM!$B77="","",ITEM!$E77)</f>
      </c>
      <c r="K99" s="6">
        <f>IF(ITEM!$B77="","",$G99*$J99)</f>
      </c>
      <c r="L99" s="2"/>
      <c r="M99" s="2"/>
      <c r="N99" s="2"/>
      <c r="O99" s="2"/>
    </row>
    <row r="100" spans="1:15" ht="13.05" hidden="1" customHeight="1" outlineLevel="2" x14ac:dyDescent="0.45">
      <c r="A100" s="4">
        <f>IF(ITEM!$B78="","",ITEM!$A78)</f>
      </c>
      <c r="B100" s="118">
        <f>IF(ITEM!$B78="","",ITEM!$B78)</f>
      </c>
      <c r="C100" s="119"/>
      <c r="D100" s="13">
        <f>IF(ITEM!$B78="","",ITEM!$D78)</f>
      </c>
      <c r="E100" s="5">
        <f>IF(ITEM!$B78="","",ITEM!$C78)</f>
      </c>
      <c r="F100" s="13" cm="1">
        <f t="array" ref="F100">IF(ITEM!$B78="","",SUMPRODUCT((COLUMN(ITEM!$G78:$J78)-COLUMN(ITEM!$G78)+1&lt;$O$1)*ITEM!$G78:$J78))</f>
      </c>
      <c r="G100" s="13" cm="1">
        <f t="array" ref="G100">IF(ITEM!$B78="","",INDEX(ITEM!$G78:$J78,1,$O$1))</f>
      </c>
      <c r="H100" s="13">
        <f>IF(ITEM!$B78="","",$F100+$G100)</f>
      </c>
      <c r="I100" s="13">
        <f>IF(ITEM!$B78="","",$D100-$H100)</f>
      </c>
      <c r="J100" s="6">
        <f>IF(ITEM!$B78="","",ITEM!$E78)</f>
      </c>
      <c r="K100" s="6">
        <f>IF(ITEM!$B78="","",$G100*$J100)</f>
      </c>
      <c r="L100" s="2"/>
      <c r="M100" s="2"/>
      <c r="N100" s="2"/>
      <c r="O100" s="2"/>
    </row>
    <row r="101" spans="1:15" ht="13.05" hidden="1" customHeight="1" outlineLevel="2" x14ac:dyDescent="0.45">
      <c r="A101" s="4">
        <f>IF(ITEM!$B79="","",ITEM!$A79)</f>
      </c>
      <c r="B101" s="118">
        <f>IF(ITEM!$B79="","",ITEM!$B79)</f>
      </c>
      <c r="C101" s="119"/>
      <c r="D101" s="13">
        <f>IF(ITEM!$B79="","",ITEM!$D79)</f>
      </c>
      <c r="E101" s="5">
        <f>IF(ITEM!$B79="","",ITEM!$C79)</f>
      </c>
      <c r="F101" s="13" cm="1">
        <f t="array" ref="F101">IF(ITEM!$B79="","",SUMPRODUCT((COLUMN(ITEM!$G79:$J79)-COLUMN(ITEM!$G79)+1&lt;$O$1)*ITEM!$G79:$J79))</f>
      </c>
      <c r="G101" s="13" cm="1">
        <f t="array" ref="G101">IF(ITEM!$B79="","",INDEX(ITEM!$G79:$J79,1,$O$1))</f>
      </c>
      <c r="H101" s="13">
        <f>IF(ITEM!$B79="","",$F101+$G101)</f>
      </c>
      <c r="I101" s="13">
        <f>IF(ITEM!$B79="","",$D101-$H101)</f>
      </c>
      <c r="J101" s="6">
        <f>IF(ITEM!$B79="","",ITEM!$E79)</f>
      </c>
      <c r="K101" s="6">
        <f>IF(ITEM!$B79="","",$G101*$J101)</f>
      </c>
      <c r="L101" s="2"/>
      <c r="M101" s="2"/>
      <c r="N101" s="2"/>
      <c r="O101" s="2"/>
    </row>
    <row r="102" spans="1:15" ht="13.05" hidden="1" customHeight="1" outlineLevel="2" x14ac:dyDescent="0.45">
      <c r="A102" s="4">
        <f>IF(ITEM!$B80="","",ITEM!$A80)</f>
      </c>
      <c r="B102" s="118">
        <f>IF(ITEM!$B80="","",ITEM!$B80)</f>
      </c>
      <c r="C102" s="119"/>
      <c r="D102" s="13">
        <f>IF(ITEM!$B80="","",ITEM!$D80)</f>
      </c>
      <c r="E102" s="5">
        <f>IF(ITEM!$B80="","",ITEM!$C80)</f>
      </c>
      <c r="F102" s="13" cm="1">
        <f t="array" ref="F102">IF(ITEM!$B80="","",SUMPRODUCT((COLUMN(ITEM!$G80:$J80)-COLUMN(ITEM!$G80)+1&lt;$O$1)*ITEM!$G80:$J80))</f>
      </c>
      <c r="G102" s="13" cm="1">
        <f t="array" ref="G102">IF(ITEM!$B80="","",INDEX(ITEM!$G80:$J80,1,$O$1))</f>
      </c>
      <c r="H102" s="13">
        <f>IF(ITEM!$B80="","",$F102+$G102)</f>
      </c>
      <c r="I102" s="13">
        <f>IF(ITEM!$B80="","",$D102-$H102)</f>
      </c>
      <c r="J102" s="6">
        <f>IF(ITEM!$B80="","",ITEM!$E80)</f>
      </c>
      <c r="K102" s="6">
        <f>IF(ITEM!$B80="","",$G102*$J102)</f>
      </c>
      <c r="L102" s="2"/>
      <c r="M102" s="2"/>
      <c r="N102" s="2"/>
      <c r="O102" s="2"/>
    </row>
    <row r="103" spans="1:15" ht="13.05" hidden="1" customHeight="1" outlineLevel="2" x14ac:dyDescent="0.45">
      <c r="A103" s="4">
        <f>IF(ITEM!$B81="","",ITEM!$A81)</f>
      </c>
      <c r="B103" s="118">
        <f>IF(ITEM!$B81="","",ITEM!$B81)</f>
      </c>
      <c r="C103" s="119"/>
      <c r="D103" s="13">
        <f>IF(ITEM!$B81="","",ITEM!$D81)</f>
      </c>
      <c r="E103" s="5">
        <f>IF(ITEM!$B81="","",ITEM!$C81)</f>
      </c>
      <c r="F103" s="13" cm="1">
        <f t="array" ref="F103">IF(ITEM!$B81="","",SUMPRODUCT((COLUMN(ITEM!$G81:$J81)-COLUMN(ITEM!$G81)+1&lt;$O$1)*ITEM!$G81:$J81))</f>
      </c>
      <c r="G103" s="13" cm="1">
        <f t="array" ref="G103">IF(ITEM!$B81="","",INDEX(ITEM!$G81:$J81,1,$O$1))</f>
      </c>
      <c r="H103" s="13">
        <f>IF(ITEM!$B81="","",$F103+$G103)</f>
      </c>
      <c r="I103" s="13">
        <f>IF(ITEM!$B81="","",$D103-$H103)</f>
      </c>
      <c r="J103" s="6">
        <f>IF(ITEM!$B81="","",ITEM!$E81)</f>
      </c>
      <c r="K103" s="6">
        <f>IF(ITEM!$B81="","",$G103*$J103)</f>
      </c>
      <c r="L103" s="2"/>
      <c r="M103" s="2"/>
      <c r="N103" s="2"/>
      <c r="O103" s="2"/>
    </row>
    <row r="104" spans="1:15" ht="13.05" hidden="1" customHeight="1" outlineLevel="2" x14ac:dyDescent="0.45">
      <c r="A104" s="4">
        <f>IF(ITEM!$B82="","",ITEM!$A82)</f>
      </c>
      <c r="B104" s="118">
        <f>IF(ITEM!$B82="","",ITEM!$B82)</f>
      </c>
      <c r="C104" s="119"/>
      <c r="D104" s="13">
        <f>IF(ITEM!$B82="","",ITEM!$D82)</f>
      </c>
      <c r="E104" s="5">
        <f>IF(ITEM!$B82="","",ITEM!$C82)</f>
      </c>
      <c r="F104" s="13" cm="1">
        <f t="array" ref="F104">IF(ITEM!$B82="","",SUMPRODUCT((COLUMN(ITEM!$G82:$J82)-COLUMN(ITEM!$G82)+1&lt;$O$1)*ITEM!$G82:$J82))</f>
      </c>
      <c r="G104" s="13" cm="1">
        <f t="array" ref="G104">IF(ITEM!$B82="","",INDEX(ITEM!$G82:$J82,1,$O$1))</f>
      </c>
      <c r="H104" s="13">
        <f>IF(ITEM!$B82="","",$F104+$G104)</f>
      </c>
      <c r="I104" s="13">
        <f>IF(ITEM!$B82="","",$D104-$H104)</f>
      </c>
      <c r="J104" s="6">
        <f>IF(ITEM!$B82="","",ITEM!$E82)</f>
      </c>
      <c r="K104" s="6">
        <f>IF(ITEM!$B82="","",$G104*$J104)</f>
      </c>
      <c r="L104" s="2"/>
      <c r="M104" s="2"/>
      <c r="N104" s="2"/>
      <c r="O104" s="2"/>
    </row>
    <row r="105" spans="1:15" ht="13.05" hidden="1" customHeight="1" outlineLevel="2" x14ac:dyDescent="0.45">
      <c r="A105" s="4">
        <f>IF(ITEM!$B83="","",ITEM!$A83)</f>
      </c>
      <c r="B105" s="118">
        <f>IF(ITEM!$B83="","",ITEM!$B83)</f>
      </c>
      <c r="C105" s="119"/>
      <c r="D105" s="13">
        <f>IF(ITEM!$B83="","",ITEM!$D83)</f>
      </c>
      <c r="E105" s="5">
        <f>IF(ITEM!$B83="","",ITEM!$C83)</f>
      </c>
      <c r="F105" s="13" cm="1">
        <f t="array" ref="F105">IF(ITEM!$B83="","",SUMPRODUCT((COLUMN(ITEM!$G83:$J83)-COLUMN(ITEM!$G83)+1&lt;$O$1)*ITEM!$G83:$J83))</f>
      </c>
      <c r="G105" s="13" cm="1">
        <f t="array" ref="G105">IF(ITEM!$B83="","",INDEX(ITEM!$G83:$J83,1,$O$1))</f>
      </c>
      <c r="H105" s="13">
        <f>IF(ITEM!$B83="","",$F105+$G105)</f>
      </c>
      <c r="I105" s="13">
        <f>IF(ITEM!$B83="","",$D105-$H105)</f>
      </c>
      <c r="J105" s="6">
        <f>IF(ITEM!$B83="","",ITEM!$E83)</f>
      </c>
      <c r="K105" s="6">
        <f>IF(ITEM!$B83="","",$G105*$J105)</f>
      </c>
      <c r="L105" s="2"/>
      <c r="M105" s="2"/>
      <c r="N105" s="2"/>
      <c r="O105" s="2"/>
    </row>
    <row r="106" spans="1:15" ht="13.05" hidden="1" customHeight="1" outlineLevel="2" x14ac:dyDescent="0.45">
      <c r="A106" s="4">
        <f>IF(ITEM!$B84="","",ITEM!$A84)</f>
      </c>
      <c r="B106" s="118">
        <f>IF(ITEM!$B84="","",ITEM!$B84)</f>
      </c>
      <c r="C106" s="119"/>
      <c r="D106" s="13">
        <f>IF(ITEM!$B84="","",ITEM!$D84)</f>
      </c>
      <c r="E106" s="5">
        <f>IF(ITEM!$B84="","",ITEM!$C84)</f>
      </c>
      <c r="F106" s="13" cm="1">
        <f t="array" ref="F106">IF(ITEM!$B84="","",SUMPRODUCT((COLUMN(ITEM!$G84:$J84)-COLUMN(ITEM!$G84)+1&lt;$O$1)*ITEM!$G84:$J84))</f>
      </c>
      <c r="G106" s="13" cm="1">
        <f t="array" ref="G106">IF(ITEM!$B84="","",INDEX(ITEM!$G84:$J84,1,$O$1))</f>
      </c>
      <c r="H106" s="13">
        <f>IF(ITEM!$B84="","",$F106+$G106)</f>
      </c>
      <c r="I106" s="13">
        <f>IF(ITEM!$B84="","",$D106-$H106)</f>
      </c>
      <c r="J106" s="6">
        <f>IF(ITEM!$B84="","",ITEM!$E84)</f>
      </c>
      <c r="K106" s="6">
        <f>IF(ITEM!$B84="","",$G106*$J106)</f>
      </c>
      <c r="L106" s="2"/>
      <c r="M106" s="2"/>
      <c r="N106" s="2"/>
      <c r="O106" s="2"/>
    </row>
    <row r="107" spans="1:15" ht="13.05" hidden="1" customHeight="1" outlineLevel="2" x14ac:dyDescent="0.45">
      <c r="A107" s="4">
        <f>IF(ITEM!$B85="","",ITEM!$A85)</f>
      </c>
      <c r="B107" s="118">
        <f>IF(ITEM!$B85="","",ITEM!$B85)</f>
      </c>
      <c r="C107" s="119"/>
      <c r="D107" s="13">
        <f>IF(ITEM!$B85="","",ITEM!$D85)</f>
      </c>
      <c r="E107" s="5">
        <f>IF(ITEM!$B85="","",ITEM!$C85)</f>
      </c>
      <c r="F107" s="13" cm="1">
        <f t="array" ref="F107">IF(ITEM!$B85="","",SUMPRODUCT((COLUMN(ITEM!$G85:$J85)-COLUMN(ITEM!$G85)+1&lt;$O$1)*ITEM!$G85:$J85))</f>
      </c>
      <c r="G107" s="13" cm="1">
        <f t="array" ref="G107">IF(ITEM!$B85="","",INDEX(ITEM!$G85:$J85,1,$O$1))</f>
      </c>
      <c r="H107" s="13">
        <f>IF(ITEM!$B85="","",$F107+$G107)</f>
      </c>
      <c r="I107" s="13">
        <f>IF(ITEM!$B85="","",$D107-$H107)</f>
      </c>
      <c r="J107" s="6">
        <f>IF(ITEM!$B85="","",ITEM!$E85)</f>
      </c>
      <c r="K107" s="6">
        <f>IF(ITEM!$B85="","",$G107*$J107)</f>
      </c>
      <c r="L107" s="2"/>
      <c r="M107" s="2"/>
      <c r="N107" s="2"/>
      <c r="O107" s="2"/>
    </row>
    <row r="108" spans="1:15" ht="13.05" hidden="1" customHeight="1" outlineLevel="2" x14ac:dyDescent="0.45">
      <c r="A108" s="4">
        <f>IF(ITEM!$B86="","",ITEM!$A86)</f>
      </c>
      <c r="B108" s="118">
        <f>IF(ITEM!$B86="","",ITEM!$B86)</f>
      </c>
      <c r="C108" s="119"/>
      <c r="D108" s="13">
        <f>IF(ITEM!$B86="","",ITEM!$D86)</f>
      </c>
      <c r="E108" s="5">
        <f>IF(ITEM!$B86="","",ITEM!$C86)</f>
      </c>
      <c r="F108" s="13" cm="1">
        <f t="array" ref="F108">IF(ITEM!$B86="","",SUMPRODUCT((COLUMN(ITEM!$G86:$J86)-COLUMN(ITEM!$G86)+1&lt;$O$1)*ITEM!$G86:$J86))</f>
      </c>
      <c r="G108" s="13" cm="1">
        <f t="array" ref="G108">IF(ITEM!$B86="","",INDEX(ITEM!$G86:$J86,1,$O$1))</f>
      </c>
      <c r="H108" s="13">
        <f>IF(ITEM!$B86="","",$F108+$G108)</f>
      </c>
      <c r="I108" s="13">
        <f>IF(ITEM!$B86="","",$D108-$H108)</f>
      </c>
      <c r="J108" s="6">
        <f>IF(ITEM!$B86="","",ITEM!$E86)</f>
      </c>
      <c r="K108" s="6">
        <f>IF(ITEM!$B86="","",$G108*$J108)</f>
      </c>
      <c r="L108" s="2"/>
      <c r="M108" s="2"/>
      <c r="N108" s="2"/>
      <c r="O108" s="2"/>
    </row>
    <row r="109" spans="1:15" ht="13.05" hidden="1" customHeight="1" outlineLevel="2" x14ac:dyDescent="0.45">
      <c r="A109" s="4">
        <f>IF(ITEM!$B87="","",ITEM!$A87)</f>
      </c>
      <c r="B109" s="118">
        <f>IF(ITEM!$B87="","",ITEM!$B87)</f>
      </c>
      <c r="C109" s="119"/>
      <c r="D109" s="13">
        <f>IF(ITEM!$B87="","",ITEM!$D87)</f>
      </c>
      <c r="E109" s="5">
        <f>IF(ITEM!$B87="","",ITEM!$C87)</f>
      </c>
      <c r="F109" s="13" cm="1">
        <f t="array" ref="F109">IF(ITEM!$B87="","",SUMPRODUCT((COLUMN(ITEM!$G87:$J87)-COLUMN(ITEM!$G87)+1&lt;$O$1)*ITEM!$G87:$J87))</f>
      </c>
      <c r="G109" s="13" cm="1">
        <f t="array" ref="G109">IF(ITEM!$B87="","",INDEX(ITEM!$G87:$J87,1,$O$1))</f>
      </c>
      <c r="H109" s="13">
        <f>IF(ITEM!$B87="","",$F109+$G109)</f>
      </c>
      <c r="I109" s="13">
        <f>IF(ITEM!$B87="","",$D109-$H109)</f>
      </c>
      <c r="J109" s="6">
        <f>IF(ITEM!$B87="","",ITEM!$E87)</f>
      </c>
      <c r="K109" s="6">
        <f>IF(ITEM!$B87="","",$G109*$J109)</f>
      </c>
      <c r="L109" s="2"/>
      <c r="M109" s="2"/>
      <c r="N109" s="2"/>
      <c r="O109" s="2"/>
    </row>
    <row r="110" spans="1:15" ht="13.05" hidden="1" customHeight="1" outlineLevel="2" x14ac:dyDescent="0.45">
      <c r="A110" s="4">
        <f>IF(ITEM!$B88="","",ITEM!$A88)</f>
      </c>
      <c r="B110" s="118">
        <f>IF(ITEM!$B88="","",ITEM!$B88)</f>
      </c>
      <c r="C110" s="119"/>
      <c r="D110" s="13">
        <f>IF(ITEM!$B88="","",ITEM!$D88)</f>
      </c>
      <c r="E110" s="5">
        <f>IF(ITEM!$B88="","",ITEM!$C88)</f>
      </c>
      <c r="F110" s="13" cm="1">
        <f t="array" ref="F110">IF(ITEM!$B88="","",SUMPRODUCT((COLUMN(ITEM!$G88:$J88)-COLUMN(ITEM!$G88)+1&lt;$O$1)*ITEM!$G88:$J88))</f>
      </c>
      <c r="G110" s="13" cm="1">
        <f t="array" ref="G110">IF(ITEM!$B88="","",INDEX(ITEM!$G88:$J88,1,$O$1))</f>
      </c>
      <c r="H110" s="13">
        <f>IF(ITEM!$B88="","",$F110+$G110)</f>
      </c>
      <c r="I110" s="13">
        <f>IF(ITEM!$B88="","",$D110-$H110)</f>
      </c>
      <c r="J110" s="6">
        <f>IF(ITEM!$B88="","",ITEM!$E88)</f>
      </c>
      <c r="K110" s="6">
        <f>IF(ITEM!$B88="","",$G110*$J110)</f>
      </c>
      <c r="L110" s="2"/>
      <c r="M110" s="2"/>
      <c r="N110" s="2"/>
      <c r="O110" s="2"/>
    </row>
    <row r="111" spans="1:15" ht="13.05" hidden="1" customHeight="1" outlineLevel="2" x14ac:dyDescent="0.45">
      <c r="A111" s="4">
        <f>IF(ITEM!$B89="","",ITEM!$A89)</f>
      </c>
      <c r="B111" s="118">
        <f>IF(ITEM!$B89="","",ITEM!$B89)</f>
      </c>
      <c r="C111" s="119"/>
      <c r="D111" s="13">
        <f>IF(ITEM!$B89="","",ITEM!$D89)</f>
      </c>
      <c r="E111" s="5">
        <f>IF(ITEM!$B89="","",ITEM!$C89)</f>
      </c>
      <c r="F111" s="13" cm="1">
        <f t="array" ref="F111">IF(ITEM!$B89="","",SUMPRODUCT((COLUMN(ITEM!$G89:$J89)-COLUMN(ITEM!$G89)+1&lt;$O$1)*ITEM!$G89:$J89))</f>
      </c>
      <c r="G111" s="13" cm="1">
        <f t="array" ref="G111">IF(ITEM!$B89="","",INDEX(ITEM!$G89:$J89,1,$O$1))</f>
      </c>
      <c r="H111" s="13">
        <f>IF(ITEM!$B89="","",$F111+$G111)</f>
      </c>
      <c r="I111" s="13">
        <f>IF(ITEM!$B89="","",$D111-$H111)</f>
      </c>
      <c r="J111" s="6">
        <f>IF(ITEM!$B89="","",ITEM!$E89)</f>
      </c>
      <c r="K111" s="6">
        <f>IF(ITEM!$B89="","",$G111*$J111)</f>
      </c>
      <c r="L111" s="2"/>
      <c r="M111" s="2"/>
      <c r="N111" s="2"/>
      <c r="O111" s="2"/>
    </row>
    <row r="112" spans="1:15" ht="13.05" hidden="1" customHeight="1" outlineLevel="2" x14ac:dyDescent="0.45">
      <c r="A112" s="4">
        <f>IF(ITEM!$B90="","",ITEM!$A90)</f>
      </c>
      <c r="B112" s="118">
        <f>IF(ITEM!$B90="","",ITEM!$B90)</f>
      </c>
      <c r="C112" s="119"/>
      <c r="D112" s="13">
        <f>IF(ITEM!$B90="","",ITEM!$D90)</f>
      </c>
      <c r="E112" s="5">
        <f>IF(ITEM!$B90="","",ITEM!$C90)</f>
      </c>
      <c r="F112" s="13" cm="1">
        <f t="array" ref="F112">IF(ITEM!$B90="","",SUMPRODUCT((COLUMN(ITEM!$G90:$J90)-COLUMN(ITEM!$G90)+1&lt;$O$1)*ITEM!$G90:$J90))</f>
      </c>
      <c r="G112" s="13" cm="1">
        <f t="array" ref="G112">IF(ITEM!$B90="","",INDEX(ITEM!$G90:$J90,1,$O$1))</f>
      </c>
      <c r="H112" s="13">
        <f>IF(ITEM!$B90="","",$F112+$G112)</f>
      </c>
      <c r="I112" s="13">
        <f>IF(ITEM!$B90="","",$D112-$H112)</f>
      </c>
      <c r="J112" s="6">
        <f>IF(ITEM!$B90="","",ITEM!$E90)</f>
      </c>
      <c r="K112" s="6">
        <f>IF(ITEM!$B90="","",$G112*$J112)</f>
      </c>
      <c r="L112" s="2"/>
      <c r="M112" s="2"/>
      <c r="N112" s="2"/>
      <c r="O112" s="2"/>
    </row>
    <row r="113" spans="1:15" ht="13.05" hidden="1" customHeight="1" outlineLevel="2" x14ac:dyDescent="0.45">
      <c r="A113" s="4">
        <f>IF(ITEM!$B91="","",ITEM!$A91)</f>
      </c>
      <c r="B113" s="118">
        <f>IF(ITEM!$B91="","",ITEM!$B91)</f>
      </c>
      <c r="C113" s="119"/>
      <c r="D113" s="13">
        <f>IF(ITEM!$B91="","",ITEM!$D91)</f>
      </c>
      <c r="E113" s="5">
        <f>IF(ITEM!$B91="","",ITEM!$C91)</f>
      </c>
      <c r="F113" s="13" cm="1">
        <f t="array" ref="F113">IF(ITEM!$B91="","",SUMPRODUCT((COLUMN(ITEM!$G91:$J91)-COLUMN(ITEM!$G91)+1&lt;$O$1)*ITEM!$G91:$J91))</f>
      </c>
      <c r="G113" s="13" cm="1">
        <f t="array" ref="G113">IF(ITEM!$B91="","",INDEX(ITEM!$G91:$J91,1,$O$1))</f>
      </c>
      <c r="H113" s="13">
        <f>IF(ITEM!$B91="","",$F113+$G113)</f>
      </c>
      <c r="I113" s="13">
        <f>IF(ITEM!$B91="","",$D113-$H113)</f>
      </c>
      <c r="J113" s="6">
        <f>IF(ITEM!$B91="","",ITEM!$E91)</f>
      </c>
      <c r="K113" s="6">
        <f>IF(ITEM!$B91="","",$G113*$J113)</f>
      </c>
      <c r="L113" s="2"/>
      <c r="M113" s="2"/>
      <c r="N113" s="2"/>
      <c r="O113" s="2"/>
    </row>
    <row r="114" spans="1:15" ht="13.05" hidden="1" customHeight="1" outlineLevel="2" x14ac:dyDescent="0.45">
      <c r="A114" s="4">
        <f>IF(ITEM!$B92="","",ITEM!$A92)</f>
      </c>
      <c r="B114" s="118">
        <f>IF(ITEM!$B92="","",ITEM!$B92)</f>
      </c>
      <c r="C114" s="119"/>
      <c r="D114" s="13">
        <f>IF(ITEM!$B92="","",ITEM!$D92)</f>
      </c>
      <c r="E114" s="5">
        <f>IF(ITEM!$B92="","",ITEM!$C92)</f>
      </c>
      <c r="F114" s="13" cm="1">
        <f t="array" ref="F114">IF(ITEM!$B92="","",SUMPRODUCT((COLUMN(ITEM!$G92:$J92)-COLUMN(ITEM!$G92)+1&lt;$O$1)*ITEM!$G92:$J92))</f>
      </c>
      <c r="G114" s="13" cm="1">
        <f t="array" ref="G114">IF(ITEM!$B92="","",INDEX(ITEM!$G92:$J92,1,$O$1))</f>
      </c>
      <c r="H114" s="13">
        <f>IF(ITEM!$B92="","",$F114+$G114)</f>
      </c>
      <c r="I114" s="13">
        <f>IF(ITEM!$B92="","",$D114-$H114)</f>
      </c>
      <c r="J114" s="6">
        <f>IF(ITEM!$B92="","",ITEM!$E92)</f>
      </c>
      <c r="K114" s="6">
        <f>IF(ITEM!$B92="","",$G114*$J114)</f>
      </c>
      <c r="L114" s="2"/>
      <c r="M114" s="2"/>
      <c r="N114" s="2"/>
      <c r="O114" s="2"/>
    </row>
    <row r="115" spans="1:15" ht="13.05" hidden="1" customHeight="1" outlineLevel="2" x14ac:dyDescent="0.45">
      <c r="A115" s="4">
        <f>IF(ITEM!$B93="","",ITEM!$A93)</f>
      </c>
      <c r="B115" s="118">
        <f>IF(ITEM!$B93="","",ITEM!$B93)</f>
      </c>
      <c r="C115" s="119"/>
      <c r="D115" s="13">
        <f>IF(ITEM!$B93="","",ITEM!$D93)</f>
      </c>
      <c r="E115" s="5">
        <f>IF(ITEM!$B93="","",ITEM!$C93)</f>
      </c>
      <c r="F115" s="13" cm="1">
        <f t="array" ref="F115">IF(ITEM!$B93="","",SUMPRODUCT((COLUMN(ITEM!$G93:$J93)-COLUMN(ITEM!$G93)+1&lt;$O$1)*ITEM!$G93:$J93))</f>
      </c>
      <c r="G115" s="13" cm="1">
        <f t="array" ref="G115">IF(ITEM!$B93="","",INDEX(ITEM!$G93:$J93,1,$O$1))</f>
      </c>
      <c r="H115" s="13">
        <f>IF(ITEM!$B93="","",$F115+$G115)</f>
      </c>
      <c r="I115" s="13">
        <f>IF(ITEM!$B93="","",$D115-$H115)</f>
      </c>
      <c r="J115" s="6">
        <f>IF(ITEM!$B93="","",ITEM!$E93)</f>
      </c>
      <c r="K115" s="6">
        <f>IF(ITEM!$B93="","",$G115*$J115)</f>
      </c>
      <c r="L115" s="2"/>
      <c r="M115" s="2"/>
      <c r="N115" s="2"/>
      <c r="O115" s="2"/>
    </row>
    <row r="116" spans="1:15" ht="13.05" hidden="1" customHeight="1" outlineLevel="2" x14ac:dyDescent="0.45">
      <c r="A116" s="4">
        <f>IF(ITEM!$B94="","",ITEM!$A94)</f>
      </c>
      <c r="B116" s="118">
        <f>IF(ITEM!$B94="","",ITEM!$B94)</f>
      </c>
      <c r="C116" s="119"/>
      <c r="D116" s="13">
        <f>IF(ITEM!$B94="","",ITEM!$D94)</f>
      </c>
      <c r="E116" s="5">
        <f>IF(ITEM!$B94="","",ITEM!$C94)</f>
      </c>
      <c r="F116" s="13" cm="1">
        <f t="array" ref="F116">IF(ITEM!$B94="","",SUMPRODUCT((COLUMN(ITEM!$G94:$J94)-COLUMN(ITEM!$G94)+1&lt;$O$1)*ITEM!$G94:$J94))</f>
      </c>
      <c r="G116" s="13" cm="1">
        <f t="array" ref="G116">IF(ITEM!$B94="","",INDEX(ITEM!$G94:$J94,1,$O$1))</f>
      </c>
      <c r="H116" s="13">
        <f>IF(ITEM!$B94="","",$F116+$G116)</f>
      </c>
      <c r="I116" s="13">
        <f>IF(ITEM!$B94="","",$D116-$H116)</f>
      </c>
      <c r="J116" s="6">
        <f>IF(ITEM!$B94="","",ITEM!$E94)</f>
      </c>
      <c r="K116" s="6">
        <f>IF(ITEM!$B94="","",$G116*$J116)</f>
      </c>
      <c r="L116" s="2"/>
      <c r="M116" s="2"/>
      <c r="N116" s="2"/>
      <c r="O116" s="2"/>
    </row>
    <row r="117" spans="1:15" ht="13.05" hidden="1" customHeight="1" outlineLevel="2" x14ac:dyDescent="0.45">
      <c r="A117" s="4">
        <f>IF(ITEM!$B95="","",ITEM!$A95)</f>
      </c>
      <c r="B117" s="118">
        <f>IF(ITEM!$B95="","",ITEM!$B95)</f>
      </c>
      <c r="C117" s="119"/>
      <c r="D117" s="13">
        <f>IF(ITEM!$B95="","",ITEM!$D95)</f>
      </c>
      <c r="E117" s="5">
        <f>IF(ITEM!$B95="","",ITEM!$C95)</f>
      </c>
      <c r="F117" s="13" cm="1">
        <f t="array" ref="F117">IF(ITEM!$B95="","",SUMPRODUCT((COLUMN(ITEM!$G95:$J95)-COLUMN(ITEM!$G95)+1&lt;$O$1)*ITEM!$G95:$J95))</f>
      </c>
      <c r="G117" s="13" cm="1">
        <f t="array" ref="G117">IF(ITEM!$B95="","",INDEX(ITEM!$G95:$J95,1,$O$1))</f>
      </c>
      <c r="H117" s="13">
        <f>IF(ITEM!$B95="","",$F117+$G117)</f>
      </c>
      <c r="I117" s="13">
        <f>IF(ITEM!$B95="","",$D117-$H117)</f>
      </c>
      <c r="J117" s="6">
        <f>IF(ITEM!$B95="","",ITEM!$E95)</f>
      </c>
      <c r="K117" s="6">
        <f>IF(ITEM!$B95="","",$G117*$J117)</f>
      </c>
      <c r="L117" s="2"/>
      <c r="M117" s="2"/>
      <c r="N117" s="2"/>
      <c r="O117" s="2"/>
    </row>
    <row r="118" spans="1:15" ht="13.05" hidden="1" customHeight="1" outlineLevel="2" x14ac:dyDescent="0.45">
      <c r="A118" s="4">
        <f>IF(ITEM!$B96="","",ITEM!$A96)</f>
      </c>
      <c r="B118" s="118">
        <f>IF(ITEM!$B96="","",ITEM!$B96)</f>
      </c>
      <c r="C118" s="119"/>
      <c r="D118" s="13">
        <f>IF(ITEM!$B96="","",ITEM!$D96)</f>
      </c>
      <c r="E118" s="5">
        <f>IF(ITEM!$B96="","",ITEM!$C96)</f>
      </c>
      <c r="F118" s="13" cm="1">
        <f t="array" ref="F118">IF(ITEM!$B96="","",SUMPRODUCT((COLUMN(ITEM!$G96:$J96)-COLUMN(ITEM!$G96)+1&lt;$O$1)*ITEM!$G96:$J96))</f>
      </c>
      <c r="G118" s="13" cm="1">
        <f t="array" ref="G118">IF(ITEM!$B96="","",INDEX(ITEM!$G96:$J96,1,$O$1))</f>
      </c>
      <c r="H118" s="13">
        <f>IF(ITEM!$B96="","",$F118+$G118)</f>
      </c>
      <c r="I118" s="13">
        <f>IF(ITEM!$B96="","",$D118-$H118)</f>
      </c>
      <c r="J118" s="6">
        <f>IF(ITEM!$B96="","",ITEM!$E96)</f>
      </c>
      <c r="K118" s="6">
        <f>IF(ITEM!$B96="","",$G118*$J118)</f>
      </c>
      <c r="L118" s="2"/>
      <c r="M118" s="2"/>
      <c r="N118" s="2"/>
      <c r="O118" s="2"/>
    </row>
    <row r="119" spans="1:15" ht="13.05" hidden="1" customHeight="1" outlineLevel="2" x14ac:dyDescent="0.45">
      <c r="A119" s="4">
        <f>IF(ITEM!$B97="","",ITEM!$A97)</f>
      </c>
      <c r="B119" s="118">
        <f>IF(ITEM!$B97="","",ITEM!$B97)</f>
      </c>
      <c r="C119" s="119"/>
      <c r="D119" s="13">
        <f>IF(ITEM!$B97="","",ITEM!$D97)</f>
      </c>
      <c r="E119" s="5">
        <f>IF(ITEM!$B97="","",ITEM!$C97)</f>
      </c>
      <c r="F119" s="13" cm="1">
        <f t="array" ref="F119">IF(ITEM!$B97="","",SUMPRODUCT((COLUMN(ITEM!$G97:$J97)-COLUMN(ITEM!$G97)+1&lt;$O$1)*ITEM!$G97:$J97))</f>
      </c>
      <c r="G119" s="13" cm="1">
        <f t="array" ref="G119">IF(ITEM!$B97="","",INDEX(ITEM!$G97:$J97,1,$O$1))</f>
      </c>
      <c r="H119" s="13">
        <f>IF(ITEM!$B97="","",$F119+$G119)</f>
      </c>
      <c r="I119" s="13">
        <f>IF(ITEM!$B97="","",$D119-$H119)</f>
      </c>
      <c r="J119" s="6">
        <f>IF(ITEM!$B97="","",ITEM!$E97)</f>
      </c>
      <c r="K119" s="6">
        <f>IF(ITEM!$B97="","",$G119*$J119)</f>
      </c>
      <c r="L119" s="2"/>
      <c r="M119" s="2"/>
      <c r="N119" s="2"/>
      <c r="O119" s="2"/>
    </row>
    <row r="120" spans="1:15" ht="13.05" hidden="1" customHeight="1" outlineLevel="2" x14ac:dyDescent="0.45">
      <c r="A120" s="4">
        <f>IF(ITEM!$B98="","",ITEM!$A98)</f>
      </c>
      <c r="B120" s="118">
        <f>IF(ITEM!$B98="","",ITEM!$B98)</f>
      </c>
      <c r="C120" s="119"/>
      <c r="D120" s="13">
        <f>IF(ITEM!$B98="","",ITEM!$D98)</f>
      </c>
      <c r="E120" s="5">
        <f>IF(ITEM!$B98="","",ITEM!$C98)</f>
      </c>
      <c r="F120" s="13" cm="1">
        <f t="array" ref="F120">IF(ITEM!$B98="","",SUMPRODUCT((COLUMN(ITEM!$G98:$J98)-COLUMN(ITEM!$G98)+1&lt;$O$1)*ITEM!$G98:$J98))</f>
      </c>
      <c r="G120" s="13" cm="1">
        <f t="array" ref="G120">IF(ITEM!$B98="","",INDEX(ITEM!$G98:$J98,1,$O$1))</f>
      </c>
      <c r="H120" s="13">
        <f>IF(ITEM!$B98="","",$F120+$G120)</f>
      </c>
      <c r="I120" s="13">
        <f>IF(ITEM!$B98="","",$D120-$H120)</f>
      </c>
      <c r="J120" s="6">
        <f>IF(ITEM!$B98="","",ITEM!$E98)</f>
      </c>
      <c r="K120" s="6">
        <f>IF(ITEM!$B98="","",$G120*$J120)</f>
      </c>
      <c r="L120" s="2"/>
      <c r="M120" s="2"/>
      <c r="N120" s="2"/>
      <c r="O120" s="2"/>
    </row>
    <row r="121" spans="1:15" ht="13.05" hidden="1" customHeight="1" outlineLevel="2" x14ac:dyDescent="0.45">
      <c r="A121" s="4">
        <f>IF(ITEM!$B99="","",ITEM!$A99)</f>
      </c>
      <c r="B121" s="118">
        <f>IF(ITEM!$B99="","",ITEM!$B99)</f>
      </c>
      <c r="C121" s="119"/>
      <c r="D121" s="13">
        <f>IF(ITEM!$B99="","",ITEM!$D99)</f>
      </c>
      <c r="E121" s="5">
        <f>IF(ITEM!$B99="","",ITEM!$C99)</f>
      </c>
      <c r="F121" s="13" cm="1">
        <f t="array" ref="F121">IF(ITEM!$B99="","",SUMPRODUCT((COLUMN(ITEM!$G99:$J99)-COLUMN(ITEM!$G99)+1&lt;$O$1)*ITEM!$G99:$J99))</f>
      </c>
      <c r="G121" s="13" cm="1">
        <f t="array" ref="G121">IF(ITEM!$B99="","",INDEX(ITEM!$G99:$J99,1,$O$1))</f>
      </c>
      <c r="H121" s="13">
        <f>IF(ITEM!$B99="","",$F121+$G121)</f>
      </c>
      <c r="I121" s="13">
        <f>IF(ITEM!$B99="","",$D121-$H121)</f>
      </c>
      <c r="J121" s="6">
        <f>IF(ITEM!$B99="","",ITEM!$E99)</f>
      </c>
      <c r="K121" s="6">
        <f>IF(ITEM!$B99="","",$G121*$J121)</f>
      </c>
      <c r="L121" s="2"/>
      <c r="M121" s="2"/>
      <c r="N121" s="2"/>
      <c r="O121" s="2"/>
    </row>
    <row r="122" spans="1:15" ht="13.05" hidden="1" customHeight="1" outlineLevel="2" x14ac:dyDescent="0.45">
      <c r="A122" s="4">
        <f>IF(ITEM!$B100="","",ITEM!$A100)</f>
      </c>
      <c r="B122" s="118">
        <f>IF(ITEM!$B100="","",ITEM!$B100)</f>
      </c>
      <c r="C122" s="119"/>
      <c r="D122" s="13">
        <f>IF(ITEM!$B100="","",ITEM!$D100)</f>
      </c>
      <c r="E122" s="5">
        <f>IF(ITEM!$B100="","",ITEM!$C100)</f>
      </c>
      <c r="F122" s="13" cm="1">
        <f t="array" ref="F122">IF(ITEM!$B100="","",SUMPRODUCT((COLUMN(ITEM!$G100:$J100)-COLUMN(ITEM!$G100)+1&lt;$O$1)*ITEM!$G100:$J100))</f>
      </c>
      <c r="G122" s="13" cm="1">
        <f t="array" ref="G122">IF(ITEM!$B100="","",INDEX(ITEM!$G100:$J100,1,$O$1))</f>
      </c>
      <c r="H122" s="13">
        <f>IF(ITEM!$B100="","",$F122+$G122)</f>
      </c>
      <c r="I122" s="13">
        <f>IF(ITEM!$B100="","",$D122-$H122)</f>
      </c>
      <c r="J122" s="6">
        <f>IF(ITEM!$B100="","",ITEM!$E100)</f>
      </c>
      <c r="K122" s="6">
        <f>IF(ITEM!$B100="","",$G122*$J122)</f>
      </c>
      <c r="L122" s="2"/>
      <c r="M122" s="2"/>
      <c r="N122" s="2"/>
      <c r="O122" s="2"/>
    </row>
    <row r="123" spans="1:15" ht="13.05" hidden="1" customHeight="1" outlineLevel="2" x14ac:dyDescent="0.45">
      <c r="A123" s="4">
        <f>IF(ITEM!$B101="","",ITEM!$A101)</f>
      </c>
      <c r="B123" s="118">
        <f>IF(ITEM!$B101="","",ITEM!$B101)</f>
      </c>
      <c r="C123" s="119"/>
      <c r="D123" s="13">
        <f>IF(ITEM!$B101="","",ITEM!$D101)</f>
      </c>
      <c r="E123" s="5">
        <f>IF(ITEM!$B101="","",ITEM!$C101)</f>
      </c>
      <c r="F123" s="13" cm="1">
        <f t="array" ref="F123">IF(ITEM!$B101="","",SUMPRODUCT((COLUMN(ITEM!$G101:$J101)-COLUMN(ITEM!$G101)+1&lt;$O$1)*ITEM!$G101:$J101))</f>
      </c>
      <c r="G123" s="13" cm="1">
        <f t="array" ref="G123">IF(ITEM!$B101="","",INDEX(ITEM!$G101:$J101,1,$O$1))</f>
      </c>
      <c r="H123" s="13">
        <f>IF(ITEM!$B101="","",$F123+$G123)</f>
      </c>
      <c r="I123" s="13">
        <f>IF(ITEM!$B101="","",$D123-$H123)</f>
      </c>
      <c r="J123" s="6">
        <f>IF(ITEM!$B101="","",ITEM!$E101)</f>
      </c>
      <c r="K123" s="6">
        <f>IF(ITEM!$B101="","",$G123*$J123)</f>
      </c>
      <c r="L123" s="2"/>
      <c r="M123" s="2"/>
      <c r="N123" s="2"/>
      <c r="O123" s="2"/>
    </row>
    <row r="124" spans="1:15" ht="13.05" hidden="1" customHeight="1" outlineLevel="2" x14ac:dyDescent="0.45">
      <c r="A124" s="4">
        <f>IF(ITEM!$B102="","",ITEM!$A102)</f>
      </c>
      <c r="B124" s="118">
        <f>IF(ITEM!$B102="","",ITEM!$B102)</f>
      </c>
      <c r="C124" s="119"/>
      <c r="D124" s="13">
        <f>IF(ITEM!$B102="","",ITEM!$D102)</f>
      </c>
      <c r="E124" s="5">
        <f>IF(ITEM!$B102="","",ITEM!$C102)</f>
      </c>
      <c r="F124" s="13" cm="1">
        <f t="array" ref="F124">IF(ITEM!$B102="","",SUMPRODUCT((COLUMN(ITEM!$G102:$J102)-COLUMN(ITEM!$G102)+1&lt;$O$1)*ITEM!$G102:$J102))</f>
      </c>
      <c r="G124" s="13" cm="1">
        <f t="array" ref="G124">IF(ITEM!$B102="","",INDEX(ITEM!$G102:$J102,1,$O$1))</f>
      </c>
      <c r="H124" s="13">
        <f>IF(ITEM!$B102="","",$F124+$G124)</f>
      </c>
      <c r="I124" s="13">
        <f>IF(ITEM!$B102="","",$D124-$H124)</f>
      </c>
      <c r="J124" s="6">
        <f>IF(ITEM!$B102="","",ITEM!$E102)</f>
      </c>
      <c r="K124" s="6">
        <f>IF(ITEM!$B102="","",$G124*$J124)</f>
      </c>
      <c r="L124" s="2"/>
      <c r="M124" s="2"/>
      <c r="N124" s="2"/>
      <c r="O124" s="2"/>
    </row>
    <row r="125" spans="1:15" ht="13.05" hidden="1" customHeight="1" outlineLevel="2" x14ac:dyDescent="0.45">
      <c r="A125" s="4">
        <f>IF(ITEM!$B103="","",ITEM!$A103)</f>
      </c>
      <c r="B125" s="118">
        <f>IF(ITEM!$B103="","",ITEM!$B103)</f>
      </c>
      <c r="C125" s="119"/>
      <c r="D125" s="13">
        <f>IF(ITEM!$B103="","",ITEM!$D103)</f>
      </c>
      <c r="E125" s="5">
        <f>IF(ITEM!$B103="","",ITEM!$C103)</f>
      </c>
      <c r="F125" s="13" cm="1">
        <f t="array" ref="F125">IF(ITEM!$B103="","",SUMPRODUCT((COLUMN(ITEM!$G103:$J103)-COLUMN(ITEM!$G103)+1&lt;$O$1)*ITEM!$G103:$J103))</f>
      </c>
      <c r="G125" s="13" cm="1">
        <f t="array" ref="G125">IF(ITEM!$B103="","",INDEX(ITEM!$G103:$J103,1,$O$1))</f>
      </c>
      <c r="H125" s="13">
        <f>IF(ITEM!$B103="","",$F125+$G125)</f>
      </c>
      <c r="I125" s="13">
        <f>IF(ITEM!$B103="","",$D125-$H125)</f>
      </c>
      <c r="J125" s="6">
        <f>IF(ITEM!$B103="","",ITEM!$E103)</f>
      </c>
      <c r="K125" s="6">
        <f>IF(ITEM!$B103="","",$G125*$J125)</f>
      </c>
      <c r="L125" s="2"/>
      <c r="M125" s="2"/>
      <c r="N125" s="2"/>
      <c r="O125" s="2"/>
    </row>
    <row r="126" spans="1:15" ht="13.05" customHeight="1" x14ac:dyDescent="0.45">
      <c r="A126" s="165" t="s">
        <v>103</v>
      </c>
      <c r="B126" s="166"/>
      <c r="C126" s="166"/>
      <c r="D126" s="166"/>
      <c r="E126" s="166"/>
      <c r="F126" s="166"/>
      <c r="G126" s="166"/>
      <c r="H126" s="166"/>
      <c r="I126" s="166"/>
      <c r="J126" s="167"/>
      <c r="K126" s="7">
        <f>SUM(K26:K125)</f>
      </c>
      <c r="L126" s="2"/>
      <c r="M126" s="2"/>
      <c r="N126" s="2"/>
      <c r="O126" s="2"/>
    </row>
    <row r="127" spans="1:15" ht="13.05" customHeight="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</row>
    <row r="128" spans="1:15" ht="13.05" customHeight="1" x14ac:dyDescent="0.45">
      <c r="A128" s="153" t="s">
        <v>156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2"/>
      <c r="M128" s="2"/>
      <c r="N128" s="2"/>
      <c r="O128" s="2"/>
    </row>
    <row r="129" spans="1:15" ht="13.05" customHeight="1" x14ac:dyDescent="0.45">
      <c r="A129" s="26">
        <v>1</v>
      </c>
      <c r="B129" s="151" t="s">
        <v>157</v>
      </c>
      <c r="C129" s="121"/>
      <c r="D129" s="121"/>
      <c r="E129" s="121"/>
      <c r="F129" s="121"/>
      <c r="G129" s="19" t="s">
        <v>158</v>
      </c>
      <c r="H129" s="28">
        <f>IF(ITEM!$C$107=0,0,SUMPRODUCT($H$26:$H$125,$J$26:$J$125)/ITEM!$C$107)</f>
      </c>
      <c r="I129" s="19" t="s">
        <v>159</v>
      </c>
      <c r="J129" s="19"/>
      <c r="K129" s="15">
        <f>ROUND(H129*ITEM!$C$107,0)</f>
      </c>
      <c r="L129" s="2"/>
      <c r="M129" s="2"/>
      <c r="N129" s="2"/>
      <c r="O129" s="2"/>
    </row>
    <row r="130" spans="1:15" ht="13.05" customHeight="1" x14ac:dyDescent="0.45">
      <c r="A130" s="26">
        <v>2</v>
      </c>
      <c r="B130" s="151" t="s">
        <v>160</v>
      </c>
      <c r="C130" s="121"/>
      <c r="D130" s="121"/>
      <c r="E130" s="121"/>
      <c r="F130" s="121"/>
      <c r="G130" s="19" t="s">
        <v>158</v>
      </c>
      <c r="H130" s="28">
        <f>IF(ITEM!$C$107=0,0,SUMPRODUCT($F$26:$F$125,$J$26:$J$125)/ITEM!$C$107)</f>
      </c>
      <c r="I130" s="19" t="s">
        <v>159</v>
      </c>
      <c r="J130" s="19"/>
      <c r="K130" s="15">
        <f>ROUND(H130*ITEM!$C$107,0)</f>
      </c>
      <c r="L130" s="2"/>
      <c r="M130" s="2"/>
      <c r="N130" s="2"/>
      <c r="O130" s="2"/>
    </row>
    <row r="131" spans="1:15" ht="13.05" customHeight="1" x14ac:dyDescent="0.45">
      <c r="A131" s="26">
        <v>3</v>
      </c>
      <c r="B131" s="151" t="s">
        <v>161</v>
      </c>
      <c r="C131" s="121"/>
      <c r="D131" s="121"/>
      <c r="E131" s="121"/>
      <c r="F131" s="121"/>
      <c r="G131" s="19" t="s">
        <v>158</v>
      </c>
      <c r="H131" s="28">
        <f>H129-H130</f>
      </c>
      <c r="I131" s="19" t="s">
        <v>159</v>
      </c>
      <c r="J131" s="19"/>
      <c r="K131" s="15">
        <f>K129-K130</f>
      </c>
      <c r="L131" s="2"/>
      <c r="M131" s="2"/>
      <c r="N131" s="2"/>
      <c r="O131" s="2"/>
    </row>
    <row r="132" spans="1:15" ht="13.05" customHeight="1" x14ac:dyDescent="0.45">
      <c r="A132" s="26">
        <v>4</v>
      </c>
      <c r="B132" s="151" t="s">
        <v>162</v>
      </c>
      <c r="C132" s="121"/>
      <c r="D132" s="121"/>
      <c r="E132" s="121"/>
      <c r="F132" s="121"/>
      <c r="G132" s="19"/>
      <c r="H132" s="28"/>
      <c r="I132" s="19"/>
      <c r="J132" s="19"/>
      <c r="K132" s="15"/>
      <c r="L132" s="2"/>
      <c r="M132" s="2"/>
      <c r="N132" s="2"/>
      <c r="O132" s="2"/>
    </row>
    <row r="133" spans="1:15" ht="13.05" customHeight="1" x14ac:dyDescent="0.45">
      <c r="A133" s="26"/>
      <c r="B133" s="151" t="s">
        <v>163</v>
      </c>
      <c r="C133" s="121"/>
      <c r="D133" s="121"/>
      <c r="E133" s="121"/>
      <c r="F133" s="121"/>
      <c r="G133" s="19" t="s">
        <v>158</v>
      </c>
      <c r="H133" s="28">
        <f>INPUT!$B$47</f>
      </c>
      <c r="I133" s="19" t="s">
        <v>159</v>
      </c>
      <c r="J133" s="19" t="s">
        <v>164</v>
      </c>
      <c r="K133" s="15">
        <f>-ROUND(H133*K131,0)</f>
      </c>
      <c r="L133" s="2"/>
      <c r="M133" s="2"/>
      <c r="N133" s="2"/>
      <c r="O133" s="2"/>
    </row>
    <row r="134" spans="1:15" ht="13.05" customHeight="1" x14ac:dyDescent="0.45">
      <c r="A134" s="26"/>
      <c r="B134" s="151" t="s">
        <v>165</v>
      </c>
      <c r="C134" s="121"/>
      <c r="D134" s="121"/>
      <c r="E134" s="121"/>
      <c r="F134" s="121"/>
      <c r="G134" s="19" t="s">
        <v>158</v>
      </c>
      <c r="H134" s="28">
        <f>INPUT!$B$46</f>
      </c>
      <c r="I134" s="19" t="s">
        <v>159</v>
      </c>
      <c r="J134" s="19" t="s">
        <v>164</v>
      </c>
      <c r="K134" s="15">
        <f>-ROUND(H134*K131,0)</f>
      </c>
      <c r="L134" s="2"/>
      <c r="M134" s="2"/>
      <c r="N134" s="2"/>
      <c r="O134" s="2"/>
    </row>
    <row r="135" spans="1:15" ht="13.05" customHeight="1" thickBot="1" x14ac:dyDescent="0.5">
      <c r="A135" s="27">
        <v>5</v>
      </c>
      <c r="B135" s="151" t="s">
        <v>166</v>
      </c>
      <c r="C135" s="121"/>
      <c r="D135" s="121"/>
      <c r="E135" s="121"/>
      <c r="F135" s="121"/>
      <c r="G135" s="19" t="s">
        <v>158</v>
      </c>
      <c r="H135" s="19"/>
      <c r="I135" s="19" t="s">
        <v>159</v>
      </c>
      <c r="J135" s="19"/>
      <c r="K135" s="16">
        <f>K131+K133+K134</f>
      </c>
      <c r="L135" s="2"/>
      <c r="M135" s="2"/>
      <c r="N135" s="2"/>
      <c r="O135" s="2"/>
    </row>
    <row r="136" spans="1:15" ht="13.05" customHeight="1" thickTop="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</row>
    <row r="137" spans="1:15" ht="13.05" customHeight="1" x14ac:dyDescent="0.45">
      <c r="A137" s="8"/>
      <c r="B137" s="53" t="s">
        <v>105</v>
      </c>
      <c r="C137" s="152">
        <f>": "&amp;$O$14</f>
      </c>
      <c r="D137" s="121"/>
      <c r="E137" s="121"/>
      <c r="F137" s="121"/>
      <c r="G137" s="121"/>
      <c r="H137" s="121"/>
      <c r="I137" s="121"/>
      <c r="J137" s="121"/>
      <c r="K137" s="121"/>
      <c r="L137" s="2"/>
      <c r="M137" s="2"/>
      <c r="N137" s="2"/>
      <c r="O137" s="2"/>
    </row>
    <row r="138" spans="1:15" ht="13.05" customHeight="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</row>
    <row r="139" spans="1:15" ht="13.05" customHeight="1" x14ac:dyDescent="0.45">
      <c r="A139" s="153" t="s">
        <v>167</v>
      </c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2"/>
      <c r="M139" s="2"/>
      <c r="N139" s="2"/>
      <c r="O139" s="2"/>
    </row>
    <row r="140" spans="1:15" ht="13.05" customHeight="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</row>
    <row r="141" spans="1:15" ht="13.05" customHeight="1" x14ac:dyDescent="0.45">
      <c r="A141" s="3"/>
      <c r="B141" s="125">
        <f>"Mengetahui,"</f>
      </c>
      <c r="C141" s="121"/>
      <c r="D141" s="121"/>
      <c r="E141" s="121"/>
      <c r="F141" s="162" t="s">
        <v>168</v>
      </c>
      <c r="G141" s="162"/>
      <c r="H141" s="162"/>
      <c r="I141" s="162" t="s">
        <v>169</v>
      </c>
      <c r="J141" s="162"/>
      <c r="K141" s="162"/>
      <c r="L141" s="2"/>
      <c r="M141" s="2"/>
      <c r="N141" s="2"/>
      <c r="O141" s="2"/>
    </row>
    <row r="142" spans="1:15" ht="13.05" customHeight="1" x14ac:dyDescent="0.45">
      <c r="A142" s="3"/>
      <c r="B142" s="122">
        <f>UPPER(INPUT!$B$6)</f>
      </c>
      <c r="C142" s="121"/>
      <c r="D142" s="121"/>
      <c r="E142" s="121"/>
      <c r="F142" s="122">
        <f>UPPER(INPUT!$B$6)</f>
      </c>
      <c r="G142" s="122"/>
      <c r="H142" s="122"/>
      <c r="I142" s="122">
        <f>UPPER(INPUT!$B$24)</f>
      </c>
      <c r="J142" s="122"/>
      <c r="K142" s="122"/>
      <c r="L142" s="2"/>
      <c r="M142" s="2"/>
      <c r="N142" s="2"/>
      <c r="O142" s="2"/>
    </row>
    <row r="143" spans="1:15" ht="30" customHeight="1" x14ac:dyDescent="0.45">
      <c r="A143" s="3"/>
      <c r="B143" s="3"/>
      <c r="C143" s="10"/>
      <c r="D143" s="3"/>
      <c r="E143" s="3"/>
      <c r="F143" s="10"/>
      <c r="G143" s="3"/>
      <c r="H143" s="3"/>
      <c r="I143" s="10"/>
      <c r="J143" s="3"/>
      <c r="K143" s="3"/>
      <c r="L143" s="2"/>
      <c r="M143" s="2"/>
      <c r="N143" s="2"/>
      <c r="O143" s="2"/>
    </row>
    <row r="144" spans="1:15" ht="30" customHeight="1" x14ac:dyDescent="0.45">
      <c r="A144" s="3"/>
      <c r="B144" s="3"/>
      <c r="C144" s="10"/>
      <c r="D144" s="3"/>
      <c r="E144" s="3"/>
      <c r="F144" s="10"/>
      <c r="G144" s="3"/>
      <c r="H144" s="3"/>
      <c r="I144" s="10"/>
      <c r="J144" s="3"/>
      <c r="K144" s="3"/>
      <c r="L144" s="2"/>
      <c r="M144" s="2"/>
      <c r="N144" s="2"/>
      <c r="O144" s="2"/>
    </row>
    <row r="145" spans="1:15" ht="30" customHeight="1" x14ac:dyDescent="0.45">
      <c r="A145" s="3"/>
      <c r="B145" s="3"/>
      <c r="C145" s="10"/>
      <c r="D145" s="3"/>
      <c r="E145" s="3"/>
      <c r="F145" s="10"/>
      <c r="G145" s="3"/>
      <c r="H145" s="3"/>
      <c r="I145" s="10"/>
      <c r="J145" s="3"/>
      <c r="K145" s="3"/>
      <c r="L145" s="2"/>
      <c r="M145" s="2"/>
      <c r="N145" s="2"/>
      <c r="O145" s="2"/>
    </row>
    <row r="146" spans="1:15" ht="13.05" customHeight="1" x14ac:dyDescent="0.45">
      <c r="A146" s="3"/>
      <c r="B146" s="123">
        <f>INPUT!$B$9</f>
      </c>
      <c r="C146" s="121"/>
      <c r="D146" s="121"/>
      <c r="E146" s="121"/>
      <c r="F146" s="168">
        <f>INPUT!$B$12</f>
      </c>
      <c r="G146" s="168"/>
      <c r="H146" s="168"/>
      <c r="I146" s="168">
        <f>INPUT!$B$23</f>
      </c>
      <c r="J146" s="168"/>
      <c r="K146" s="168"/>
      <c r="L146" s="2"/>
      <c r="M146" s="2"/>
      <c r="N146" s="2"/>
      <c r="O146" s="2"/>
    </row>
    <row r="147" spans="1:15" ht="13.05" customHeight="1" x14ac:dyDescent="0.45">
      <c r="A147" s="3"/>
      <c r="B147" s="125">
        <f>INPUT!$B$11</f>
      </c>
      <c r="C147" s="121"/>
      <c r="D147" s="121"/>
      <c r="E147" s="121"/>
      <c r="F147" s="162">
        <f>INPUT!$B$13</f>
      </c>
      <c r="G147" s="162"/>
      <c r="H147" s="162"/>
      <c r="I147" s="125" t="s">
        <v>120</v>
      </c>
      <c r="J147" s="125"/>
      <c r="K147" s="125"/>
      <c r="L147" s="2"/>
      <c r="M147" s="2"/>
      <c r="N147" s="2"/>
      <c r="O147" s="2"/>
    </row>
    <row r="148" spans="1:15" ht="13.05" customHeight="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</row>
    <row r="149" spans="1:15" ht="13.05" customHeight="1" x14ac:dyDescent="0.45">
      <c r="A149" s="8" t="s">
        <v>121</v>
      </c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</row>
    <row r="150" spans="1:15" ht="13.05" customHeight="1" x14ac:dyDescent="0.45">
      <c r="A150" s="3" t="s">
        <v>170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</row>
  </sheetData>
  <mergeCells count="146">
    <mergeCell ref="B65:C65"/>
    <mergeCell ref="B66:C66"/>
    <mergeCell ref="B67:C67"/>
    <mergeCell ref="B68:C68"/>
    <mergeCell ref="B69:C69"/>
    <mergeCell ref="F147:H147"/>
    <mergeCell ref="I147:K147"/>
    <mergeCell ref="F142:H142"/>
    <mergeCell ref="I142:K142"/>
    <mergeCell ref="F146:H146"/>
    <mergeCell ref="I146:K146"/>
    <mergeCell ref="B142:E142"/>
    <mergeCell ref="B146:E146"/>
    <mergeCell ref="B147:E147"/>
    <mergeCell ref="B70:C70"/>
    <mergeCell ref="B71:C71"/>
    <mergeCell ref="B72:C72"/>
    <mergeCell ref="B73:C73"/>
    <mergeCell ref="F141:H141"/>
    <mergeCell ref="I141:K141"/>
    <mergeCell ref="A126:J126"/>
    <mergeCell ref="A128:K128"/>
    <mergeCell ref="B133:F133"/>
    <mergeCell ref="B134:F134"/>
    <mergeCell ref="B135:F135"/>
    <mergeCell ref="C137:K137"/>
    <mergeCell ref="B141:E141"/>
    <mergeCell ref="A139:K139"/>
    <mergeCell ref="C13:K13"/>
    <mergeCell ref="C17:K17"/>
    <mergeCell ref="A15:K15"/>
    <mergeCell ref="A21:K21"/>
    <mergeCell ref="A23:A24"/>
    <mergeCell ref="D23:D24"/>
    <mergeCell ref="E23:E24"/>
    <mergeCell ref="F23:I23"/>
    <mergeCell ref="J23:J24"/>
    <mergeCell ref="K23:K24"/>
    <mergeCell ref="C18:K18"/>
    <mergeCell ref="C19:K19"/>
    <mergeCell ref="B23:C24"/>
    <mergeCell ref="B30:C30"/>
    <mergeCell ref="B31:C31"/>
    <mergeCell ref="B32:C32"/>
    <mergeCell ref="B33:C33"/>
    <mergeCell ref="B34:C34"/>
    <mergeCell ref="B25:C25"/>
    <mergeCell ref="B26:C26"/>
    <mergeCell ref="A1:K1"/>
    <mergeCell ref="A2:K2"/>
    <mergeCell ref="A3:K3"/>
    <mergeCell ref="A5:K5"/>
    <mergeCell ref="A6:K6"/>
    <mergeCell ref="A8:K8"/>
    <mergeCell ref="C10:K10"/>
    <mergeCell ref="C11:K11"/>
    <mergeCell ref="C12:K12"/>
    <mergeCell ref="B27:C27"/>
    <mergeCell ref="B28:C28"/>
    <mergeCell ref="B29:C2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45:C45"/>
    <mergeCell ref="B129:F129"/>
    <mergeCell ref="B130:F130"/>
    <mergeCell ref="B131:F131"/>
    <mergeCell ref="B132:F132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124:C124"/>
    <mergeCell ref="B125:C125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</mergeCells>
  <printOptions horizontalCentered="1"/>
  <pageMargins left="0.34722222222222221" right="0.34722222222222221" top="0.3888888888888889" bottom="0.3888888888888889" header="0.16666666666666666" footer="0.16666666666666666"/>
  <pageSetup paperSize="9" scale="76" orientation="portrait" r:id="rId1"/>
  <headerFooter>
    <oddFooter>&amp;RHal &amp;P dari &amp;N&amp;L&amp;Z&amp;F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CF91-C43A-49FC-8104-44710960281B}">
  <sheetPr>
    <tabColor rgb="FF1F3864"/>
    <pageSetUpPr fitToPage="1"/>
  </sheetPr>
  <dimension ref="A1:O150"/>
  <sheetViews>
    <sheetView showGridLines="0" showRowColHeaders="0" topLeftCell="A30" zoomScale="80" zoomScaleNormal="80" workbookViewId="0">
      <selection activeCell="I142" sqref="I142:K142"/>
    </sheetView>
  </sheetViews>
  <sheetFormatPr defaultRowHeight="14.25" outlineLevelRow="2" x14ac:dyDescent="0.45"/>
  <cols>
    <col min="1" max="1" width="5" customWidth="1"/>
    <col min="2" max="2" width="19.53125" customWidth="1"/>
    <col min="3" max="3" width="13.33203125" customWidth="1"/>
    <col min="4" max="4" width="11" customWidth="1"/>
    <col min="5" max="5" width="6.73046875" customWidth="1"/>
    <col min="6" max="9" width="10.33203125" customWidth="1"/>
    <col min="10" max="10" width="14.19921875" customWidth="1"/>
    <col min="11" max="11" width="16.33203125" customWidth="1"/>
  </cols>
  <sheetData>
    <row r="1" spans="1:15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2"/>
      <c r="M1" s="2"/>
      <c r="N1" s="90" t="s">
        <v>123</v>
      </c>
      <c r="O1" s="91">
        <v>3</v>
      </c>
    </row>
    <row r="2" spans="1:15" ht="13.05" customHeight="1" x14ac:dyDescent="0.45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2"/>
      <c r="M2" s="2"/>
      <c r="N2" s="90" t="s">
        <v>124</v>
      </c>
      <c r="O2" s="92" cm="1">
        <f t="array" ref="O2">IF(IFERROR(INDEX(INPUT!$B$55:$B$58,$O$1),0)=0,"",INDEX(INPUT!$B$55:$B$58,$O$1))</f>
      </c>
    </row>
    <row r="3" spans="1:15" ht="16.05" customHeight="1" x14ac:dyDescent="0.4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93"/>
      <c r="M3" s="93"/>
      <c r="N3" s="90" t="s">
        <v>125</v>
      </c>
      <c r="O3" s="92">
        <f>IF($O$2="","",TEXT($O$2,"dddd"))</f>
      </c>
    </row>
    <row r="4" spans="1:15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90" t="s">
        <v>126</v>
      </c>
      <c r="O4" s="92">
        <f>IF($O$2="","",IF(DAY($O$2)&lt;20,VLOOKUP(DAY($O$2),HELPER!$A$3:$B$22,2,0),IF(DAY($O$2)&lt;30,TRIM("Dua Puluh "&amp;VLOOKUP(DAY($O$2)-20,HELPER!$A$3:$B$22,2,0)),TRIM("Tiga Puluh "&amp;VLOOKUP(DAY($O$2)-30,HELPER!$A$3:$B$22,2,0)))))</f>
      </c>
    </row>
    <row r="5" spans="1:15" ht="22.05" customHeight="1" x14ac:dyDescent="0.5">
      <c r="A5" s="140" t="s">
        <v>127</v>
      </c>
      <c r="B5" s="140"/>
      <c r="C5" s="140"/>
      <c r="D5" s="125"/>
      <c r="E5" s="125"/>
      <c r="F5" s="125"/>
      <c r="G5" s="125"/>
      <c r="H5" s="125"/>
      <c r="I5" s="125"/>
      <c r="J5" s="125"/>
      <c r="K5" s="125"/>
      <c r="L5" s="2"/>
      <c r="M5" s="2"/>
      <c r="N5" s="90" t="s">
        <v>128</v>
      </c>
      <c r="O5" s="92">
        <f>IF($O$2="","",TEXT($O$2,"mmmm"))</f>
      </c>
    </row>
    <row r="6" spans="1:15" ht="16.05" customHeight="1" x14ac:dyDescent="0.45">
      <c r="A6" s="161" cm="1">
        <f t="array" ref="A6">IF($O$2="","","Nomor : "&amp;INDEX(INPUT!$C$55:$C$58,$O$1))</f>
      </c>
      <c r="B6" s="161"/>
      <c r="C6" s="161"/>
      <c r="D6" s="162"/>
      <c r="E6" s="162"/>
      <c r="F6" s="162"/>
      <c r="G6" s="162"/>
      <c r="H6" s="162"/>
      <c r="I6" s="162"/>
      <c r="J6" s="162"/>
      <c r="K6" s="162"/>
      <c r="L6" s="2"/>
      <c r="M6" s="2"/>
      <c r="N6" s="90" t="s">
        <v>129</v>
      </c>
      <c r="O6" s="92">
        <f>IF($O$2="","",TRIM(IF(INT(YEAR($O$2)/1000)=1,"Seribu ",IF(INT(YEAR($O$2)/1000)=0,"",IF(INT(INT(YEAR($O$2)/1000)/100)=0,"",IF(INT(INT(YEAR($O$2)/1000)/100)=1,"Seratus ",VLOOKUP(INT(INT(YEAR($O$2)/1000)/100),HELPER!$A$3:$B$22,2,0)&amp;" Ratus "))&amp;IF(MOD(INT(YEAR($O$2)/1000),100)=0,"",IF(MOD(INT(YEAR($O$2)/1000),100)&lt;20,VLOOKUP(MOD(INT(YEAR($O$2)/1000),100),HELPER!$A$3:$B$22,2,0),VLOOKUP(INT(MOD(INT(YEAR($O$2)/1000),100)/10),HELPER!$A$3:$B$22,2,0)&amp;" Puluh "&amp;IF(MOD(INT(YEAR($O$2)/1000),10)=0,"",VLOOKUP(MOD(INT(YEAR($O$2)/1000),10),HELPER!$A$3:$B$22,2,0)))))&amp;" Ribu ")&amp;IF(MOD(YEAR($O$2),1000)=0,"",IF(INT(MOD(YEAR($O$2),1000)/100)=0,"",IF(INT(MOD(YEAR($O$2),1000)/100)=1,"Seratus ",VLOOKUP(INT(MOD(YEAR($O$2),1000)/100),HELPER!$A$3:$B$22,2,0)&amp;" Ratus "))&amp;IF(MOD(MOD(YEAR($O$2),1000),100)=0,"",IF(MOD(MOD(YEAR($O$2),1000),100)&lt;20,VLOOKUP(MOD(MOD(YEAR($O$2),1000),100),HELPER!$A$3:$B$22,2,0),VLOOKUP(INT(MOD(MOD(YEAR($O$2),1000),100)/10),HELPER!$A$3:$B$22,2,0)&amp;" Puluh "&amp;IF(MOD(MOD(YEAR($O$2),1000),10)=0,"",VLOOKUP(MOD(MOD(YEAR($O$2),1000),10),HELPER!$A$3:$B$22,2,0)))))))</f>
      </c>
    </row>
    <row r="7" spans="1:15" ht="13.05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90" t="s">
        <v>130</v>
      </c>
      <c r="O7" s="92">
        <f>IF($O$2="","","Pada hari ini "&amp;$O$3&amp;", tanggal "&amp;$O$4&amp;" bulan "&amp;$O$5&amp;" tahun "&amp;$O$6&amp;" ("&amp;TEXT($O$2,"dd/mm/yyyy")&amp;")")</f>
      </c>
    </row>
    <row r="8" spans="1:15" ht="13.05" customHeight="1" x14ac:dyDescent="0.45">
      <c r="A8" s="153">
        <f>IF($O$7="","",$O$7&amp;", telah diterima alat :")</f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2"/>
      <c r="M8" s="2"/>
      <c r="N8" s="90"/>
      <c r="O8" s="92"/>
    </row>
    <row r="9" spans="1:15" ht="13.0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2"/>
      <c r="M9" s="2"/>
      <c r="N9" s="90" t="s">
        <v>131</v>
      </c>
      <c r="O9" s="92">
        <f>$K$135</f>
      </c>
    </row>
    <row r="10" spans="1:15" ht="13.05" customHeight="1" x14ac:dyDescent="0.45">
      <c r="A10" s="3" t="s">
        <v>132</v>
      </c>
      <c r="B10" s="25" t="s">
        <v>133</v>
      </c>
      <c r="C10" s="130">
        <f>": "&amp;UPPER(INPUT!$B$24)</f>
      </c>
      <c r="D10" s="121"/>
      <c r="E10" s="121"/>
      <c r="F10" s="121"/>
      <c r="G10" s="121"/>
      <c r="H10" s="121"/>
      <c r="I10" s="121"/>
      <c r="J10" s="121"/>
      <c r="K10" s="2"/>
      <c r="L10" s="2"/>
      <c r="M10" s="2"/>
      <c r="N10" s="90" t="s">
        <v>134</v>
      </c>
      <c r="O10" s="92">
        <f>INT(ROUND($O$9,0)/1000000000)</f>
      </c>
    </row>
    <row r="11" spans="1:15" ht="13.05" customHeight="1" x14ac:dyDescent="0.45">
      <c r="A11" s="3"/>
      <c r="B11" s="3"/>
      <c r="C11" s="130">
        <f>"Sebagai Pihak Kedua"</f>
      </c>
      <c r="D11" s="121"/>
      <c r="E11" s="121"/>
      <c r="F11" s="121"/>
      <c r="G11" s="121"/>
      <c r="H11" s="121"/>
      <c r="I11" s="121"/>
      <c r="J11" s="121"/>
      <c r="K11" s="2"/>
      <c r="L11" s="2"/>
      <c r="M11" s="2"/>
      <c r="N11" s="90" t="s">
        <v>135</v>
      </c>
      <c r="O11" s="92">
        <f>MOD(INT(ROUND($O$9,0)/1000000),1000)</f>
      </c>
    </row>
    <row r="12" spans="1:15" ht="24" customHeight="1" x14ac:dyDescent="0.45">
      <c r="A12" s="24" t="s">
        <v>136</v>
      </c>
      <c r="B12" s="51" t="s">
        <v>137</v>
      </c>
      <c r="C12" s="130">
        <f>": "&amp;UPPER(INPUT!$B$6)&amp;" Proyek Pekerjaan "&amp;INPUT!$B$5</f>
      </c>
      <c r="D12" s="121"/>
      <c r="E12" s="121"/>
      <c r="F12" s="121"/>
      <c r="G12" s="121"/>
      <c r="H12" s="121"/>
      <c r="I12" s="121"/>
      <c r="J12" s="121"/>
      <c r="K12" s="2"/>
      <c r="L12" s="2"/>
      <c r="M12" s="2"/>
      <c r="N12" s="90" t="s">
        <v>138</v>
      </c>
      <c r="O12" s="92">
        <f>MOD(INT(ROUND($O$9,0)/1000),1000)</f>
      </c>
    </row>
    <row r="13" spans="1:15" ht="13.05" customHeight="1" x14ac:dyDescent="0.45">
      <c r="A13" s="3"/>
      <c r="B13" s="3"/>
      <c r="C13" s="130">
        <f>"Sebagai Pihak Pertama"</f>
      </c>
      <c r="D13" s="121"/>
      <c r="E13" s="121"/>
      <c r="F13" s="121"/>
      <c r="G13" s="121"/>
      <c r="H13" s="121"/>
      <c r="I13" s="121"/>
      <c r="J13" s="121"/>
      <c r="K13" s="2"/>
      <c r="L13" s="2"/>
      <c r="M13" s="2"/>
      <c r="N13" s="90" t="s">
        <v>139</v>
      </c>
      <c r="O13" s="92">
        <f>MOD(ROUND($O$9,0),1000)</f>
      </c>
    </row>
    <row r="14" spans="1:15" ht="13.0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2"/>
      <c r="M14" s="2"/>
      <c r="N14" s="90" t="s">
        <v>105</v>
      </c>
      <c r="O14" s="92">
        <f>IF(ROUND($O$9,0)=0,"== Nol Rupiah ==","== "&amp;TRIM(IF($O$10=0,"",IF($O$10=0,"",IF(INT($O$10/100)=0,"",IF(INT($O$10/100)=1,"Seratus ",VLOOKUP(INT($O$10/100),HELPER!$A$3:$B$22,2,0)&amp;" Ratus "))&amp;IF(MOD($O$10,100)=0,"",IF(MOD($O$10,100)&lt;20,VLOOKUP(MOD($O$10,100),HELPER!$A$3:$B$22,2,0),VLOOKUP(INT(MOD($O$10,100)/10),HELPER!$A$3:$B$22,2,0)&amp;" Puluh "&amp;IF(MOD($O$10,10)=0,"",VLOOKUP(MOD($O$10,10),HELPER!$A$3:$B$22,2,0)))))&amp;" Miliar ")&amp;IF($O$11=0,"",IF($O$11=1,"Satu Juta ",IF($O$11=0,"",IF(INT($O$11/100)=0,"",IF(INT($O$11/100)=1,"Seratus ",VLOOKUP(INT($O$11/100),HELPER!$A$3:$B$22,2,0)&amp;" Ratus "))&amp;IF(MOD($O$11,100)=0,"",IF(MOD($O$11,100)&lt;20,VLOOKUP(MOD($O$11,100),HELPER!$A$3:$B$22,2,0),VLOOKUP(INT(MOD($O$11,100)/10),HELPER!$A$3:$B$22,2,0)&amp;" Puluh "&amp;IF(MOD($O$11,10)=0,"",VLOOKUP(MOD($O$11,10),HELPER!$A$3:$B$22,2,0)))))&amp;" Juta "))&amp;IF($O$12=0,"",IF($O$12=1,"Seribu ",IF($O$12=0,"",IF(INT($O$12/100)=0,"",IF(INT($O$12/100)=1,"Seratus ",VLOOKUP(INT($O$12/100),HELPER!$A$3:$B$22,2,0)&amp;" Ratus "))&amp;IF(MOD($O$12,100)=0,"",IF(MOD($O$12,100)&lt;20,VLOOKUP(MOD($O$12,100),HELPER!$A$3:$B$22,2,0),VLOOKUP(INT(MOD($O$12,100)/10),HELPER!$A$3:$B$22,2,0)&amp;" Puluh "&amp;IF(MOD($O$12,10)=0,"",VLOOKUP(MOD($O$12,10),HELPER!$A$3:$B$22,2,0)))))&amp;" Ribu "))&amp;IF($O$13=0,"",IF(INT($O$13/100)=0,"",IF(INT($O$13/100)=1,"Seratus ",VLOOKUP(INT($O$13/100),HELPER!$A$3:$B$22,2,0)&amp;" Ratus "))&amp;IF(MOD($O$13,100)=0,"",IF(MOD($O$13,100)&lt;20,VLOOKUP(MOD($O$13,100),HELPER!$A$3:$B$22,2,0),VLOOKUP(INT(MOD($O$13,100)/10),HELPER!$A$3:$B$22,2,0)&amp;" Puluh "&amp;IF(MOD($O$13,10)=0,"",VLOOKUP(MOD($O$13,10),HELPER!$A$3:$B$22,2,0))))))&amp;" Rupiah ==")</f>
      </c>
    </row>
    <row r="15" spans="1:15" ht="13.05" customHeight="1" x14ac:dyDescent="0.45">
      <c r="A15" s="153" t="s">
        <v>140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2"/>
      <c r="M15" s="2"/>
      <c r="N15" s="2"/>
      <c r="O15" s="2"/>
    </row>
    <row r="16" spans="1:15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</row>
    <row r="17" spans="1:15" ht="13.05" customHeight="1" x14ac:dyDescent="0.45">
      <c r="A17" s="26">
        <v>1</v>
      </c>
      <c r="B17" s="52" t="s">
        <v>141</v>
      </c>
      <c r="C17" s="130">
        <f>": "&amp;INPUT!$B$35&amp;"     Tanggal : "&amp;TEXT(INPUT!$B$36,"dd mmmm yyyy")</f>
      </c>
      <c r="D17" s="121"/>
      <c r="E17" s="121"/>
      <c r="F17" s="121"/>
      <c r="G17" s="121"/>
      <c r="H17" s="121"/>
      <c r="I17" s="121"/>
      <c r="J17" s="121"/>
      <c r="K17" s="2"/>
      <c r="L17" s="2"/>
      <c r="M17" s="2"/>
      <c r="N17" s="2"/>
      <c r="O17" s="2"/>
    </row>
    <row r="18" spans="1:15" ht="13.05" customHeight="1" x14ac:dyDescent="0.45">
      <c r="A18" s="26">
        <v>2</v>
      </c>
      <c r="B18" s="52" t="s">
        <v>142</v>
      </c>
      <c r="C18" s="130">
        <f>": Rp "&amp;HELPER!$I$28&amp;" (Exclude PPN)"</f>
      </c>
      <c r="D18" s="121"/>
      <c r="E18" s="121"/>
      <c r="F18" s="121"/>
      <c r="G18" s="121"/>
      <c r="H18" s="121"/>
      <c r="I18" s="121"/>
      <c r="J18" s="121"/>
      <c r="K18" s="2"/>
      <c r="L18" s="2"/>
      <c r="M18" s="2"/>
      <c r="N18" s="2"/>
      <c r="O18" s="2"/>
    </row>
    <row r="19" spans="1:15" ht="13.05" customHeight="1" x14ac:dyDescent="0.45">
      <c r="A19" s="26">
        <v>3</v>
      </c>
      <c r="B19" s="52" t="s">
        <v>143</v>
      </c>
      <c r="C19" s="130">
        <f>": "&amp;TEXT(INPUT!$B$36,"dd mmmm yyyy")&amp;" s/d "&amp;TEXT(INPUT!$B$37,"dd mmmm yyyy")</f>
      </c>
      <c r="D19" s="121"/>
      <c r="E19" s="121"/>
      <c r="F19" s="121"/>
      <c r="G19" s="121"/>
      <c r="H19" s="121"/>
      <c r="I19" s="121"/>
      <c r="J19" s="121"/>
      <c r="K19" s="2"/>
      <c r="L19" s="2"/>
      <c r="M19" s="2"/>
      <c r="N19" s="2"/>
      <c r="O19" s="2"/>
    </row>
    <row r="20" spans="1:15" ht="13.05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2"/>
      <c r="M20" s="2"/>
      <c r="N20" s="2"/>
      <c r="O20" s="2"/>
    </row>
    <row r="21" spans="1:15" ht="13.05" customHeight="1" x14ac:dyDescent="0.45">
      <c r="A21" s="153" t="s">
        <v>144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2"/>
      <c r="M21" s="2"/>
      <c r="N21" s="2"/>
      <c r="O21" s="2"/>
    </row>
    <row r="22" spans="1:15" ht="13.05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2"/>
      <c r="M22" s="2"/>
      <c r="N22" s="2"/>
      <c r="O22" s="2"/>
    </row>
    <row r="23" spans="1:15" ht="26" customHeight="1" x14ac:dyDescent="0.45">
      <c r="A23" s="155" t="s">
        <v>73</v>
      </c>
      <c r="B23" s="144" t="s">
        <v>145</v>
      </c>
      <c r="C23" s="170"/>
      <c r="D23" s="155" t="s">
        <v>76</v>
      </c>
      <c r="E23" s="155" t="s">
        <v>146</v>
      </c>
      <c r="F23" s="154" t="s">
        <v>147</v>
      </c>
      <c r="G23" s="154"/>
      <c r="H23" s="154"/>
      <c r="I23" s="154"/>
      <c r="J23" s="155" t="s">
        <v>148</v>
      </c>
      <c r="K23" s="155" t="s">
        <v>78</v>
      </c>
      <c r="L23" s="2"/>
      <c r="M23" s="2"/>
      <c r="N23" s="2"/>
      <c r="O23" s="2"/>
    </row>
    <row r="24" spans="1:15" ht="24" customHeight="1" x14ac:dyDescent="0.45">
      <c r="A24" s="156"/>
      <c r="B24" s="157"/>
      <c r="C24" s="171"/>
      <c r="D24" s="156"/>
      <c r="E24" s="156"/>
      <c r="F24" s="12" t="s">
        <v>149</v>
      </c>
      <c r="G24" s="12" t="s">
        <v>150</v>
      </c>
      <c r="H24" s="12" t="s">
        <v>151</v>
      </c>
      <c r="I24" s="12" t="s">
        <v>152</v>
      </c>
      <c r="J24" s="156"/>
      <c r="K24" s="156"/>
      <c r="L24" s="2"/>
      <c r="M24" s="2"/>
      <c r="N24" s="2"/>
      <c r="O24" s="2"/>
    </row>
    <row r="25" spans="1:15" ht="12" customHeight="1" x14ac:dyDescent="0.45">
      <c r="A25" s="21">
        <v>1</v>
      </c>
      <c r="B25" s="163">
        <v>2</v>
      </c>
      <c r="C25" s="169"/>
      <c r="D25" s="21">
        <v>3</v>
      </c>
      <c r="E25" s="21">
        <v>4</v>
      </c>
      <c r="F25" s="21">
        <v>5</v>
      </c>
      <c r="G25" s="21">
        <v>6</v>
      </c>
      <c r="H25" s="21" t="s">
        <v>153</v>
      </c>
      <c r="I25" s="21" t="s">
        <v>154</v>
      </c>
      <c r="J25" s="21">
        <v>9</v>
      </c>
      <c r="K25" s="21" t="s">
        <v>155</v>
      </c>
      <c r="L25" s="2"/>
      <c r="M25" s="2"/>
      <c r="N25" s="2"/>
      <c r="O25" s="2"/>
    </row>
    <row r="26" spans="1:15" ht="13.05" customHeight="1" x14ac:dyDescent="0.45">
      <c r="A26" s="4">
        <f>IF(ITEM!$B4="","",ITEM!$A4)</f>
      </c>
      <c r="B26" s="118">
        <f>IF(ITEM!$B4="","",ITEM!$B4)</f>
      </c>
      <c r="C26" s="119"/>
      <c r="D26" s="13">
        <f>IF(ITEM!$B4="","",ITEM!$D4)</f>
      </c>
      <c r="E26" s="5">
        <f>IF(ITEM!$B4="","",ITEM!$C4)</f>
      </c>
      <c r="F26" s="13" cm="1">
        <f t="array" ref="F26">IF(ITEM!$B4="","",SUMPRODUCT((COLUMN(ITEM!$G4:$J4)-COLUMN(ITEM!$G4)+1&lt;$O$1)*ITEM!$G4:$J4))</f>
      </c>
      <c r="G26" s="13" cm="1">
        <f t="array" ref="G26">IF(ITEM!$B4="","",INDEX(ITEM!$G4:$J4,1,$O$1))</f>
      </c>
      <c r="H26" s="13">
        <f>IF(ITEM!$B4="","",$F26+$G26)</f>
      </c>
      <c r="I26" s="13">
        <f>IF(ITEM!$B4="","",$D26-$H26)</f>
      </c>
      <c r="J26" s="6">
        <f>IF(ITEM!$B4="","",ITEM!$E4)</f>
      </c>
      <c r="K26" s="6">
        <f>IF(ITEM!$B4="","",$G26*$J26)</f>
      </c>
      <c r="L26" s="2"/>
      <c r="M26" s="2"/>
      <c r="N26" s="2"/>
      <c r="O26" s="2"/>
    </row>
    <row r="27" spans="1:15" ht="13.05" customHeight="1" x14ac:dyDescent="0.45">
      <c r="A27" s="4">
        <f>IF(ITEM!$B5="","",ITEM!$A5)</f>
      </c>
      <c r="B27" s="118">
        <f>IF(ITEM!$B5="","",ITEM!$B5)</f>
      </c>
      <c r="C27" s="119"/>
      <c r="D27" s="13">
        <f>IF(ITEM!$B5="","",ITEM!$D5)</f>
      </c>
      <c r="E27" s="5">
        <f>IF(ITEM!$B5="","",ITEM!$C5)</f>
      </c>
      <c r="F27" s="13" cm="1">
        <f t="array" ref="F27">IF(ITEM!$B5="","",SUMPRODUCT((COLUMN(ITEM!$G5:$J5)-COLUMN(ITEM!$G5)+1&lt;$O$1)*ITEM!$G5:$J5))</f>
      </c>
      <c r="G27" s="13" cm="1">
        <f t="array" ref="G27">IF(ITEM!$B5="","",INDEX(ITEM!$G5:$J5,1,$O$1))</f>
      </c>
      <c r="H27" s="13">
        <f>IF(ITEM!$B5="","",$F27+$G27)</f>
      </c>
      <c r="I27" s="13">
        <f>IF(ITEM!$B5="","",$D27-$H27)</f>
      </c>
      <c r="J27" s="6">
        <f>IF(ITEM!$B5="","",ITEM!$E5)</f>
      </c>
      <c r="K27" s="6">
        <f>IF(ITEM!$B5="","",$G27*$J27)</f>
      </c>
      <c r="L27" s="2"/>
      <c r="M27" s="2"/>
      <c r="N27" s="2"/>
      <c r="O27" s="2"/>
    </row>
    <row r="28" spans="1:15" ht="13.05" customHeight="1" x14ac:dyDescent="0.45">
      <c r="A28" s="4">
        <f>IF(ITEM!$B6="","",ITEM!$A6)</f>
      </c>
      <c r="B28" s="118">
        <f>IF(ITEM!$B6="","",ITEM!$B6)</f>
      </c>
      <c r="C28" s="119"/>
      <c r="D28" s="13">
        <f>IF(ITEM!$B6="","",ITEM!$D6)</f>
      </c>
      <c r="E28" s="5">
        <f>IF(ITEM!$B6="","",ITEM!$C6)</f>
      </c>
      <c r="F28" s="13" cm="1">
        <f t="array" ref="F28">IF(ITEM!$B6="","",SUMPRODUCT((COLUMN(ITEM!$G6:$J6)-COLUMN(ITEM!$G6)+1&lt;$O$1)*ITEM!$G6:$J6))</f>
      </c>
      <c r="G28" s="13" cm="1">
        <f t="array" ref="G28">IF(ITEM!$B6="","",INDEX(ITEM!$G6:$J6,1,$O$1))</f>
      </c>
      <c r="H28" s="13">
        <f>IF(ITEM!$B6="","",$F28+$G28)</f>
      </c>
      <c r="I28" s="13">
        <f>IF(ITEM!$B6="","",$D28-$H28)</f>
      </c>
      <c r="J28" s="6">
        <f>IF(ITEM!$B6="","",ITEM!$E6)</f>
      </c>
      <c r="K28" s="6">
        <f>IF(ITEM!$B6="","",$G28*$J28)</f>
      </c>
      <c r="L28" s="2"/>
      <c r="M28" s="2"/>
      <c r="N28" s="2"/>
      <c r="O28" s="2"/>
    </row>
    <row r="29" spans="1:15" ht="13.05" customHeight="1" x14ac:dyDescent="0.45">
      <c r="A29" s="4">
        <f>IF(ITEM!$B7="","",ITEM!$A7)</f>
      </c>
      <c r="B29" s="118">
        <f>IF(ITEM!$B7="","",ITEM!$B7)</f>
      </c>
      <c r="C29" s="119"/>
      <c r="D29" s="13">
        <f>IF(ITEM!$B7="","",ITEM!$D7)</f>
      </c>
      <c r="E29" s="5">
        <f>IF(ITEM!$B7="","",ITEM!$C7)</f>
      </c>
      <c r="F29" s="13" cm="1">
        <f t="array" ref="F29">IF(ITEM!$B7="","",SUMPRODUCT((COLUMN(ITEM!$G7:$J7)-COLUMN(ITEM!$G7)+1&lt;$O$1)*ITEM!$G7:$J7))</f>
      </c>
      <c r="G29" s="13" cm="1">
        <f t="array" ref="G29">IF(ITEM!$B7="","",INDEX(ITEM!$G7:$J7,1,$O$1))</f>
      </c>
      <c r="H29" s="13">
        <f>IF(ITEM!$B7="","",$F29+$G29)</f>
      </c>
      <c r="I29" s="13">
        <f>IF(ITEM!$B7="","",$D29-$H29)</f>
      </c>
      <c r="J29" s="6">
        <f>IF(ITEM!$B7="","",ITEM!$E7)</f>
      </c>
      <c r="K29" s="6">
        <f>IF(ITEM!$B7="","",$G29*$J29)</f>
      </c>
      <c r="L29" s="2"/>
      <c r="M29" s="2"/>
      <c r="N29" s="2"/>
      <c r="O29" s="2"/>
    </row>
    <row r="30" spans="1:15" ht="13.05" customHeight="1" x14ac:dyDescent="0.45">
      <c r="A30" s="4">
        <f>IF(ITEM!$B8="","",ITEM!$A8)</f>
      </c>
      <c r="B30" s="118">
        <f>IF(ITEM!$B8="","",ITEM!$B8)</f>
      </c>
      <c r="C30" s="119"/>
      <c r="D30" s="13">
        <f>IF(ITEM!$B8="","",ITEM!$D8)</f>
      </c>
      <c r="E30" s="5">
        <f>IF(ITEM!$B8="","",ITEM!$C8)</f>
      </c>
      <c r="F30" s="13" cm="1">
        <f t="array" ref="F30">IF(ITEM!$B8="","",SUMPRODUCT((COLUMN(ITEM!$G8:$J8)-COLUMN(ITEM!$G8)+1&lt;$O$1)*ITEM!$G8:$J8))</f>
      </c>
      <c r="G30" s="13" cm="1">
        <f t="array" ref="G30">IF(ITEM!$B8="","",INDEX(ITEM!$G8:$J8,1,$O$1))</f>
      </c>
      <c r="H30" s="13">
        <f>IF(ITEM!$B8="","",$F30+$G30)</f>
      </c>
      <c r="I30" s="13">
        <f>IF(ITEM!$B8="","",$D30-$H30)</f>
      </c>
      <c r="J30" s="6">
        <f>IF(ITEM!$B8="","",ITEM!$E8)</f>
      </c>
      <c r="K30" s="6">
        <f>IF(ITEM!$B8="","",$G30*$J30)</f>
      </c>
      <c r="L30" s="2"/>
      <c r="M30" s="2"/>
      <c r="N30" s="2"/>
      <c r="O30" s="2"/>
    </row>
    <row r="31" spans="1:15" ht="13.05" customHeight="1" x14ac:dyDescent="0.45">
      <c r="A31" s="4">
        <f>IF(ITEM!$B9="","",ITEM!$A9)</f>
      </c>
      <c r="B31" s="118">
        <f>IF(ITEM!$B9="","",ITEM!$B9)</f>
      </c>
      <c r="C31" s="119"/>
      <c r="D31" s="13">
        <f>IF(ITEM!$B9="","",ITEM!$D9)</f>
      </c>
      <c r="E31" s="5">
        <f>IF(ITEM!$B9="","",ITEM!$C9)</f>
      </c>
      <c r="F31" s="13" cm="1">
        <f t="array" ref="F31">IF(ITEM!$B9="","",SUMPRODUCT((COLUMN(ITEM!$G9:$J9)-COLUMN(ITEM!$G9)+1&lt;$O$1)*ITEM!$G9:$J9))</f>
      </c>
      <c r="G31" s="13" cm="1">
        <f t="array" ref="G31">IF(ITEM!$B9="","",INDEX(ITEM!$G9:$J9,1,$O$1))</f>
      </c>
      <c r="H31" s="13">
        <f>IF(ITEM!$B9="","",$F31+$G31)</f>
      </c>
      <c r="I31" s="13">
        <f>IF(ITEM!$B9="","",$D31-$H31)</f>
      </c>
      <c r="J31" s="6">
        <f>IF(ITEM!$B9="","",ITEM!$E9)</f>
      </c>
      <c r="K31" s="6">
        <f>IF(ITEM!$B9="","",$G31*$J31)</f>
      </c>
      <c r="L31" s="2"/>
      <c r="M31" s="2"/>
      <c r="N31" s="2"/>
      <c r="O31" s="2"/>
    </row>
    <row r="32" spans="1:15" ht="13.05" customHeight="1" x14ac:dyDescent="0.45">
      <c r="A32" s="4">
        <f>IF(ITEM!$B10="","",ITEM!$A10)</f>
      </c>
      <c r="B32" s="118">
        <f>IF(ITEM!$B10="","",ITEM!$B10)</f>
      </c>
      <c r="C32" s="119"/>
      <c r="D32" s="13">
        <f>IF(ITEM!$B10="","",ITEM!$D10)</f>
      </c>
      <c r="E32" s="5">
        <f>IF(ITEM!$B10="","",ITEM!$C10)</f>
      </c>
      <c r="F32" s="13" cm="1">
        <f t="array" ref="F32">IF(ITEM!$B10="","",SUMPRODUCT((COLUMN(ITEM!$G10:$J10)-COLUMN(ITEM!$G10)+1&lt;$O$1)*ITEM!$G10:$J10))</f>
      </c>
      <c r="G32" s="13" cm="1">
        <f t="array" ref="G32">IF(ITEM!$B10="","",INDEX(ITEM!$G10:$J10,1,$O$1))</f>
      </c>
      <c r="H32" s="13">
        <f>IF(ITEM!$B10="","",$F32+$G32)</f>
      </c>
      <c r="I32" s="13">
        <f>IF(ITEM!$B10="","",$D32-$H32)</f>
      </c>
      <c r="J32" s="6">
        <f>IF(ITEM!$B10="","",ITEM!$E10)</f>
      </c>
      <c r="K32" s="6">
        <f>IF(ITEM!$B10="","",$G32*$J32)</f>
      </c>
      <c r="L32" s="2"/>
      <c r="M32" s="2"/>
      <c r="N32" s="2"/>
      <c r="O32" s="2"/>
    </row>
    <row r="33" spans="1:15" ht="13.05" customHeight="1" x14ac:dyDescent="0.45">
      <c r="A33" s="4">
        <f>IF(ITEM!$B11="","",ITEM!$A11)</f>
      </c>
      <c r="B33" s="118">
        <f>IF(ITEM!$B11="","",ITEM!$B11)</f>
      </c>
      <c r="C33" s="119"/>
      <c r="D33" s="13">
        <f>IF(ITEM!$B11="","",ITEM!$D11)</f>
      </c>
      <c r="E33" s="5">
        <f>IF(ITEM!$B11="","",ITEM!$C11)</f>
      </c>
      <c r="F33" s="13" cm="1">
        <f t="array" ref="F33">IF(ITEM!$B11="","",SUMPRODUCT((COLUMN(ITEM!$G11:$J11)-COLUMN(ITEM!$G11)+1&lt;$O$1)*ITEM!$G11:$J11))</f>
      </c>
      <c r="G33" s="13" cm="1">
        <f t="array" ref="G33">IF(ITEM!$B11="","",INDEX(ITEM!$G11:$J11,1,$O$1))</f>
      </c>
      <c r="H33" s="13">
        <f>IF(ITEM!$B11="","",$F33+$G33)</f>
      </c>
      <c r="I33" s="13">
        <f>IF(ITEM!$B11="","",$D33-$H33)</f>
      </c>
      <c r="J33" s="6">
        <f>IF(ITEM!$B11="","",ITEM!$E11)</f>
      </c>
      <c r="K33" s="6">
        <f>IF(ITEM!$B11="","",$G33*$J33)</f>
      </c>
      <c r="L33" s="2"/>
      <c r="M33" s="2"/>
      <c r="N33" s="2"/>
      <c r="O33" s="2"/>
    </row>
    <row r="34" spans="1:15" ht="13.05" customHeight="1" outlineLevel="1" x14ac:dyDescent="0.45">
      <c r="A34" s="4">
        <f>IF(ITEM!$B12="","",ITEM!$A12)</f>
      </c>
      <c r="B34" s="118">
        <f>IF(ITEM!$B12="","",ITEM!$B12)</f>
      </c>
      <c r="C34" s="119"/>
      <c r="D34" s="13">
        <f>IF(ITEM!$B12="","",ITEM!$D12)</f>
      </c>
      <c r="E34" s="5">
        <f>IF(ITEM!$B12="","",ITEM!$C12)</f>
      </c>
      <c r="F34" s="13" cm="1">
        <f t="array" ref="F34">IF(ITEM!$B12="","",SUMPRODUCT((COLUMN(ITEM!$G12:$J12)-COLUMN(ITEM!$G12)+1&lt;$O$1)*ITEM!$G12:$J12))</f>
      </c>
      <c r="G34" s="13" cm="1">
        <f t="array" ref="G34">IF(ITEM!$B12="","",INDEX(ITEM!$G12:$J12,1,$O$1))</f>
      </c>
      <c r="H34" s="13">
        <f>IF(ITEM!$B12="","",$F34+$G34)</f>
      </c>
      <c r="I34" s="13">
        <f>IF(ITEM!$B12="","",$D34-$H34)</f>
      </c>
      <c r="J34" s="6">
        <f>IF(ITEM!$B12="","",ITEM!$E12)</f>
      </c>
      <c r="K34" s="6">
        <f>IF(ITEM!$B12="","",$G34*$J34)</f>
      </c>
      <c r="L34" s="2"/>
      <c r="M34" s="2"/>
      <c r="N34" s="2"/>
      <c r="O34" s="2"/>
    </row>
    <row r="35" spans="1:15" ht="13.05" customHeight="1" outlineLevel="1" x14ac:dyDescent="0.45">
      <c r="A35" s="4">
        <f>IF(ITEM!$B13="","",ITEM!$A13)</f>
      </c>
      <c r="B35" s="118">
        <f>IF(ITEM!$B13="","",ITEM!$B13)</f>
      </c>
      <c r="C35" s="119"/>
      <c r="D35" s="13">
        <f>IF(ITEM!$B13="","",ITEM!$D13)</f>
      </c>
      <c r="E35" s="5">
        <f>IF(ITEM!$B13="","",ITEM!$C13)</f>
      </c>
      <c r="F35" s="13" cm="1">
        <f t="array" ref="F35">IF(ITEM!$B13="","",SUMPRODUCT((COLUMN(ITEM!$G13:$J13)-COLUMN(ITEM!$G13)+1&lt;$O$1)*ITEM!$G13:$J13))</f>
      </c>
      <c r="G35" s="13" cm="1">
        <f t="array" ref="G35">IF(ITEM!$B13="","",INDEX(ITEM!$G13:$J13,1,$O$1))</f>
      </c>
      <c r="H35" s="13">
        <f>IF(ITEM!$B13="","",$F35+$G35)</f>
      </c>
      <c r="I35" s="13">
        <f>IF(ITEM!$B13="","",$D35-$H35)</f>
      </c>
      <c r="J35" s="6">
        <f>IF(ITEM!$B13="","",ITEM!$E13)</f>
      </c>
      <c r="K35" s="6">
        <f>IF(ITEM!$B13="","",$G35*$J35)</f>
      </c>
      <c r="L35" s="2"/>
      <c r="M35" s="2"/>
      <c r="N35" s="2"/>
      <c r="O35" s="2"/>
    </row>
    <row r="36" spans="1:15" ht="13.05" customHeight="1" outlineLevel="1" x14ac:dyDescent="0.45">
      <c r="A36" s="4">
        <f>IF(ITEM!$B14="","",ITEM!$A14)</f>
      </c>
      <c r="B36" s="118">
        <f>IF(ITEM!$B14="","",ITEM!$B14)</f>
      </c>
      <c r="C36" s="119"/>
      <c r="D36" s="13">
        <f>IF(ITEM!$B14="","",ITEM!$D14)</f>
      </c>
      <c r="E36" s="5">
        <f>IF(ITEM!$B14="","",ITEM!$C14)</f>
      </c>
      <c r="F36" s="13" cm="1">
        <f t="array" ref="F36">IF(ITEM!$B14="","",SUMPRODUCT((COLUMN(ITEM!$G14:$J14)-COLUMN(ITEM!$G14)+1&lt;$O$1)*ITEM!$G14:$J14))</f>
      </c>
      <c r="G36" s="13" cm="1">
        <f t="array" ref="G36">IF(ITEM!$B14="","",INDEX(ITEM!$G14:$J14,1,$O$1))</f>
      </c>
      <c r="H36" s="13">
        <f>IF(ITEM!$B14="","",$F36+$G36)</f>
      </c>
      <c r="I36" s="13">
        <f>IF(ITEM!$B14="","",$D36-$H36)</f>
      </c>
      <c r="J36" s="6">
        <f>IF(ITEM!$B14="","",ITEM!$E14)</f>
      </c>
      <c r="K36" s="6">
        <f>IF(ITEM!$B14="","",$G36*$J36)</f>
      </c>
      <c r="L36" s="2"/>
      <c r="M36" s="2"/>
      <c r="N36" s="2"/>
      <c r="O36" s="2"/>
    </row>
    <row r="37" spans="1:15" ht="13.05" customHeight="1" outlineLevel="1" x14ac:dyDescent="0.45">
      <c r="A37" s="4">
        <f>IF(ITEM!$B15="","",ITEM!$A15)</f>
      </c>
      <c r="B37" s="118">
        <f>IF(ITEM!$B15="","",ITEM!$B15)</f>
      </c>
      <c r="C37" s="119"/>
      <c r="D37" s="13">
        <f>IF(ITEM!$B15="","",ITEM!$D15)</f>
      </c>
      <c r="E37" s="5">
        <f>IF(ITEM!$B15="","",ITEM!$C15)</f>
      </c>
      <c r="F37" s="13" cm="1">
        <f t="array" ref="F37">IF(ITEM!$B15="","",SUMPRODUCT((COLUMN(ITEM!$G15:$J15)-COLUMN(ITEM!$G15)+1&lt;$O$1)*ITEM!$G15:$J15))</f>
      </c>
      <c r="G37" s="13" cm="1">
        <f t="array" ref="G37">IF(ITEM!$B15="","",INDEX(ITEM!$G15:$J15,1,$O$1))</f>
      </c>
      <c r="H37" s="13">
        <f>IF(ITEM!$B15="","",$F37+$G37)</f>
      </c>
      <c r="I37" s="13">
        <f>IF(ITEM!$B15="","",$D37-$H37)</f>
      </c>
      <c r="J37" s="6">
        <f>IF(ITEM!$B15="","",ITEM!$E15)</f>
      </c>
      <c r="K37" s="6">
        <f>IF(ITEM!$B15="","",$G37*$J37)</f>
      </c>
      <c r="L37" s="2"/>
      <c r="M37" s="2"/>
      <c r="N37" s="2"/>
      <c r="O37" s="2"/>
    </row>
    <row r="38" spans="1:15" ht="13.05" customHeight="1" outlineLevel="1" x14ac:dyDescent="0.45">
      <c r="A38" s="4">
        <f>IF(ITEM!$B16="","",ITEM!$A16)</f>
      </c>
      <c r="B38" s="118">
        <f>IF(ITEM!$B16="","",ITEM!$B16)</f>
      </c>
      <c r="C38" s="119"/>
      <c r="D38" s="13">
        <f>IF(ITEM!$B16="","",ITEM!$D16)</f>
      </c>
      <c r="E38" s="5">
        <f>IF(ITEM!$B16="","",ITEM!$C16)</f>
      </c>
      <c r="F38" s="13" cm="1">
        <f t="array" ref="F38">IF(ITEM!$B16="","",SUMPRODUCT((COLUMN(ITEM!$G16:$J16)-COLUMN(ITEM!$G16)+1&lt;$O$1)*ITEM!$G16:$J16))</f>
      </c>
      <c r="G38" s="13" cm="1">
        <f t="array" ref="G38">IF(ITEM!$B16="","",INDEX(ITEM!$G16:$J16,1,$O$1))</f>
      </c>
      <c r="H38" s="13">
        <f>IF(ITEM!$B16="","",$F38+$G38)</f>
      </c>
      <c r="I38" s="13">
        <f>IF(ITEM!$B16="","",$D38-$H38)</f>
      </c>
      <c r="J38" s="6">
        <f>IF(ITEM!$B16="","",ITEM!$E16)</f>
      </c>
      <c r="K38" s="6">
        <f>IF(ITEM!$B16="","",$G38*$J38)</f>
      </c>
      <c r="L38" s="2"/>
      <c r="M38" s="2"/>
      <c r="N38" s="2"/>
      <c r="O38" s="2"/>
    </row>
    <row r="39" spans="1:15" ht="13.05" customHeight="1" outlineLevel="1" x14ac:dyDescent="0.45">
      <c r="A39" s="4">
        <f>IF(ITEM!$B17="","",ITEM!$A17)</f>
      </c>
      <c r="B39" s="118">
        <f>IF(ITEM!$B17="","",ITEM!$B17)</f>
      </c>
      <c r="C39" s="119"/>
      <c r="D39" s="13">
        <f>IF(ITEM!$B17="","",ITEM!$D17)</f>
      </c>
      <c r="E39" s="5">
        <f>IF(ITEM!$B17="","",ITEM!$C17)</f>
      </c>
      <c r="F39" s="13" cm="1">
        <f t="array" ref="F39">IF(ITEM!$B17="","",SUMPRODUCT((COLUMN(ITEM!$G17:$J17)-COLUMN(ITEM!$G17)+1&lt;$O$1)*ITEM!$G17:$J17))</f>
      </c>
      <c r="G39" s="13" cm="1">
        <f t="array" ref="G39">IF(ITEM!$B17="","",INDEX(ITEM!$G17:$J17,1,$O$1))</f>
      </c>
      <c r="H39" s="13">
        <f>IF(ITEM!$B17="","",$F39+$G39)</f>
      </c>
      <c r="I39" s="13">
        <f>IF(ITEM!$B17="","",$D39-$H39)</f>
      </c>
      <c r="J39" s="6">
        <f>IF(ITEM!$B17="","",ITEM!$E17)</f>
      </c>
      <c r="K39" s="6">
        <f>IF(ITEM!$B17="","",$G39*$J39)</f>
      </c>
      <c r="L39" s="2"/>
      <c r="M39" s="2"/>
      <c r="N39" s="2"/>
      <c r="O39" s="2"/>
    </row>
    <row r="40" spans="1:15" ht="13.05" customHeight="1" outlineLevel="1" x14ac:dyDescent="0.45">
      <c r="A40" s="4">
        <f>IF(ITEM!$B18="","",ITEM!$A18)</f>
      </c>
      <c r="B40" s="118">
        <f>IF(ITEM!$B18="","",ITEM!$B18)</f>
      </c>
      <c r="C40" s="119"/>
      <c r="D40" s="13">
        <f>IF(ITEM!$B18="","",ITEM!$D18)</f>
      </c>
      <c r="E40" s="5">
        <f>IF(ITEM!$B18="","",ITEM!$C18)</f>
      </c>
      <c r="F40" s="13" cm="1">
        <f t="array" ref="F40">IF(ITEM!$B18="","",SUMPRODUCT((COLUMN(ITEM!$G18:$J18)-COLUMN(ITEM!$G18)+1&lt;$O$1)*ITEM!$G18:$J18))</f>
      </c>
      <c r="G40" s="13" cm="1">
        <f t="array" ref="G40">IF(ITEM!$B18="","",INDEX(ITEM!$G18:$J18,1,$O$1))</f>
      </c>
      <c r="H40" s="13">
        <f>IF(ITEM!$B18="","",$F40+$G40)</f>
      </c>
      <c r="I40" s="13">
        <f>IF(ITEM!$B18="","",$D40-$H40)</f>
      </c>
      <c r="J40" s="6">
        <f>IF(ITEM!$B18="","",ITEM!$E18)</f>
      </c>
      <c r="K40" s="6">
        <f>IF(ITEM!$B18="","",$G40*$J40)</f>
      </c>
      <c r="L40" s="2"/>
      <c r="M40" s="2"/>
      <c r="N40" s="2"/>
      <c r="O40" s="2"/>
    </row>
    <row r="41" spans="1:15" ht="13.05" hidden="1" customHeight="1" outlineLevel="1" x14ac:dyDescent="0.45">
      <c r="A41" s="4">
        <f>IF(ITEM!$B19="","",ITEM!$A19)</f>
      </c>
      <c r="B41" s="118">
        <f>IF(ITEM!$B19="","",ITEM!$B19)</f>
      </c>
      <c r="C41" s="119"/>
      <c r="D41" s="13">
        <f>IF(ITEM!$B19="","",ITEM!$D19)</f>
      </c>
      <c r="E41" s="5">
        <f>IF(ITEM!$B19="","",ITEM!$C19)</f>
      </c>
      <c r="F41" s="13" cm="1">
        <f t="array" ref="F41">IF(ITEM!$B19="","",SUMPRODUCT((COLUMN(ITEM!$G19:$J19)-COLUMN(ITEM!$G19)+1&lt;$O$1)*ITEM!$G19:$J19))</f>
      </c>
      <c r="G41" s="13" cm="1">
        <f t="array" ref="G41">IF(ITEM!$B19="","",INDEX(ITEM!$G19:$J19,1,$O$1))</f>
      </c>
      <c r="H41" s="13">
        <f>IF(ITEM!$B19="","",$F41+$G41)</f>
      </c>
      <c r="I41" s="13">
        <f>IF(ITEM!$B19="","",$D41-$H41)</f>
      </c>
      <c r="J41" s="6">
        <f>IF(ITEM!$B19="","",ITEM!$E19)</f>
      </c>
      <c r="K41" s="6">
        <f>IF(ITEM!$B19="","",$G41*$J41)</f>
      </c>
      <c r="L41" s="2"/>
      <c r="M41" s="2"/>
      <c r="N41" s="2"/>
      <c r="O41" s="2"/>
    </row>
    <row r="42" spans="1:15" ht="13.05" hidden="1" customHeight="1" outlineLevel="1" x14ac:dyDescent="0.45">
      <c r="A42" s="4">
        <f>IF(ITEM!$B20="","",ITEM!$A20)</f>
      </c>
      <c r="B42" s="118">
        <f>IF(ITEM!$B20="","",ITEM!$B20)</f>
      </c>
      <c r="C42" s="119"/>
      <c r="D42" s="13">
        <f>IF(ITEM!$B20="","",ITEM!$D20)</f>
      </c>
      <c r="E42" s="5">
        <f>IF(ITEM!$B20="","",ITEM!$C20)</f>
      </c>
      <c r="F42" s="13" cm="1">
        <f t="array" ref="F42">IF(ITEM!$B20="","",SUMPRODUCT((COLUMN(ITEM!$G20:$J20)-COLUMN(ITEM!$G20)+1&lt;$O$1)*ITEM!$G20:$J20))</f>
      </c>
      <c r="G42" s="13" cm="1">
        <f t="array" ref="G42">IF(ITEM!$B20="","",INDEX(ITEM!$G20:$J20,1,$O$1))</f>
      </c>
      <c r="H42" s="13">
        <f>IF(ITEM!$B20="","",$F42+$G42)</f>
      </c>
      <c r="I42" s="13">
        <f>IF(ITEM!$B20="","",$D42-$H42)</f>
      </c>
      <c r="J42" s="6">
        <f>IF(ITEM!$B20="","",ITEM!$E20)</f>
      </c>
      <c r="K42" s="6">
        <f>IF(ITEM!$B20="","",$G42*$J42)</f>
      </c>
      <c r="L42" s="2"/>
      <c r="M42" s="2"/>
      <c r="N42" s="2"/>
      <c r="O42" s="2"/>
    </row>
    <row r="43" spans="1:15" ht="13.05" hidden="1" customHeight="1" outlineLevel="1" x14ac:dyDescent="0.45">
      <c r="A43" s="4">
        <f>IF(ITEM!$B21="","",ITEM!$A21)</f>
      </c>
      <c r="B43" s="118">
        <f>IF(ITEM!$B21="","",ITEM!$B21)</f>
      </c>
      <c r="C43" s="119"/>
      <c r="D43" s="13">
        <f>IF(ITEM!$B21="","",ITEM!$D21)</f>
      </c>
      <c r="E43" s="5">
        <f>IF(ITEM!$B21="","",ITEM!$C21)</f>
      </c>
      <c r="F43" s="13" cm="1">
        <f t="array" ref="F43">IF(ITEM!$B21="","",SUMPRODUCT((COLUMN(ITEM!$G21:$J21)-COLUMN(ITEM!$G21)+1&lt;$O$1)*ITEM!$G21:$J21))</f>
      </c>
      <c r="G43" s="13" cm="1">
        <f t="array" ref="G43">IF(ITEM!$B21="","",INDEX(ITEM!$G21:$J21,1,$O$1))</f>
      </c>
      <c r="H43" s="13">
        <f>IF(ITEM!$B21="","",$F43+$G43)</f>
      </c>
      <c r="I43" s="13">
        <f>IF(ITEM!$B21="","",$D43-$H43)</f>
      </c>
      <c r="J43" s="6">
        <f>IF(ITEM!$B21="","",ITEM!$E21)</f>
      </c>
      <c r="K43" s="6">
        <f>IF(ITEM!$B21="","",$G43*$J43)</f>
      </c>
      <c r="L43" s="2"/>
      <c r="M43" s="2"/>
      <c r="N43" s="2"/>
      <c r="O43" s="2"/>
    </row>
    <row r="44" spans="1:15" ht="13.05" hidden="1" customHeight="1" outlineLevel="1" x14ac:dyDescent="0.45">
      <c r="A44" s="4">
        <f>IF(ITEM!$B22="","",ITEM!$A22)</f>
      </c>
      <c r="B44" s="118">
        <f>IF(ITEM!$B22="","",ITEM!$B22)</f>
      </c>
      <c r="C44" s="119"/>
      <c r="D44" s="13">
        <f>IF(ITEM!$B22="","",ITEM!$D22)</f>
      </c>
      <c r="E44" s="5">
        <f>IF(ITEM!$B22="","",ITEM!$C22)</f>
      </c>
      <c r="F44" s="13" cm="1">
        <f t="array" ref="F44">IF(ITEM!$B22="","",SUMPRODUCT((COLUMN(ITEM!$G22:$J22)-COLUMN(ITEM!$G22)+1&lt;$O$1)*ITEM!$G22:$J22))</f>
      </c>
      <c r="G44" s="13" cm="1">
        <f t="array" ref="G44">IF(ITEM!$B22="","",INDEX(ITEM!$G22:$J22,1,$O$1))</f>
      </c>
      <c r="H44" s="13">
        <f>IF(ITEM!$B22="","",$F44+$G44)</f>
      </c>
      <c r="I44" s="13">
        <f>IF(ITEM!$B22="","",$D44-$H44)</f>
      </c>
      <c r="J44" s="6">
        <f>IF(ITEM!$B22="","",ITEM!$E22)</f>
      </c>
      <c r="K44" s="6">
        <f>IF(ITEM!$B22="","",$G44*$J44)</f>
      </c>
      <c r="L44" s="2"/>
      <c r="M44" s="2"/>
      <c r="N44" s="2"/>
      <c r="O44" s="2"/>
    </row>
    <row r="45" spans="1:15" ht="13.05" hidden="1" customHeight="1" outlineLevel="1" x14ac:dyDescent="0.45">
      <c r="A45" s="4">
        <f>IF(ITEM!$B23="","",ITEM!$A23)</f>
      </c>
      <c r="B45" s="118">
        <f>IF(ITEM!$B23="","",ITEM!$B23)</f>
      </c>
      <c r="C45" s="119"/>
      <c r="D45" s="13">
        <f>IF(ITEM!$B23="","",ITEM!$D23)</f>
      </c>
      <c r="E45" s="5">
        <f>IF(ITEM!$B23="","",ITEM!$C23)</f>
      </c>
      <c r="F45" s="13" cm="1">
        <f t="array" ref="F45">IF(ITEM!$B23="","",SUMPRODUCT((COLUMN(ITEM!$G23:$J23)-COLUMN(ITEM!$G23)+1&lt;$O$1)*ITEM!$G23:$J23))</f>
      </c>
      <c r="G45" s="13" cm="1">
        <f t="array" ref="G45">IF(ITEM!$B23="","",INDEX(ITEM!$G23:$J23,1,$O$1))</f>
      </c>
      <c r="H45" s="13">
        <f>IF(ITEM!$B23="","",$F45+$G45)</f>
      </c>
      <c r="I45" s="13">
        <f>IF(ITEM!$B23="","",$D45-$H45)</f>
      </c>
      <c r="J45" s="6">
        <f>IF(ITEM!$B23="","",ITEM!$E23)</f>
      </c>
      <c r="K45" s="6">
        <f>IF(ITEM!$B23="","",$G45*$J45)</f>
      </c>
      <c r="L45" s="2"/>
      <c r="M45" s="2"/>
      <c r="N45" s="2"/>
      <c r="O45" s="2"/>
    </row>
    <row r="46" spans="1:15" ht="13.05" hidden="1" customHeight="1" outlineLevel="2" x14ac:dyDescent="0.45">
      <c r="A46" s="4">
        <f>IF(ITEM!$B24="","",ITEM!$A24)</f>
      </c>
      <c r="B46" s="118">
        <f>IF(ITEM!$B24="","",ITEM!$B24)</f>
      </c>
      <c r="C46" s="119"/>
      <c r="D46" s="13">
        <f>IF(ITEM!$B24="","",ITEM!$D24)</f>
      </c>
      <c r="E46" s="5">
        <f>IF(ITEM!$B24="","",ITEM!$C24)</f>
      </c>
      <c r="F46" s="13" cm="1">
        <f t="array" ref="F46">IF(ITEM!$B24="","",SUMPRODUCT((COLUMN(ITEM!$G24:$J24)-COLUMN(ITEM!$G24)+1&lt;$O$1)*ITEM!$G24:$J24))</f>
      </c>
      <c r="G46" s="13" cm="1">
        <f t="array" ref="G46">IF(ITEM!$B24="","",INDEX(ITEM!$G24:$J24,1,$O$1))</f>
      </c>
      <c r="H46" s="13">
        <f>IF(ITEM!$B24="","",$F46+$G46)</f>
      </c>
      <c r="I46" s="13">
        <f>IF(ITEM!$B24="","",$D46-$H46)</f>
      </c>
      <c r="J46" s="6">
        <f>IF(ITEM!$B24="","",ITEM!$E24)</f>
      </c>
      <c r="K46" s="6">
        <f>IF(ITEM!$B24="","",$G46*$J46)</f>
      </c>
      <c r="L46" s="2"/>
      <c r="M46" s="2"/>
      <c r="N46" s="2"/>
      <c r="O46" s="2"/>
    </row>
    <row r="47" spans="1:15" ht="13.05" hidden="1" customHeight="1" outlineLevel="2" x14ac:dyDescent="0.45">
      <c r="A47" s="4">
        <f>IF(ITEM!$B25="","",ITEM!$A25)</f>
      </c>
      <c r="B47" s="118">
        <f>IF(ITEM!$B25="","",ITEM!$B25)</f>
      </c>
      <c r="C47" s="119"/>
      <c r="D47" s="13">
        <f>IF(ITEM!$B25="","",ITEM!$D25)</f>
      </c>
      <c r="E47" s="5">
        <f>IF(ITEM!$B25="","",ITEM!$C25)</f>
      </c>
      <c r="F47" s="13" cm="1">
        <f t="array" ref="F47">IF(ITEM!$B25="","",SUMPRODUCT((COLUMN(ITEM!$G25:$J25)-COLUMN(ITEM!$G25)+1&lt;$O$1)*ITEM!$G25:$J25))</f>
      </c>
      <c r="G47" s="13" cm="1">
        <f t="array" ref="G47">IF(ITEM!$B25="","",INDEX(ITEM!$G25:$J25,1,$O$1))</f>
      </c>
      <c r="H47" s="13">
        <f>IF(ITEM!$B25="","",$F47+$G47)</f>
      </c>
      <c r="I47" s="13">
        <f>IF(ITEM!$B25="","",$D47-$H47)</f>
      </c>
      <c r="J47" s="6">
        <f>IF(ITEM!$B25="","",ITEM!$E25)</f>
      </c>
      <c r="K47" s="6">
        <f>IF(ITEM!$B25="","",$G47*$J47)</f>
      </c>
      <c r="L47" s="2"/>
      <c r="M47" s="2"/>
      <c r="N47" s="2"/>
      <c r="O47" s="2"/>
    </row>
    <row r="48" spans="1:15" ht="13.05" hidden="1" customHeight="1" outlineLevel="2" x14ac:dyDescent="0.45">
      <c r="A48" s="4">
        <f>IF(ITEM!$B26="","",ITEM!$A26)</f>
      </c>
      <c r="B48" s="118">
        <f>IF(ITEM!$B26="","",ITEM!$B26)</f>
      </c>
      <c r="C48" s="119"/>
      <c r="D48" s="13">
        <f>IF(ITEM!$B26="","",ITEM!$D26)</f>
      </c>
      <c r="E48" s="5">
        <f>IF(ITEM!$B26="","",ITEM!$C26)</f>
      </c>
      <c r="F48" s="13" cm="1">
        <f t="array" ref="F48">IF(ITEM!$B26="","",SUMPRODUCT((COLUMN(ITEM!$G26:$J26)-COLUMN(ITEM!$G26)+1&lt;$O$1)*ITEM!$G26:$J26))</f>
      </c>
      <c r="G48" s="13" cm="1">
        <f t="array" ref="G48">IF(ITEM!$B26="","",INDEX(ITEM!$G26:$J26,1,$O$1))</f>
      </c>
      <c r="H48" s="13">
        <f>IF(ITEM!$B26="","",$F48+$G48)</f>
      </c>
      <c r="I48" s="13">
        <f>IF(ITEM!$B26="","",$D48-$H48)</f>
      </c>
      <c r="J48" s="6">
        <f>IF(ITEM!$B26="","",ITEM!$E26)</f>
      </c>
      <c r="K48" s="6">
        <f>IF(ITEM!$B26="","",$G48*$J48)</f>
      </c>
      <c r="L48" s="2"/>
      <c r="M48" s="2"/>
      <c r="N48" s="2"/>
      <c r="O48" s="2"/>
    </row>
    <row r="49" spans="1:15" ht="13.05" hidden="1" customHeight="1" outlineLevel="2" x14ac:dyDescent="0.45">
      <c r="A49" s="4">
        <f>IF(ITEM!$B27="","",ITEM!$A27)</f>
      </c>
      <c r="B49" s="118">
        <f>IF(ITEM!$B27="","",ITEM!$B27)</f>
      </c>
      <c r="C49" s="119"/>
      <c r="D49" s="13">
        <f>IF(ITEM!$B27="","",ITEM!$D27)</f>
      </c>
      <c r="E49" s="5">
        <f>IF(ITEM!$B27="","",ITEM!$C27)</f>
      </c>
      <c r="F49" s="13" cm="1">
        <f t="array" ref="F49">IF(ITEM!$B27="","",SUMPRODUCT((COLUMN(ITEM!$G27:$J27)-COLUMN(ITEM!$G27)+1&lt;$O$1)*ITEM!$G27:$J27))</f>
      </c>
      <c r="G49" s="13" cm="1">
        <f t="array" ref="G49">IF(ITEM!$B27="","",INDEX(ITEM!$G27:$J27,1,$O$1))</f>
      </c>
      <c r="H49" s="13">
        <f>IF(ITEM!$B27="","",$F49+$G49)</f>
      </c>
      <c r="I49" s="13">
        <f>IF(ITEM!$B27="","",$D49-$H49)</f>
      </c>
      <c r="J49" s="6">
        <f>IF(ITEM!$B27="","",ITEM!$E27)</f>
      </c>
      <c r="K49" s="6">
        <f>IF(ITEM!$B27="","",$G49*$J49)</f>
      </c>
      <c r="L49" s="2"/>
      <c r="M49" s="2"/>
      <c r="N49" s="2"/>
      <c r="O49" s="2"/>
    </row>
    <row r="50" spans="1:15" ht="13.05" hidden="1" customHeight="1" outlineLevel="2" x14ac:dyDescent="0.45">
      <c r="A50" s="4">
        <f>IF(ITEM!$B28="","",ITEM!$A28)</f>
      </c>
      <c r="B50" s="118">
        <f>IF(ITEM!$B28="","",ITEM!$B28)</f>
      </c>
      <c r="C50" s="119"/>
      <c r="D50" s="13">
        <f>IF(ITEM!$B28="","",ITEM!$D28)</f>
      </c>
      <c r="E50" s="5">
        <f>IF(ITEM!$B28="","",ITEM!$C28)</f>
      </c>
      <c r="F50" s="13" cm="1">
        <f t="array" ref="F50">IF(ITEM!$B28="","",SUMPRODUCT((COLUMN(ITEM!$G28:$J28)-COLUMN(ITEM!$G28)+1&lt;$O$1)*ITEM!$G28:$J28))</f>
      </c>
      <c r="G50" s="13" cm="1">
        <f t="array" ref="G50">IF(ITEM!$B28="","",INDEX(ITEM!$G28:$J28,1,$O$1))</f>
      </c>
      <c r="H50" s="13">
        <f>IF(ITEM!$B28="","",$F50+$G50)</f>
      </c>
      <c r="I50" s="13">
        <f>IF(ITEM!$B28="","",$D50-$H50)</f>
      </c>
      <c r="J50" s="6">
        <f>IF(ITEM!$B28="","",ITEM!$E28)</f>
      </c>
      <c r="K50" s="6">
        <f>IF(ITEM!$B28="","",$G50*$J50)</f>
      </c>
      <c r="L50" s="2"/>
      <c r="M50" s="2"/>
      <c r="N50" s="2"/>
      <c r="O50" s="2"/>
    </row>
    <row r="51" spans="1:15" ht="13.05" hidden="1" customHeight="1" outlineLevel="2" x14ac:dyDescent="0.45">
      <c r="A51" s="4">
        <f>IF(ITEM!$B29="","",ITEM!$A29)</f>
      </c>
      <c r="B51" s="118">
        <f>IF(ITEM!$B29="","",ITEM!$B29)</f>
      </c>
      <c r="C51" s="119"/>
      <c r="D51" s="13">
        <f>IF(ITEM!$B29="","",ITEM!$D29)</f>
      </c>
      <c r="E51" s="5">
        <f>IF(ITEM!$B29="","",ITEM!$C29)</f>
      </c>
      <c r="F51" s="13" cm="1">
        <f t="array" ref="F51">IF(ITEM!$B29="","",SUMPRODUCT((COLUMN(ITEM!$G29:$J29)-COLUMN(ITEM!$G29)+1&lt;$O$1)*ITEM!$G29:$J29))</f>
      </c>
      <c r="G51" s="13" cm="1">
        <f t="array" ref="G51">IF(ITEM!$B29="","",INDEX(ITEM!$G29:$J29,1,$O$1))</f>
      </c>
      <c r="H51" s="13">
        <f>IF(ITEM!$B29="","",$F51+$G51)</f>
      </c>
      <c r="I51" s="13">
        <f>IF(ITEM!$B29="","",$D51-$H51)</f>
      </c>
      <c r="J51" s="6">
        <f>IF(ITEM!$B29="","",ITEM!$E29)</f>
      </c>
      <c r="K51" s="6">
        <f>IF(ITEM!$B29="","",$G51*$J51)</f>
      </c>
      <c r="L51" s="2"/>
      <c r="M51" s="2"/>
      <c r="N51" s="2"/>
      <c r="O51" s="2"/>
    </row>
    <row r="52" spans="1:15" ht="13.05" hidden="1" customHeight="1" outlineLevel="2" x14ac:dyDescent="0.45">
      <c r="A52" s="4">
        <f>IF(ITEM!$B30="","",ITEM!$A30)</f>
      </c>
      <c r="B52" s="118">
        <f>IF(ITEM!$B30="","",ITEM!$B30)</f>
      </c>
      <c r="C52" s="119"/>
      <c r="D52" s="13">
        <f>IF(ITEM!$B30="","",ITEM!$D30)</f>
      </c>
      <c r="E52" s="5">
        <f>IF(ITEM!$B30="","",ITEM!$C30)</f>
      </c>
      <c r="F52" s="13" cm="1">
        <f t="array" ref="F52">IF(ITEM!$B30="","",SUMPRODUCT((COLUMN(ITEM!$G30:$J30)-COLUMN(ITEM!$G30)+1&lt;$O$1)*ITEM!$G30:$J30))</f>
      </c>
      <c r="G52" s="13" cm="1">
        <f t="array" ref="G52">IF(ITEM!$B30="","",INDEX(ITEM!$G30:$J30,1,$O$1))</f>
      </c>
      <c r="H52" s="13">
        <f>IF(ITEM!$B30="","",$F52+$G52)</f>
      </c>
      <c r="I52" s="13">
        <f>IF(ITEM!$B30="","",$D52-$H52)</f>
      </c>
      <c r="J52" s="6">
        <f>IF(ITEM!$B30="","",ITEM!$E30)</f>
      </c>
      <c r="K52" s="6">
        <f>IF(ITEM!$B30="","",$G52*$J52)</f>
      </c>
      <c r="L52" s="2"/>
      <c r="M52" s="2"/>
      <c r="N52" s="2"/>
      <c r="O52" s="2"/>
    </row>
    <row r="53" spans="1:15" ht="13.05" hidden="1" customHeight="1" outlineLevel="2" x14ac:dyDescent="0.45">
      <c r="A53" s="4">
        <f>IF(ITEM!$B31="","",ITEM!$A31)</f>
      </c>
      <c r="B53" s="118">
        <f>IF(ITEM!$B31="","",ITEM!$B31)</f>
      </c>
      <c r="C53" s="119"/>
      <c r="D53" s="13">
        <f>IF(ITEM!$B31="","",ITEM!$D31)</f>
      </c>
      <c r="E53" s="5">
        <f>IF(ITEM!$B31="","",ITEM!$C31)</f>
      </c>
      <c r="F53" s="13" cm="1">
        <f t="array" ref="F53">IF(ITEM!$B31="","",SUMPRODUCT((COLUMN(ITEM!$G31:$J31)-COLUMN(ITEM!$G31)+1&lt;$O$1)*ITEM!$G31:$J31))</f>
      </c>
      <c r="G53" s="13" cm="1">
        <f t="array" ref="G53">IF(ITEM!$B31="","",INDEX(ITEM!$G31:$J31,1,$O$1))</f>
      </c>
      <c r="H53" s="13">
        <f>IF(ITEM!$B31="","",$F53+$G53)</f>
      </c>
      <c r="I53" s="13">
        <f>IF(ITEM!$B31="","",$D53-$H53)</f>
      </c>
      <c r="J53" s="6">
        <f>IF(ITEM!$B31="","",ITEM!$E31)</f>
      </c>
      <c r="K53" s="6">
        <f>IF(ITEM!$B31="","",$G53*$J53)</f>
      </c>
      <c r="L53" s="2"/>
      <c r="M53" s="2"/>
      <c r="N53" s="2"/>
      <c r="O53" s="2"/>
    </row>
    <row r="54" spans="1:15" ht="13.05" hidden="1" customHeight="1" outlineLevel="2" x14ac:dyDescent="0.45">
      <c r="A54" s="4">
        <f>IF(ITEM!$B32="","",ITEM!$A32)</f>
      </c>
      <c r="B54" s="118">
        <f>IF(ITEM!$B32="","",ITEM!$B32)</f>
      </c>
      <c r="C54" s="119"/>
      <c r="D54" s="13">
        <f>IF(ITEM!$B32="","",ITEM!$D32)</f>
      </c>
      <c r="E54" s="5">
        <f>IF(ITEM!$B32="","",ITEM!$C32)</f>
      </c>
      <c r="F54" s="13" cm="1">
        <f t="array" ref="F54">IF(ITEM!$B32="","",SUMPRODUCT((COLUMN(ITEM!$G32:$J32)-COLUMN(ITEM!$G32)+1&lt;$O$1)*ITEM!$G32:$J32))</f>
      </c>
      <c r="G54" s="13" cm="1">
        <f t="array" ref="G54">IF(ITEM!$B32="","",INDEX(ITEM!$G32:$J32,1,$O$1))</f>
      </c>
      <c r="H54" s="13">
        <f>IF(ITEM!$B32="","",$F54+$G54)</f>
      </c>
      <c r="I54" s="13">
        <f>IF(ITEM!$B32="","",$D54-$H54)</f>
      </c>
      <c r="J54" s="6">
        <f>IF(ITEM!$B32="","",ITEM!$E32)</f>
      </c>
      <c r="K54" s="6">
        <f>IF(ITEM!$B32="","",$G54*$J54)</f>
      </c>
      <c r="L54" s="2"/>
      <c r="M54" s="2"/>
      <c r="N54" s="2"/>
      <c r="O54" s="2"/>
    </row>
    <row r="55" spans="1:15" ht="13.05" hidden="1" customHeight="1" outlineLevel="2" x14ac:dyDescent="0.45">
      <c r="A55" s="4">
        <f>IF(ITEM!$B33="","",ITEM!$A33)</f>
      </c>
      <c r="B55" s="118">
        <f>IF(ITEM!$B33="","",ITEM!$B33)</f>
      </c>
      <c r="C55" s="119"/>
      <c r="D55" s="13">
        <f>IF(ITEM!$B33="","",ITEM!$D33)</f>
      </c>
      <c r="E55" s="5">
        <f>IF(ITEM!$B33="","",ITEM!$C33)</f>
      </c>
      <c r="F55" s="13" cm="1">
        <f t="array" ref="F55">IF(ITEM!$B33="","",SUMPRODUCT((COLUMN(ITEM!$G33:$J33)-COLUMN(ITEM!$G33)+1&lt;$O$1)*ITEM!$G33:$J33))</f>
      </c>
      <c r="G55" s="13" cm="1">
        <f t="array" ref="G55">IF(ITEM!$B33="","",INDEX(ITEM!$G33:$J33,1,$O$1))</f>
      </c>
      <c r="H55" s="13">
        <f>IF(ITEM!$B33="","",$F55+$G55)</f>
      </c>
      <c r="I55" s="13">
        <f>IF(ITEM!$B33="","",$D55-$H55)</f>
      </c>
      <c r="J55" s="6">
        <f>IF(ITEM!$B33="","",ITEM!$E33)</f>
      </c>
      <c r="K55" s="6">
        <f>IF(ITEM!$B33="","",$G55*$J55)</f>
      </c>
      <c r="L55" s="2"/>
      <c r="M55" s="2"/>
      <c r="N55" s="2"/>
      <c r="O55" s="2"/>
    </row>
    <row r="56" spans="1:15" ht="13.05" hidden="1" customHeight="1" outlineLevel="2" x14ac:dyDescent="0.45">
      <c r="A56" s="4">
        <f>IF(ITEM!$B34="","",ITEM!$A34)</f>
      </c>
      <c r="B56" s="118">
        <f>IF(ITEM!$B34="","",ITEM!$B34)</f>
      </c>
      <c r="C56" s="119"/>
      <c r="D56" s="13">
        <f>IF(ITEM!$B34="","",ITEM!$D34)</f>
      </c>
      <c r="E56" s="5">
        <f>IF(ITEM!$B34="","",ITEM!$C34)</f>
      </c>
      <c r="F56" s="13" cm="1">
        <f t="array" ref="F56">IF(ITEM!$B34="","",SUMPRODUCT((COLUMN(ITEM!$G34:$J34)-COLUMN(ITEM!$G34)+1&lt;$O$1)*ITEM!$G34:$J34))</f>
      </c>
      <c r="G56" s="13" cm="1">
        <f t="array" ref="G56">IF(ITEM!$B34="","",INDEX(ITEM!$G34:$J34,1,$O$1))</f>
      </c>
      <c r="H56" s="13">
        <f>IF(ITEM!$B34="","",$F56+$G56)</f>
      </c>
      <c r="I56" s="13">
        <f>IF(ITEM!$B34="","",$D56-$H56)</f>
      </c>
      <c r="J56" s="6">
        <f>IF(ITEM!$B34="","",ITEM!$E34)</f>
      </c>
      <c r="K56" s="6">
        <f>IF(ITEM!$B34="","",$G56*$J56)</f>
      </c>
      <c r="L56" s="2"/>
      <c r="M56" s="2"/>
      <c r="N56" s="2"/>
      <c r="O56" s="2"/>
    </row>
    <row r="57" spans="1:15" ht="13.05" hidden="1" customHeight="1" outlineLevel="2" x14ac:dyDescent="0.45">
      <c r="A57" s="4">
        <f>IF(ITEM!$B35="","",ITEM!$A35)</f>
      </c>
      <c r="B57" s="118">
        <f>IF(ITEM!$B35="","",ITEM!$B35)</f>
      </c>
      <c r="C57" s="119"/>
      <c r="D57" s="13">
        <f>IF(ITEM!$B35="","",ITEM!$D35)</f>
      </c>
      <c r="E57" s="5">
        <f>IF(ITEM!$B35="","",ITEM!$C35)</f>
      </c>
      <c r="F57" s="13" cm="1">
        <f t="array" ref="F57">IF(ITEM!$B35="","",SUMPRODUCT((COLUMN(ITEM!$G35:$J35)-COLUMN(ITEM!$G35)+1&lt;$O$1)*ITEM!$G35:$J35))</f>
      </c>
      <c r="G57" s="13" cm="1">
        <f t="array" ref="G57">IF(ITEM!$B35="","",INDEX(ITEM!$G35:$J35,1,$O$1))</f>
      </c>
      <c r="H57" s="13">
        <f>IF(ITEM!$B35="","",$F57+$G57)</f>
      </c>
      <c r="I57" s="13">
        <f>IF(ITEM!$B35="","",$D57-$H57)</f>
      </c>
      <c r="J57" s="6">
        <f>IF(ITEM!$B35="","",ITEM!$E35)</f>
      </c>
      <c r="K57" s="6">
        <f>IF(ITEM!$B35="","",$G57*$J57)</f>
      </c>
      <c r="L57" s="2"/>
      <c r="M57" s="2"/>
      <c r="N57" s="2"/>
      <c r="O57" s="2"/>
    </row>
    <row r="58" spans="1:15" ht="13.05" hidden="1" customHeight="1" outlineLevel="2" x14ac:dyDescent="0.45">
      <c r="A58" s="4">
        <f>IF(ITEM!$B36="","",ITEM!$A36)</f>
      </c>
      <c r="B58" s="118">
        <f>IF(ITEM!$B36="","",ITEM!$B36)</f>
      </c>
      <c r="C58" s="119"/>
      <c r="D58" s="13">
        <f>IF(ITEM!$B36="","",ITEM!$D36)</f>
      </c>
      <c r="E58" s="5">
        <f>IF(ITEM!$B36="","",ITEM!$C36)</f>
      </c>
      <c r="F58" s="13" cm="1">
        <f t="array" ref="F58">IF(ITEM!$B36="","",SUMPRODUCT((COLUMN(ITEM!$G36:$J36)-COLUMN(ITEM!$G36)+1&lt;$O$1)*ITEM!$G36:$J36))</f>
      </c>
      <c r="G58" s="13" cm="1">
        <f t="array" ref="G58">IF(ITEM!$B36="","",INDEX(ITEM!$G36:$J36,1,$O$1))</f>
      </c>
      <c r="H58" s="13">
        <f>IF(ITEM!$B36="","",$F58+$G58)</f>
      </c>
      <c r="I58" s="13">
        <f>IF(ITEM!$B36="","",$D58-$H58)</f>
      </c>
      <c r="J58" s="6">
        <f>IF(ITEM!$B36="","",ITEM!$E36)</f>
      </c>
      <c r="K58" s="6">
        <f>IF(ITEM!$B36="","",$G58*$J58)</f>
      </c>
      <c r="L58" s="2"/>
      <c r="M58" s="2"/>
      <c r="N58" s="2"/>
      <c r="O58" s="2"/>
    </row>
    <row r="59" spans="1:15" ht="13.05" hidden="1" customHeight="1" outlineLevel="2" x14ac:dyDescent="0.45">
      <c r="A59" s="4">
        <f>IF(ITEM!$B37="","",ITEM!$A37)</f>
      </c>
      <c r="B59" s="118">
        <f>IF(ITEM!$B37="","",ITEM!$B37)</f>
      </c>
      <c r="C59" s="119"/>
      <c r="D59" s="13">
        <f>IF(ITEM!$B37="","",ITEM!$D37)</f>
      </c>
      <c r="E59" s="5">
        <f>IF(ITEM!$B37="","",ITEM!$C37)</f>
      </c>
      <c r="F59" s="13" cm="1">
        <f t="array" ref="F59">IF(ITEM!$B37="","",SUMPRODUCT((COLUMN(ITEM!$G37:$J37)-COLUMN(ITEM!$G37)+1&lt;$O$1)*ITEM!$G37:$J37))</f>
      </c>
      <c r="G59" s="13" cm="1">
        <f t="array" ref="G59">IF(ITEM!$B37="","",INDEX(ITEM!$G37:$J37,1,$O$1))</f>
      </c>
      <c r="H59" s="13">
        <f>IF(ITEM!$B37="","",$F59+$G59)</f>
      </c>
      <c r="I59" s="13">
        <f>IF(ITEM!$B37="","",$D59-$H59)</f>
      </c>
      <c r="J59" s="6">
        <f>IF(ITEM!$B37="","",ITEM!$E37)</f>
      </c>
      <c r="K59" s="6">
        <f>IF(ITEM!$B37="","",$G59*$J59)</f>
      </c>
      <c r="L59" s="2"/>
      <c r="M59" s="2"/>
      <c r="N59" s="2"/>
      <c r="O59" s="2"/>
    </row>
    <row r="60" spans="1:15" ht="13.05" hidden="1" customHeight="1" outlineLevel="2" x14ac:dyDescent="0.45">
      <c r="A60" s="4">
        <f>IF(ITEM!$B38="","",ITEM!$A38)</f>
      </c>
      <c r="B60" s="118">
        <f>IF(ITEM!$B38="","",ITEM!$B38)</f>
      </c>
      <c r="C60" s="119"/>
      <c r="D60" s="13">
        <f>IF(ITEM!$B38="","",ITEM!$D38)</f>
      </c>
      <c r="E60" s="5">
        <f>IF(ITEM!$B38="","",ITEM!$C38)</f>
      </c>
      <c r="F60" s="13" cm="1">
        <f t="array" ref="F60">IF(ITEM!$B38="","",SUMPRODUCT((COLUMN(ITEM!$G38:$J38)-COLUMN(ITEM!$G38)+1&lt;$O$1)*ITEM!$G38:$J38))</f>
      </c>
      <c r="G60" s="13" cm="1">
        <f t="array" ref="G60">IF(ITEM!$B38="","",INDEX(ITEM!$G38:$J38,1,$O$1))</f>
      </c>
      <c r="H60" s="13">
        <f>IF(ITEM!$B38="","",$F60+$G60)</f>
      </c>
      <c r="I60" s="13">
        <f>IF(ITEM!$B38="","",$D60-$H60)</f>
      </c>
      <c r="J60" s="6">
        <f>IF(ITEM!$B38="","",ITEM!$E38)</f>
      </c>
      <c r="K60" s="6">
        <f>IF(ITEM!$B38="","",$G60*$J60)</f>
      </c>
      <c r="L60" s="2"/>
      <c r="M60" s="2"/>
      <c r="N60" s="2"/>
      <c r="O60" s="2"/>
    </row>
    <row r="61" spans="1:15" ht="13.05" hidden="1" customHeight="1" outlineLevel="2" x14ac:dyDescent="0.45">
      <c r="A61" s="4">
        <f>IF(ITEM!$B39="","",ITEM!$A39)</f>
      </c>
      <c r="B61" s="118">
        <f>IF(ITEM!$B39="","",ITEM!$B39)</f>
      </c>
      <c r="C61" s="119"/>
      <c r="D61" s="13">
        <f>IF(ITEM!$B39="","",ITEM!$D39)</f>
      </c>
      <c r="E61" s="5">
        <f>IF(ITEM!$B39="","",ITEM!$C39)</f>
      </c>
      <c r="F61" s="13" cm="1">
        <f t="array" ref="F61">IF(ITEM!$B39="","",SUMPRODUCT((COLUMN(ITEM!$G39:$J39)-COLUMN(ITEM!$G39)+1&lt;$O$1)*ITEM!$G39:$J39))</f>
      </c>
      <c r="G61" s="13" cm="1">
        <f t="array" ref="G61">IF(ITEM!$B39="","",INDEX(ITEM!$G39:$J39,1,$O$1))</f>
      </c>
      <c r="H61" s="13">
        <f>IF(ITEM!$B39="","",$F61+$G61)</f>
      </c>
      <c r="I61" s="13">
        <f>IF(ITEM!$B39="","",$D61-$H61)</f>
      </c>
      <c r="J61" s="6">
        <f>IF(ITEM!$B39="","",ITEM!$E39)</f>
      </c>
      <c r="K61" s="6">
        <f>IF(ITEM!$B39="","",$G61*$J61)</f>
      </c>
      <c r="L61" s="2"/>
      <c r="M61" s="2"/>
      <c r="N61" s="2"/>
      <c r="O61" s="2"/>
    </row>
    <row r="62" spans="1:15" ht="13.05" hidden="1" customHeight="1" outlineLevel="2" x14ac:dyDescent="0.45">
      <c r="A62" s="4">
        <f>IF(ITEM!$B40="","",ITEM!$A40)</f>
      </c>
      <c r="B62" s="118">
        <f>IF(ITEM!$B40="","",ITEM!$B40)</f>
      </c>
      <c r="C62" s="119"/>
      <c r="D62" s="13">
        <f>IF(ITEM!$B40="","",ITEM!$D40)</f>
      </c>
      <c r="E62" s="5">
        <f>IF(ITEM!$B40="","",ITEM!$C40)</f>
      </c>
      <c r="F62" s="13" cm="1">
        <f t="array" ref="F62">IF(ITEM!$B40="","",SUMPRODUCT((COLUMN(ITEM!$G40:$J40)-COLUMN(ITEM!$G40)+1&lt;$O$1)*ITEM!$G40:$J40))</f>
      </c>
      <c r="G62" s="13" cm="1">
        <f t="array" ref="G62">IF(ITEM!$B40="","",INDEX(ITEM!$G40:$J40,1,$O$1))</f>
      </c>
      <c r="H62" s="13">
        <f>IF(ITEM!$B40="","",$F62+$G62)</f>
      </c>
      <c r="I62" s="13">
        <f>IF(ITEM!$B40="","",$D62-$H62)</f>
      </c>
      <c r="J62" s="6">
        <f>IF(ITEM!$B40="","",ITEM!$E40)</f>
      </c>
      <c r="K62" s="6">
        <f>IF(ITEM!$B40="","",$G62*$J62)</f>
      </c>
      <c r="L62" s="2"/>
      <c r="M62" s="2"/>
      <c r="N62" s="2"/>
      <c r="O62" s="2"/>
    </row>
    <row r="63" spans="1:15" ht="13.05" hidden="1" customHeight="1" outlineLevel="2" x14ac:dyDescent="0.45">
      <c r="A63" s="4">
        <f>IF(ITEM!$B41="","",ITEM!$A41)</f>
      </c>
      <c r="B63" s="118">
        <f>IF(ITEM!$B41="","",ITEM!$B41)</f>
      </c>
      <c r="C63" s="119"/>
      <c r="D63" s="13">
        <f>IF(ITEM!$B41="","",ITEM!$D41)</f>
      </c>
      <c r="E63" s="5">
        <f>IF(ITEM!$B41="","",ITEM!$C41)</f>
      </c>
      <c r="F63" s="13" cm="1">
        <f t="array" ref="F63">IF(ITEM!$B41="","",SUMPRODUCT((COLUMN(ITEM!$G41:$J41)-COLUMN(ITEM!$G41)+1&lt;$O$1)*ITEM!$G41:$J41))</f>
      </c>
      <c r="G63" s="13" cm="1">
        <f t="array" ref="G63">IF(ITEM!$B41="","",INDEX(ITEM!$G41:$J41,1,$O$1))</f>
      </c>
      <c r="H63" s="13">
        <f>IF(ITEM!$B41="","",$F63+$G63)</f>
      </c>
      <c r="I63" s="13">
        <f>IF(ITEM!$B41="","",$D63-$H63)</f>
      </c>
      <c r="J63" s="6">
        <f>IF(ITEM!$B41="","",ITEM!$E41)</f>
      </c>
      <c r="K63" s="6">
        <f>IF(ITEM!$B41="","",$G63*$J63)</f>
      </c>
      <c r="L63" s="2"/>
      <c r="M63" s="2"/>
      <c r="N63" s="2"/>
      <c r="O63" s="2"/>
    </row>
    <row r="64" spans="1:15" ht="13.05" hidden="1" customHeight="1" outlineLevel="2" x14ac:dyDescent="0.45">
      <c r="A64" s="4">
        <f>IF(ITEM!$B42="","",ITEM!$A42)</f>
      </c>
      <c r="B64" s="118">
        <f>IF(ITEM!$B42="","",ITEM!$B42)</f>
      </c>
      <c r="C64" s="119"/>
      <c r="D64" s="13">
        <f>IF(ITEM!$B42="","",ITEM!$D42)</f>
      </c>
      <c r="E64" s="5">
        <f>IF(ITEM!$B42="","",ITEM!$C42)</f>
      </c>
      <c r="F64" s="13" cm="1">
        <f t="array" ref="F64">IF(ITEM!$B42="","",SUMPRODUCT((COLUMN(ITEM!$G42:$J42)-COLUMN(ITEM!$G42)+1&lt;$O$1)*ITEM!$G42:$J42))</f>
      </c>
      <c r="G64" s="13" cm="1">
        <f t="array" ref="G64">IF(ITEM!$B42="","",INDEX(ITEM!$G42:$J42,1,$O$1))</f>
      </c>
      <c r="H64" s="13">
        <f>IF(ITEM!$B42="","",$F64+$G64)</f>
      </c>
      <c r="I64" s="13">
        <f>IF(ITEM!$B42="","",$D64-$H64)</f>
      </c>
      <c r="J64" s="6">
        <f>IF(ITEM!$B42="","",ITEM!$E42)</f>
      </c>
      <c r="K64" s="6">
        <f>IF(ITEM!$B42="","",$G64*$J64)</f>
      </c>
      <c r="L64" s="2"/>
      <c r="M64" s="2"/>
      <c r="N64" s="2"/>
      <c r="O64" s="2"/>
    </row>
    <row r="65" spans="1:15" ht="13.05" hidden="1" customHeight="1" outlineLevel="2" x14ac:dyDescent="0.45">
      <c r="A65" s="4">
        <f>IF(ITEM!$B43="","",ITEM!$A43)</f>
      </c>
      <c r="B65" s="118">
        <f>IF(ITEM!$B43="","",ITEM!$B43)</f>
      </c>
      <c r="C65" s="119"/>
      <c r="D65" s="13">
        <f>IF(ITEM!$B43="","",ITEM!$D43)</f>
      </c>
      <c r="E65" s="5">
        <f>IF(ITEM!$B43="","",ITEM!$C43)</f>
      </c>
      <c r="F65" s="13" cm="1">
        <f t="array" ref="F65">IF(ITEM!$B43="","",SUMPRODUCT((COLUMN(ITEM!$G43:$J43)-COLUMN(ITEM!$G43)+1&lt;$O$1)*ITEM!$G43:$J43))</f>
      </c>
      <c r="G65" s="13" cm="1">
        <f t="array" ref="G65">IF(ITEM!$B43="","",INDEX(ITEM!$G43:$J43,1,$O$1))</f>
      </c>
      <c r="H65" s="13">
        <f>IF(ITEM!$B43="","",$F65+$G65)</f>
      </c>
      <c r="I65" s="13">
        <f>IF(ITEM!$B43="","",$D65-$H65)</f>
      </c>
      <c r="J65" s="6">
        <f>IF(ITEM!$B43="","",ITEM!$E43)</f>
      </c>
      <c r="K65" s="6">
        <f>IF(ITEM!$B43="","",$G65*$J65)</f>
      </c>
      <c r="L65" s="2"/>
      <c r="M65" s="2"/>
      <c r="N65" s="2"/>
      <c r="O65" s="2"/>
    </row>
    <row r="66" spans="1:15" ht="13.05" hidden="1" customHeight="1" outlineLevel="2" x14ac:dyDescent="0.45">
      <c r="A66" s="4">
        <f>IF(ITEM!$B44="","",ITEM!$A44)</f>
      </c>
      <c r="B66" s="118">
        <f>IF(ITEM!$B44="","",ITEM!$B44)</f>
      </c>
      <c r="C66" s="119"/>
      <c r="D66" s="13">
        <f>IF(ITEM!$B44="","",ITEM!$D44)</f>
      </c>
      <c r="E66" s="5">
        <f>IF(ITEM!$B44="","",ITEM!$C44)</f>
      </c>
      <c r="F66" s="13" cm="1">
        <f t="array" ref="F66">IF(ITEM!$B44="","",SUMPRODUCT((COLUMN(ITEM!$G44:$J44)-COLUMN(ITEM!$G44)+1&lt;$O$1)*ITEM!$G44:$J44))</f>
      </c>
      <c r="G66" s="13" cm="1">
        <f t="array" ref="G66">IF(ITEM!$B44="","",INDEX(ITEM!$G44:$J44,1,$O$1))</f>
      </c>
      <c r="H66" s="13">
        <f>IF(ITEM!$B44="","",$F66+$G66)</f>
      </c>
      <c r="I66" s="13">
        <f>IF(ITEM!$B44="","",$D66-$H66)</f>
      </c>
      <c r="J66" s="6">
        <f>IF(ITEM!$B44="","",ITEM!$E44)</f>
      </c>
      <c r="K66" s="6">
        <f>IF(ITEM!$B44="","",$G66*$J66)</f>
      </c>
      <c r="L66" s="2"/>
      <c r="M66" s="2"/>
      <c r="N66" s="2"/>
      <c r="O66" s="2"/>
    </row>
    <row r="67" spans="1:15" ht="13.05" hidden="1" customHeight="1" outlineLevel="2" x14ac:dyDescent="0.45">
      <c r="A67" s="4">
        <f>IF(ITEM!$B45="","",ITEM!$A45)</f>
      </c>
      <c r="B67" s="118">
        <f>IF(ITEM!$B45="","",ITEM!$B45)</f>
      </c>
      <c r="C67" s="119"/>
      <c r="D67" s="13">
        <f>IF(ITEM!$B45="","",ITEM!$D45)</f>
      </c>
      <c r="E67" s="5">
        <f>IF(ITEM!$B45="","",ITEM!$C45)</f>
      </c>
      <c r="F67" s="13" cm="1">
        <f t="array" ref="F67">IF(ITEM!$B45="","",SUMPRODUCT((COLUMN(ITEM!$G45:$J45)-COLUMN(ITEM!$G45)+1&lt;$O$1)*ITEM!$G45:$J45))</f>
      </c>
      <c r="G67" s="13" cm="1">
        <f t="array" ref="G67">IF(ITEM!$B45="","",INDEX(ITEM!$G45:$J45,1,$O$1))</f>
      </c>
      <c r="H67" s="13">
        <f>IF(ITEM!$B45="","",$F67+$G67)</f>
      </c>
      <c r="I67" s="13">
        <f>IF(ITEM!$B45="","",$D67-$H67)</f>
      </c>
      <c r="J67" s="6">
        <f>IF(ITEM!$B45="","",ITEM!$E45)</f>
      </c>
      <c r="K67" s="6">
        <f>IF(ITEM!$B45="","",$G67*$J67)</f>
      </c>
      <c r="L67" s="2"/>
      <c r="M67" s="2"/>
      <c r="N67" s="2"/>
      <c r="O67" s="2"/>
    </row>
    <row r="68" spans="1:15" ht="13.05" hidden="1" customHeight="1" outlineLevel="2" x14ac:dyDescent="0.45">
      <c r="A68" s="4">
        <f>IF(ITEM!$B46="","",ITEM!$A46)</f>
      </c>
      <c r="B68" s="118">
        <f>IF(ITEM!$B46="","",ITEM!$B46)</f>
      </c>
      <c r="C68" s="119"/>
      <c r="D68" s="13">
        <f>IF(ITEM!$B46="","",ITEM!$D46)</f>
      </c>
      <c r="E68" s="5">
        <f>IF(ITEM!$B46="","",ITEM!$C46)</f>
      </c>
      <c r="F68" s="13" cm="1">
        <f t="array" ref="F68">IF(ITEM!$B46="","",SUMPRODUCT((COLUMN(ITEM!$G46:$J46)-COLUMN(ITEM!$G46)+1&lt;$O$1)*ITEM!$G46:$J46))</f>
      </c>
      <c r="G68" s="13" cm="1">
        <f t="array" ref="G68">IF(ITEM!$B46="","",INDEX(ITEM!$G46:$J46,1,$O$1))</f>
      </c>
      <c r="H68" s="13">
        <f>IF(ITEM!$B46="","",$F68+$G68)</f>
      </c>
      <c r="I68" s="13">
        <f>IF(ITEM!$B46="","",$D68-$H68)</f>
      </c>
      <c r="J68" s="6">
        <f>IF(ITEM!$B46="","",ITEM!$E46)</f>
      </c>
      <c r="K68" s="6">
        <f>IF(ITEM!$B46="","",$G68*$J68)</f>
      </c>
      <c r="L68" s="2"/>
      <c r="M68" s="2"/>
      <c r="N68" s="2"/>
      <c r="O68" s="2"/>
    </row>
    <row r="69" spans="1:15" ht="13.05" hidden="1" customHeight="1" outlineLevel="2" x14ac:dyDescent="0.45">
      <c r="A69" s="4">
        <f>IF(ITEM!$B47="","",ITEM!$A47)</f>
      </c>
      <c r="B69" s="118">
        <f>IF(ITEM!$B47="","",ITEM!$B47)</f>
      </c>
      <c r="C69" s="119"/>
      <c r="D69" s="13">
        <f>IF(ITEM!$B47="","",ITEM!$D47)</f>
      </c>
      <c r="E69" s="5">
        <f>IF(ITEM!$B47="","",ITEM!$C47)</f>
      </c>
      <c r="F69" s="13" cm="1">
        <f t="array" ref="F69">IF(ITEM!$B47="","",SUMPRODUCT((COLUMN(ITEM!$G47:$J47)-COLUMN(ITEM!$G47)+1&lt;$O$1)*ITEM!$G47:$J47))</f>
      </c>
      <c r="G69" s="13" cm="1">
        <f t="array" ref="G69">IF(ITEM!$B47="","",INDEX(ITEM!$G47:$J47,1,$O$1))</f>
      </c>
      <c r="H69" s="13">
        <f>IF(ITEM!$B47="","",$F69+$G69)</f>
      </c>
      <c r="I69" s="13">
        <f>IF(ITEM!$B47="","",$D69-$H69)</f>
      </c>
      <c r="J69" s="6">
        <f>IF(ITEM!$B47="","",ITEM!$E47)</f>
      </c>
      <c r="K69" s="6">
        <f>IF(ITEM!$B47="","",$G69*$J69)</f>
      </c>
      <c r="L69" s="2"/>
      <c r="M69" s="2"/>
      <c r="N69" s="2"/>
      <c r="O69" s="2"/>
    </row>
    <row r="70" spans="1:15" ht="13.05" hidden="1" customHeight="1" outlineLevel="2" x14ac:dyDescent="0.45">
      <c r="A70" s="4">
        <f>IF(ITEM!$B48="","",ITEM!$A48)</f>
      </c>
      <c r="B70" s="118">
        <f>IF(ITEM!$B48="","",ITEM!$B48)</f>
      </c>
      <c r="C70" s="119"/>
      <c r="D70" s="13">
        <f>IF(ITEM!$B48="","",ITEM!$D48)</f>
      </c>
      <c r="E70" s="5">
        <f>IF(ITEM!$B48="","",ITEM!$C48)</f>
      </c>
      <c r="F70" s="13" cm="1">
        <f t="array" ref="F70">IF(ITEM!$B48="","",SUMPRODUCT((COLUMN(ITEM!$G48:$J48)-COLUMN(ITEM!$G48)+1&lt;$O$1)*ITEM!$G48:$J48))</f>
      </c>
      <c r="G70" s="13" cm="1">
        <f t="array" ref="G70">IF(ITEM!$B48="","",INDEX(ITEM!$G48:$J48,1,$O$1))</f>
      </c>
      <c r="H70" s="13">
        <f>IF(ITEM!$B48="","",$F70+$G70)</f>
      </c>
      <c r="I70" s="13">
        <f>IF(ITEM!$B48="","",$D70-$H70)</f>
      </c>
      <c r="J70" s="6">
        <f>IF(ITEM!$B48="","",ITEM!$E48)</f>
      </c>
      <c r="K70" s="6">
        <f>IF(ITEM!$B48="","",$G70*$J70)</f>
      </c>
      <c r="L70" s="2"/>
      <c r="M70" s="2"/>
      <c r="N70" s="2"/>
      <c r="O70" s="2"/>
    </row>
    <row r="71" spans="1:15" ht="13.05" hidden="1" customHeight="1" outlineLevel="2" x14ac:dyDescent="0.45">
      <c r="A71" s="4">
        <f>IF(ITEM!$B49="","",ITEM!$A49)</f>
      </c>
      <c r="B71" s="118">
        <f>IF(ITEM!$B49="","",ITEM!$B49)</f>
      </c>
      <c r="C71" s="119"/>
      <c r="D71" s="13">
        <f>IF(ITEM!$B49="","",ITEM!$D49)</f>
      </c>
      <c r="E71" s="5">
        <f>IF(ITEM!$B49="","",ITEM!$C49)</f>
      </c>
      <c r="F71" s="13" cm="1">
        <f t="array" ref="F71">IF(ITEM!$B49="","",SUMPRODUCT((COLUMN(ITEM!$G49:$J49)-COLUMN(ITEM!$G49)+1&lt;$O$1)*ITEM!$G49:$J49))</f>
      </c>
      <c r="G71" s="13" cm="1">
        <f t="array" ref="G71">IF(ITEM!$B49="","",INDEX(ITEM!$G49:$J49,1,$O$1))</f>
      </c>
      <c r="H71" s="13">
        <f>IF(ITEM!$B49="","",$F71+$G71)</f>
      </c>
      <c r="I71" s="13">
        <f>IF(ITEM!$B49="","",$D71-$H71)</f>
      </c>
      <c r="J71" s="6">
        <f>IF(ITEM!$B49="","",ITEM!$E49)</f>
      </c>
      <c r="K71" s="6">
        <f>IF(ITEM!$B49="","",$G71*$J71)</f>
      </c>
      <c r="L71" s="2"/>
      <c r="M71" s="2"/>
      <c r="N71" s="2"/>
      <c r="O71" s="2"/>
    </row>
    <row r="72" spans="1:15" ht="13.05" hidden="1" customHeight="1" outlineLevel="2" x14ac:dyDescent="0.45">
      <c r="A72" s="4">
        <f>IF(ITEM!$B50="","",ITEM!$A50)</f>
      </c>
      <c r="B72" s="118">
        <f>IF(ITEM!$B50="","",ITEM!$B50)</f>
      </c>
      <c r="C72" s="119"/>
      <c r="D72" s="13">
        <f>IF(ITEM!$B50="","",ITEM!$D50)</f>
      </c>
      <c r="E72" s="5">
        <f>IF(ITEM!$B50="","",ITEM!$C50)</f>
      </c>
      <c r="F72" s="13" cm="1">
        <f t="array" ref="F72">IF(ITEM!$B50="","",SUMPRODUCT((COLUMN(ITEM!$G50:$J50)-COLUMN(ITEM!$G50)+1&lt;$O$1)*ITEM!$G50:$J50))</f>
      </c>
      <c r="G72" s="13" cm="1">
        <f t="array" ref="G72">IF(ITEM!$B50="","",INDEX(ITEM!$G50:$J50,1,$O$1))</f>
      </c>
      <c r="H72" s="13">
        <f>IF(ITEM!$B50="","",$F72+$G72)</f>
      </c>
      <c r="I72" s="13">
        <f>IF(ITEM!$B50="","",$D72-$H72)</f>
      </c>
      <c r="J72" s="6">
        <f>IF(ITEM!$B50="","",ITEM!$E50)</f>
      </c>
      <c r="K72" s="6">
        <f>IF(ITEM!$B50="","",$G72*$J72)</f>
      </c>
      <c r="L72" s="2"/>
      <c r="M72" s="2"/>
      <c r="N72" s="2"/>
      <c r="O72" s="2"/>
    </row>
    <row r="73" spans="1:15" ht="13.05" hidden="1" customHeight="1" outlineLevel="2" x14ac:dyDescent="0.45">
      <c r="A73" s="4">
        <f>IF(ITEM!$B51="","",ITEM!$A51)</f>
      </c>
      <c r="B73" s="118">
        <f>IF(ITEM!$B51="","",ITEM!$B51)</f>
      </c>
      <c r="C73" s="119"/>
      <c r="D73" s="13">
        <f>IF(ITEM!$B51="","",ITEM!$D51)</f>
      </c>
      <c r="E73" s="5">
        <f>IF(ITEM!$B51="","",ITEM!$C51)</f>
      </c>
      <c r="F73" s="13" cm="1">
        <f t="array" ref="F73">IF(ITEM!$B51="","",SUMPRODUCT((COLUMN(ITEM!$G51:$J51)-COLUMN(ITEM!$G51)+1&lt;$O$1)*ITEM!$G51:$J51))</f>
      </c>
      <c r="G73" s="13" cm="1">
        <f t="array" ref="G73">IF(ITEM!$B51="","",INDEX(ITEM!$G51:$J51,1,$O$1))</f>
      </c>
      <c r="H73" s="13">
        <f>IF(ITEM!$B51="","",$F73+$G73)</f>
      </c>
      <c r="I73" s="13">
        <f>IF(ITEM!$B51="","",$D73-$H73)</f>
      </c>
      <c r="J73" s="6">
        <f>IF(ITEM!$B51="","",ITEM!$E51)</f>
      </c>
      <c r="K73" s="6">
        <f>IF(ITEM!$B51="","",$G73*$J73)</f>
      </c>
      <c r="L73" s="2"/>
      <c r="M73" s="2"/>
      <c r="N73" s="2"/>
      <c r="O73" s="2"/>
    </row>
    <row r="74" spans="1:15" ht="13.05" hidden="1" customHeight="1" outlineLevel="2" x14ac:dyDescent="0.45">
      <c r="A74" s="4">
        <f>IF(ITEM!$B52="","",ITEM!$A52)</f>
      </c>
      <c r="B74" s="118">
        <f>IF(ITEM!$B52="","",ITEM!$B52)</f>
      </c>
      <c r="C74" s="119"/>
      <c r="D74" s="13">
        <f>IF(ITEM!$B52="","",ITEM!$D52)</f>
      </c>
      <c r="E74" s="5">
        <f>IF(ITEM!$B52="","",ITEM!$C52)</f>
      </c>
      <c r="F74" s="13" cm="1">
        <f t="array" ref="F74">IF(ITEM!$B52="","",SUMPRODUCT((COLUMN(ITEM!$G52:$J52)-COLUMN(ITEM!$G52)+1&lt;$O$1)*ITEM!$G52:$J52))</f>
      </c>
      <c r="G74" s="13" cm="1">
        <f t="array" ref="G74">IF(ITEM!$B52="","",INDEX(ITEM!$G52:$J52,1,$O$1))</f>
      </c>
      <c r="H74" s="13">
        <f>IF(ITEM!$B52="","",$F74+$G74)</f>
      </c>
      <c r="I74" s="13">
        <f>IF(ITEM!$B52="","",$D74-$H74)</f>
      </c>
      <c r="J74" s="6">
        <f>IF(ITEM!$B52="","",ITEM!$E52)</f>
      </c>
      <c r="K74" s="6">
        <f>IF(ITEM!$B52="","",$G74*$J74)</f>
      </c>
      <c r="L74" s="2"/>
      <c r="M74" s="2"/>
      <c r="N74" s="2"/>
      <c r="O74" s="2"/>
    </row>
    <row r="75" spans="1:15" ht="13.05" hidden="1" customHeight="1" outlineLevel="2" x14ac:dyDescent="0.45">
      <c r="A75" s="4">
        <f>IF(ITEM!$B53="","",ITEM!$A53)</f>
      </c>
      <c r="B75" s="118">
        <f>IF(ITEM!$B53="","",ITEM!$B53)</f>
      </c>
      <c r="C75" s="119"/>
      <c r="D75" s="13">
        <f>IF(ITEM!$B53="","",ITEM!$D53)</f>
      </c>
      <c r="E75" s="5">
        <f>IF(ITEM!$B53="","",ITEM!$C53)</f>
      </c>
      <c r="F75" s="13" cm="1">
        <f t="array" ref="F75">IF(ITEM!$B53="","",SUMPRODUCT((COLUMN(ITEM!$G53:$J53)-COLUMN(ITEM!$G53)+1&lt;$O$1)*ITEM!$G53:$J53))</f>
      </c>
      <c r="G75" s="13" cm="1">
        <f t="array" ref="G75">IF(ITEM!$B53="","",INDEX(ITEM!$G53:$J53,1,$O$1))</f>
      </c>
      <c r="H75" s="13">
        <f>IF(ITEM!$B53="","",$F75+$G75)</f>
      </c>
      <c r="I75" s="13">
        <f>IF(ITEM!$B53="","",$D75-$H75)</f>
      </c>
      <c r="J75" s="6">
        <f>IF(ITEM!$B53="","",ITEM!$E53)</f>
      </c>
      <c r="K75" s="6">
        <f>IF(ITEM!$B53="","",$G75*$J75)</f>
      </c>
      <c r="L75" s="2"/>
      <c r="M75" s="2"/>
      <c r="N75" s="2"/>
      <c r="O75" s="2"/>
    </row>
    <row r="76" spans="1:15" ht="13.05" hidden="1" customHeight="1" outlineLevel="2" x14ac:dyDescent="0.45">
      <c r="A76" s="4">
        <f>IF(ITEM!$B54="","",ITEM!$A54)</f>
      </c>
      <c r="B76" s="118">
        <f>IF(ITEM!$B54="","",ITEM!$B54)</f>
      </c>
      <c r="C76" s="119"/>
      <c r="D76" s="13">
        <f>IF(ITEM!$B54="","",ITEM!$D54)</f>
      </c>
      <c r="E76" s="5">
        <f>IF(ITEM!$B54="","",ITEM!$C54)</f>
      </c>
      <c r="F76" s="13" cm="1">
        <f t="array" ref="F76">IF(ITEM!$B54="","",SUMPRODUCT((COLUMN(ITEM!$G54:$J54)-COLUMN(ITEM!$G54)+1&lt;$O$1)*ITEM!$G54:$J54))</f>
      </c>
      <c r="G76" s="13" cm="1">
        <f t="array" ref="G76">IF(ITEM!$B54="","",INDEX(ITEM!$G54:$J54,1,$O$1))</f>
      </c>
      <c r="H76" s="13">
        <f>IF(ITEM!$B54="","",$F76+$G76)</f>
      </c>
      <c r="I76" s="13">
        <f>IF(ITEM!$B54="","",$D76-$H76)</f>
      </c>
      <c r="J76" s="6">
        <f>IF(ITEM!$B54="","",ITEM!$E54)</f>
      </c>
      <c r="K76" s="6">
        <f>IF(ITEM!$B54="","",$G76*$J76)</f>
      </c>
      <c r="L76" s="2"/>
      <c r="M76" s="2"/>
      <c r="N76" s="2"/>
      <c r="O76" s="2"/>
    </row>
    <row r="77" spans="1:15" ht="13.05" hidden="1" customHeight="1" outlineLevel="2" x14ac:dyDescent="0.45">
      <c r="A77" s="4">
        <f>IF(ITEM!$B55="","",ITEM!$A55)</f>
      </c>
      <c r="B77" s="118">
        <f>IF(ITEM!$B55="","",ITEM!$B55)</f>
      </c>
      <c r="C77" s="119"/>
      <c r="D77" s="13">
        <f>IF(ITEM!$B55="","",ITEM!$D55)</f>
      </c>
      <c r="E77" s="5">
        <f>IF(ITEM!$B55="","",ITEM!$C55)</f>
      </c>
      <c r="F77" s="13" cm="1">
        <f t="array" ref="F77">IF(ITEM!$B55="","",SUMPRODUCT((COLUMN(ITEM!$G55:$J55)-COLUMN(ITEM!$G55)+1&lt;$O$1)*ITEM!$G55:$J55))</f>
      </c>
      <c r="G77" s="13" cm="1">
        <f t="array" ref="G77">IF(ITEM!$B55="","",INDEX(ITEM!$G55:$J55,1,$O$1))</f>
      </c>
      <c r="H77" s="13">
        <f>IF(ITEM!$B55="","",$F77+$G77)</f>
      </c>
      <c r="I77" s="13">
        <f>IF(ITEM!$B55="","",$D77-$H77)</f>
      </c>
      <c r="J77" s="6">
        <f>IF(ITEM!$B55="","",ITEM!$E55)</f>
      </c>
      <c r="K77" s="6">
        <f>IF(ITEM!$B55="","",$G77*$J77)</f>
      </c>
      <c r="L77" s="2"/>
      <c r="M77" s="2"/>
      <c r="N77" s="2"/>
      <c r="O77" s="2"/>
    </row>
    <row r="78" spans="1:15" ht="13.05" hidden="1" customHeight="1" outlineLevel="2" x14ac:dyDescent="0.45">
      <c r="A78" s="4">
        <f>IF(ITEM!$B56="","",ITEM!$A56)</f>
      </c>
      <c r="B78" s="118">
        <f>IF(ITEM!$B56="","",ITEM!$B56)</f>
      </c>
      <c r="C78" s="119"/>
      <c r="D78" s="13">
        <f>IF(ITEM!$B56="","",ITEM!$D56)</f>
      </c>
      <c r="E78" s="5">
        <f>IF(ITEM!$B56="","",ITEM!$C56)</f>
      </c>
      <c r="F78" s="13" cm="1">
        <f t="array" ref="F78">IF(ITEM!$B56="","",SUMPRODUCT((COLUMN(ITEM!$G56:$J56)-COLUMN(ITEM!$G56)+1&lt;$O$1)*ITEM!$G56:$J56))</f>
      </c>
      <c r="G78" s="13" cm="1">
        <f t="array" ref="G78">IF(ITEM!$B56="","",INDEX(ITEM!$G56:$J56,1,$O$1))</f>
      </c>
      <c r="H78" s="13">
        <f>IF(ITEM!$B56="","",$F78+$G78)</f>
      </c>
      <c r="I78" s="13">
        <f>IF(ITEM!$B56="","",$D78-$H78)</f>
      </c>
      <c r="J78" s="6">
        <f>IF(ITEM!$B56="","",ITEM!$E56)</f>
      </c>
      <c r="K78" s="6">
        <f>IF(ITEM!$B56="","",$G78*$J78)</f>
      </c>
      <c r="L78" s="2"/>
      <c r="M78" s="2"/>
      <c r="N78" s="2"/>
      <c r="O78" s="2"/>
    </row>
    <row r="79" spans="1:15" ht="13.05" hidden="1" customHeight="1" outlineLevel="2" x14ac:dyDescent="0.45">
      <c r="A79" s="4">
        <f>IF(ITEM!$B57="","",ITEM!$A57)</f>
      </c>
      <c r="B79" s="118">
        <f>IF(ITEM!$B57="","",ITEM!$B57)</f>
      </c>
      <c r="C79" s="119"/>
      <c r="D79" s="13">
        <f>IF(ITEM!$B57="","",ITEM!$D57)</f>
      </c>
      <c r="E79" s="5">
        <f>IF(ITEM!$B57="","",ITEM!$C57)</f>
      </c>
      <c r="F79" s="13" cm="1">
        <f t="array" ref="F79">IF(ITEM!$B57="","",SUMPRODUCT((COLUMN(ITEM!$G57:$J57)-COLUMN(ITEM!$G57)+1&lt;$O$1)*ITEM!$G57:$J57))</f>
      </c>
      <c r="G79" s="13" cm="1">
        <f t="array" ref="G79">IF(ITEM!$B57="","",INDEX(ITEM!$G57:$J57,1,$O$1))</f>
      </c>
      <c r="H79" s="13">
        <f>IF(ITEM!$B57="","",$F79+$G79)</f>
      </c>
      <c r="I79" s="13">
        <f>IF(ITEM!$B57="","",$D79-$H79)</f>
      </c>
      <c r="J79" s="6">
        <f>IF(ITEM!$B57="","",ITEM!$E57)</f>
      </c>
      <c r="K79" s="6">
        <f>IF(ITEM!$B57="","",$G79*$J79)</f>
      </c>
      <c r="L79" s="2"/>
      <c r="M79" s="2"/>
      <c r="N79" s="2"/>
      <c r="O79" s="2"/>
    </row>
    <row r="80" spans="1:15" ht="13.05" hidden="1" customHeight="1" outlineLevel="2" x14ac:dyDescent="0.45">
      <c r="A80" s="4">
        <f>IF(ITEM!$B58="","",ITEM!$A58)</f>
      </c>
      <c r="B80" s="118">
        <f>IF(ITEM!$B58="","",ITEM!$B58)</f>
      </c>
      <c r="C80" s="119"/>
      <c r="D80" s="13">
        <f>IF(ITEM!$B58="","",ITEM!$D58)</f>
      </c>
      <c r="E80" s="5">
        <f>IF(ITEM!$B58="","",ITEM!$C58)</f>
      </c>
      <c r="F80" s="13" cm="1">
        <f t="array" ref="F80">IF(ITEM!$B58="","",SUMPRODUCT((COLUMN(ITEM!$G58:$J58)-COLUMN(ITEM!$G58)+1&lt;$O$1)*ITEM!$G58:$J58))</f>
      </c>
      <c r="G80" s="13" cm="1">
        <f t="array" ref="G80">IF(ITEM!$B58="","",INDEX(ITEM!$G58:$J58,1,$O$1))</f>
      </c>
      <c r="H80" s="13">
        <f>IF(ITEM!$B58="","",$F80+$G80)</f>
      </c>
      <c r="I80" s="13">
        <f>IF(ITEM!$B58="","",$D80-$H80)</f>
      </c>
      <c r="J80" s="6">
        <f>IF(ITEM!$B58="","",ITEM!$E58)</f>
      </c>
      <c r="K80" s="6">
        <f>IF(ITEM!$B58="","",$G80*$J80)</f>
      </c>
      <c r="L80" s="2"/>
      <c r="M80" s="2"/>
      <c r="N80" s="2"/>
      <c r="O80" s="2"/>
    </row>
    <row r="81" spans="1:15" ht="13.05" hidden="1" customHeight="1" outlineLevel="2" x14ac:dyDescent="0.45">
      <c r="A81" s="4">
        <f>IF(ITEM!$B59="","",ITEM!$A59)</f>
      </c>
      <c r="B81" s="118">
        <f>IF(ITEM!$B59="","",ITEM!$B59)</f>
      </c>
      <c r="C81" s="119"/>
      <c r="D81" s="13">
        <f>IF(ITEM!$B59="","",ITEM!$D59)</f>
      </c>
      <c r="E81" s="5">
        <f>IF(ITEM!$B59="","",ITEM!$C59)</f>
      </c>
      <c r="F81" s="13" cm="1">
        <f t="array" ref="F81">IF(ITEM!$B59="","",SUMPRODUCT((COLUMN(ITEM!$G59:$J59)-COLUMN(ITEM!$G59)+1&lt;$O$1)*ITEM!$G59:$J59))</f>
      </c>
      <c r="G81" s="13" cm="1">
        <f t="array" ref="G81">IF(ITEM!$B59="","",INDEX(ITEM!$G59:$J59,1,$O$1))</f>
      </c>
      <c r="H81" s="13">
        <f>IF(ITEM!$B59="","",$F81+$G81)</f>
      </c>
      <c r="I81" s="13">
        <f>IF(ITEM!$B59="","",$D81-$H81)</f>
      </c>
      <c r="J81" s="6">
        <f>IF(ITEM!$B59="","",ITEM!$E59)</f>
      </c>
      <c r="K81" s="6">
        <f>IF(ITEM!$B59="","",$G81*$J81)</f>
      </c>
      <c r="L81" s="2"/>
      <c r="M81" s="2"/>
      <c r="N81" s="2"/>
      <c r="O81" s="2"/>
    </row>
    <row r="82" spans="1:15" ht="13.05" hidden="1" customHeight="1" outlineLevel="2" x14ac:dyDescent="0.45">
      <c r="A82" s="4">
        <f>IF(ITEM!$B60="","",ITEM!$A60)</f>
      </c>
      <c r="B82" s="118">
        <f>IF(ITEM!$B60="","",ITEM!$B60)</f>
      </c>
      <c r="C82" s="119"/>
      <c r="D82" s="13">
        <f>IF(ITEM!$B60="","",ITEM!$D60)</f>
      </c>
      <c r="E82" s="5">
        <f>IF(ITEM!$B60="","",ITEM!$C60)</f>
      </c>
      <c r="F82" s="13" cm="1">
        <f t="array" ref="F82">IF(ITEM!$B60="","",SUMPRODUCT((COLUMN(ITEM!$G60:$J60)-COLUMN(ITEM!$G60)+1&lt;$O$1)*ITEM!$G60:$J60))</f>
      </c>
      <c r="G82" s="13" cm="1">
        <f t="array" ref="G82">IF(ITEM!$B60="","",INDEX(ITEM!$G60:$J60,1,$O$1))</f>
      </c>
      <c r="H82" s="13">
        <f>IF(ITEM!$B60="","",$F82+$G82)</f>
      </c>
      <c r="I82" s="13">
        <f>IF(ITEM!$B60="","",$D82-$H82)</f>
      </c>
      <c r="J82" s="6">
        <f>IF(ITEM!$B60="","",ITEM!$E60)</f>
      </c>
      <c r="K82" s="6">
        <f>IF(ITEM!$B60="","",$G82*$J82)</f>
      </c>
      <c r="L82" s="2"/>
      <c r="M82" s="2"/>
      <c r="N82" s="2"/>
      <c r="O82" s="2"/>
    </row>
    <row r="83" spans="1:15" ht="13.05" hidden="1" customHeight="1" outlineLevel="2" x14ac:dyDescent="0.45">
      <c r="A83" s="4">
        <f>IF(ITEM!$B61="","",ITEM!$A61)</f>
      </c>
      <c r="B83" s="118">
        <f>IF(ITEM!$B61="","",ITEM!$B61)</f>
      </c>
      <c r="C83" s="119"/>
      <c r="D83" s="13">
        <f>IF(ITEM!$B61="","",ITEM!$D61)</f>
      </c>
      <c r="E83" s="5">
        <f>IF(ITEM!$B61="","",ITEM!$C61)</f>
      </c>
      <c r="F83" s="13" cm="1">
        <f t="array" ref="F83">IF(ITEM!$B61="","",SUMPRODUCT((COLUMN(ITEM!$G61:$J61)-COLUMN(ITEM!$G61)+1&lt;$O$1)*ITEM!$G61:$J61))</f>
      </c>
      <c r="G83" s="13" cm="1">
        <f t="array" ref="G83">IF(ITEM!$B61="","",INDEX(ITEM!$G61:$J61,1,$O$1))</f>
      </c>
      <c r="H83" s="13">
        <f>IF(ITEM!$B61="","",$F83+$G83)</f>
      </c>
      <c r="I83" s="13">
        <f>IF(ITEM!$B61="","",$D83-$H83)</f>
      </c>
      <c r="J83" s="6">
        <f>IF(ITEM!$B61="","",ITEM!$E61)</f>
      </c>
      <c r="K83" s="6">
        <f>IF(ITEM!$B61="","",$G83*$J83)</f>
      </c>
      <c r="L83" s="2"/>
      <c r="M83" s="2"/>
      <c r="N83" s="2"/>
      <c r="O83" s="2"/>
    </row>
    <row r="84" spans="1:15" ht="13.05" hidden="1" customHeight="1" outlineLevel="2" x14ac:dyDescent="0.45">
      <c r="A84" s="4">
        <f>IF(ITEM!$B62="","",ITEM!$A62)</f>
      </c>
      <c r="B84" s="118">
        <f>IF(ITEM!$B62="","",ITEM!$B62)</f>
      </c>
      <c r="C84" s="119"/>
      <c r="D84" s="13">
        <f>IF(ITEM!$B62="","",ITEM!$D62)</f>
      </c>
      <c r="E84" s="5">
        <f>IF(ITEM!$B62="","",ITEM!$C62)</f>
      </c>
      <c r="F84" s="13" cm="1">
        <f t="array" ref="F84">IF(ITEM!$B62="","",SUMPRODUCT((COLUMN(ITEM!$G62:$J62)-COLUMN(ITEM!$G62)+1&lt;$O$1)*ITEM!$G62:$J62))</f>
      </c>
      <c r="G84" s="13" cm="1">
        <f t="array" ref="G84">IF(ITEM!$B62="","",INDEX(ITEM!$G62:$J62,1,$O$1))</f>
      </c>
      <c r="H84" s="13">
        <f>IF(ITEM!$B62="","",$F84+$G84)</f>
      </c>
      <c r="I84" s="13">
        <f>IF(ITEM!$B62="","",$D84-$H84)</f>
      </c>
      <c r="J84" s="6">
        <f>IF(ITEM!$B62="","",ITEM!$E62)</f>
      </c>
      <c r="K84" s="6">
        <f>IF(ITEM!$B62="","",$G84*$J84)</f>
      </c>
      <c r="L84" s="2"/>
      <c r="M84" s="2"/>
      <c r="N84" s="2"/>
      <c r="O84" s="2"/>
    </row>
    <row r="85" spans="1:15" ht="13.05" hidden="1" customHeight="1" outlineLevel="2" x14ac:dyDescent="0.45">
      <c r="A85" s="4">
        <f>IF(ITEM!$B63="","",ITEM!$A63)</f>
      </c>
      <c r="B85" s="118">
        <f>IF(ITEM!$B63="","",ITEM!$B63)</f>
      </c>
      <c r="C85" s="119"/>
      <c r="D85" s="13">
        <f>IF(ITEM!$B63="","",ITEM!$D63)</f>
      </c>
      <c r="E85" s="5">
        <f>IF(ITEM!$B63="","",ITEM!$C63)</f>
      </c>
      <c r="F85" s="13" cm="1">
        <f t="array" ref="F85">IF(ITEM!$B63="","",SUMPRODUCT((COLUMN(ITEM!$G63:$J63)-COLUMN(ITEM!$G63)+1&lt;$O$1)*ITEM!$G63:$J63))</f>
      </c>
      <c r="G85" s="13" cm="1">
        <f t="array" ref="G85">IF(ITEM!$B63="","",INDEX(ITEM!$G63:$J63,1,$O$1))</f>
      </c>
      <c r="H85" s="13">
        <f>IF(ITEM!$B63="","",$F85+$G85)</f>
      </c>
      <c r="I85" s="13">
        <f>IF(ITEM!$B63="","",$D85-$H85)</f>
      </c>
      <c r="J85" s="6">
        <f>IF(ITEM!$B63="","",ITEM!$E63)</f>
      </c>
      <c r="K85" s="6">
        <f>IF(ITEM!$B63="","",$G85*$J85)</f>
      </c>
      <c r="L85" s="2"/>
      <c r="M85" s="2"/>
      <c r="N85" s="2"/>
      <c r="O85" s="2"/>
    </row>
    <row r="86" spans="1:15" ht="13.05" hidden="1" customHeight="1" outlineLevel="2" x14ac:dyDescent="0.45">
      <c r="A86" s="4">
        <f>IF(ITEM!$B64="","",ITEM!$A64)</f>
      </c>
      <c r="B86" s="118">
        <f>IF(ITEM!$B64="","",ITEM!$B64)</f>
      </c>
      <c r="C86" s="119"/>
      <c r="D86" s="13">
        <f>IF(ITEM!$B64="","",ITEM!$D64)</f>
      </c>
      <c r="E86" s="5">
        <f>IF(ITEM!$B64="","",ITEM!$C64)</f>
      </c>
      <c r="F86" s="13" cm="1">
        <f t="array" ref="F86">IF(ITEM!$B64="","",SUMPRODUCT((COLUMN(ITEM!$G64:$J64)-COLUMN(ITEM!$G64)+1&lt;$O$1)*ITEM!$G64:$J64))</f>
      </c>
      <c r="G86" s="13" cm="1">
        <f t="array" ref="G86">IF(ITEM!$B64="","",INDEX(ITEM!$G64:$J64,1,$O$1))</f>
      </c>
      <c r="H86" s="13">
        <f>IF(ITEM!$B64="","",$F86+$G86)</f>
      </c>
      <c r="I86" s="13">
        <f>IF(ITEM!$B64="","",$D86-$H86)</f>
      </c>
      <c r="J86" s="6">
        <f>IF(ITEM!$B64="","",ITEM!$E64)</f>
      </c>
      <c r="K86" s="6">
        <f>IF(ITEM!$B64="","",$G86*$J86)</f>
      </c>
      <c r="L86" s="2"/>
      <c r="M86" s="2"/>
      <c r="N86" s="2"/>
      <c r="O86" s="2"/>
    </row>
    <row r="87" spans="1:15" ht="13.05" hidden="1" customHeight="1" outlineLevel="2" x14ac:dyDescent="0.45">
      <c r="A87" s="4">
        <f>IF(ITEM!$B65="","",ITEM!$A65)</f>
      </c>
      <c r="B87" s="118">
        <f>IF(ITEM!$B65="","",ITEM!$B65)</f>
      </c>
      <c r="C87" s="119"/>
      <c r="D87" s="13">
        <f>IF(ITEM!$B65="","",ITEM!$D65)</f>
      </c>
      <c r="E87" s="5">
        <f>IF(ITEM!$B65="","",ITEM!$C65)</f>
      </c>
      <c r="F87" s="13" cm="1">
        <f t="array" ref="F87">IF(ITEM!$B65="","",SUMPRODUCT((COLUMN(ITEM!$G65:$J65)-COLUMN(ITEM!$G65)+1&lt;$O$1)*ITEM!$G65:$J65))</f>
      </c>
      <c r="G87" s="13" cm="1">
        <f t="array" ref="G87">IF(ITEM!$B65="","",INDEX(ITEM!$G65:$J65,1,$O$1))</f>
      </c>
      <c r="H87" s="13">
        <f>IF(ITEM!$B65="","",$F87+$G87)</f>
      </c>
      <c r="I87" s="13">
        <f>IF(ITEM!$B65="","",$D87-$H87)</f>
      </c>
      <c r="J87" s="6">
        <f>IF(ITEM!$B65="","",ITEM!$E65)</f>
      </c>
      <c r="K87" s="6">
        <f>IF(ITEM!$B65="","",$G87*$J87)</f>
      </c>
      <c r="L87" s="2"/>
      <c r="M87" s="2"/>
      <c r="N87" s="2"/>
      <c r="O87" s="2"/>
    </row>
    <row r="88" spans="1:15" ht="13.05" hidden="1" customHeight="1" outlineLevel="2" x14ac:dyDescent="0.45">
      <c r="A88" s="4">
        <f>IF(ITEM!$B66="","",ITEM!$A66)</f>
      </c>
      <c r="B88" s="118">
        <f>IF(ITEM!$B66="","",ITEM!$B66)</f>
      </c>
      <c r="C88" s="119"/>
      <c r="D88" s="13">
        <f>IF(ITEM!$B66="","",ITEM!$D66)</f>
      </c>
      <c r="E88" s="5">
        <f>IF(ITEM!$B66="","",ITEM!$C66)</f>
      </c>
      <c r="F88" s="13" cm="1">
        <f t="array" ref="F88">IF(ITEM!$B66="","",SUMPRODUCT((COLUMN(ITEM!$G66:$J66)-COLUMN(ITEM!$G66)+1&lt;$O$1)*ITEM!$G66:$J66))</f>
      </c>
      <c r="G88" s="13" cm="1">
        <f t="array" ref="G88">IF(ITEM!$B66="","",INDEX(ITEM!$G66:$J66,1,$O$1))</f>
      </c>
      <c r="H88" s="13">
        <f>IF(ITEM!$B66="","",$F88+$G88)</f>
      </c>
      <c r="I88" s="13">
        <f>IF(ITEM!$B66="","",$D88-$H88)</f>
      </c>
      <c r="J88" s="6">
        <f>IF(ITEM!$B66="","",ITEM!$E66)</f>
      </c>
      <c r="K88" s="6">
        <f>IF(ITEM!$B66="","",$G88*$J88)</f>
      </c>
      <c r="L88" s="2"/>
      <c r="M88" s="2"/>
      <c r="N88" s="2"/>
      <c r="O88" s="2"/>
    </row>
    <row r="89" spans="1:15" ht="13.05" hidden="1" customHeight="1" outlineLevel="2" x14ac:dyDescent="0.45">
      <c r="A89" s="4">
        <f>IF(ITEM!$B67="","",ITEM!$A67)</f>
      </c>
      <c r="B89" s="118">
        <f>IF(ITEM!$B67="","",ITEM!$B67)</f>
      </c>
      <c r="C89" s="119"/>
      <c r="D89" s="13">
        <f>IF(ITEM!$B67="","",ITEM!$D67)</f>
      </c>
      <c r="E89" s="5">
        <f>IF(ITEM!$B67="","",ITEM!$C67)</f>
      </c>
      <c r="F89" s="13" cm="1">
        <f t="array" ref="F89">IF(ITEM!$B67="","",SUMPRODUCT((COLUMN(ITEM!$G67:$J67)-COLUMN(ITEM!$G67)+1&lt;$O$1)*ITEM!$G67:$J67))</f>
      </c>
      <c r="G89" s="13" cm="1">
        <f t="array" ref="G89">IF(ITEM!$B67="","",INDEX(ITEM!$G67:$J67,1,$O$1))</f>
      </c>
      <c r="H89" s="13">
        <f>IF(ITEM!$B67="","",$F89+$G89)</f>
      </c>
      <c r="I89" s="13">
        <f>IF(ITEM!$B67="","",$D89-$H89)</f>
      </c>
      <c r="J89" s="6">
        <f>IF(ITEM!$B67="","",ITEM!$E67)</f>
      </c>
      <c r="K89" s="6">
        <f>IF(ITEM!$B67="","",$G89*$J89)</f>
      </c>
      <c r="L89" s="2"/>
      <c r="M89" s="2"/>
      <c r="N89" s="2"/>
      <c r="O89" s="2"/>
    </row>
    <row r="90" spans="1:15" ht="13.05" hidden="1" customHeight="1" outlineLevel="2" x14ac:dyDescent="0.45">
      <c r="A90" s="4">
        <f>IF(ITEM!$B68="","",ITEM!$A68)</f>
      </c>
      <c r="B90" s="118">
        <f>IF(ITEM!$B68="","",ITEM!$B68)</f>
      </c>
      <c r="C90" s="119"/>
      <c r="D90" s="13">
        <f>IF(ITEM!$B68="","",ITEM!$D68)</f>
      </c>
      <c r="E90" s="5">
        <f>IF(ITEM!$B68="","",ITEM!$C68)</f>
      </c>
      <c r="F90" s="13" cm="1">
        <f t="array" ref="F90">IF(ITEM!$B68="","",SUMPRODUCT((COLUMN(ITEM!$G68:$J68)-COLUMN(ITEM!$G68)+1&lt;$O$1)*ITEM!$G68:$J68))</f>
      </c>
      <c r="G90" s="13" cm="1">
        <f t="array" ref="G90">IF(ITEM!$B68="","",INDEX(ITEM!$G68:$J68,1,$O$1))</f>
      </c>
      <c r="H90" s="13">
        <f>IF(ITEM!$B68="","",$F90+$G90)</f>
      </c>
      <c r="I90" s="13">
        <f>IF(ITEM!$B68="","",$D90-$H90)</f>
      </c>
      <c r="J90" s="6">
        <f>IF(ITEM!$B68="","",ITEM!$E68)</f>
      </c>
      <c r="K90" s="6">
        <f>IF(ITEM!$B68="","",$G90*$J90)</f>
      </c>
      <c r="L90" s="2"/>
      <c r="M90" s="2"/>
      <c r="N90" s="2"/>
      <c r="O90" s="2"/>
    </row>
    <row r="91" spans="1:15" ht="13.05" hidden="1" customHeight="1" outlineLevel="2" x14ac:dyDescent="0.45">
      <c r="A91" s="4">
        <f>IF(ITEM!$B69="","",ITEM!$A69)</f>
      </c>
      <c r="B91" s="118">
        <f>IF(ITEM!$B69="","",ITEM!$B69)</f>
      </c>
      <c r="C91" s="119"/>
      <c r="D91" s="13">
        <f>IF(ITEM!$B69="","",ITEM!$D69)</f>
      </c>
      <c r="E91" s="5">
        <f>IF(ITEM!$B69="","",ITEM!$C69)</f>
      </c>
      <c r="F91" s="13" cm="1">
        <f t="array" ref="F91">IF(ITEM!$B69="","",SUMPRODUCT((COLUMN(ITEM!$G69:$J69)-COLUMN(ITEM!$G69)+1&lt;$O$1)*ITEM!$G69:$J69))</f>
      </c>
      <c r="G91" s="13" cm="1">
        <f t="array" ref="G91">IF(ITEM!$B69="","",INDEX(ITEM!$G69:$J69,1,$O$1))</f>
      </c>
      <c r="H91" s="13">
        <f>IF(ITEM!$B69="","",$F91+$G91)</f>
      </c>
      <c r="I91" s="13">
        <f>IF(ITEM!$B69="","",$D91-$H91)</f>
      </c>
      <c r="J91" s="6">
        <f>IF(ITEM!$B69="","",ITEM!$E69)</f>
      </c>
      <c r="K91" s="6">
        <f>IF(ITEM!$B69="","",$G91*$J91)</f>
      </c>
      <c r="L91" s="2"/>
      <c r="M91" s="2"/>
      <c r="N91" s="2"/>
      <c r="O91" s="2"/>
    </row>
    <row r="92" spans="1:15" ht="13.05" hidden="1" customHeight="1" outlineLevel="2" x14ac:dyDescent="0.45">
      <c r="A92" s="4">
        <f>IF(ITEM!$B70="","",ITEM!$A70)</f>
      </c>
      <c r="B92" s="118">
        <f>IF(ITEM!$B70="","",ITEM!$B70)</f>
      </c>
      <c r="C92" s="119"/>
      <c r="D92" s="13">
        <f>IF(ITEM!$B70="","",ITEM!$D70)</f>
      </c>
      <c r="E92" s="5">
        <f>IF(ITEM!$B70="","",ITEM!$C70)</f>
      </c>
      <c r="F92" s="13" cm="1">
        <f t="array" ref="F92">IF(ITEM!$B70="","",SUMPRODUCT((COLUMN(ITEM!$G70:$J70)-COLUMN(ITEM!$G70)+1&lt;$O$1)*ITEM!$G70:$J70))</f>
      </c>
      <c r="G92" s="13" cm="1">
        <f t="array" ref="G92">IF(ITEM!$B70="","",INDEX(ITEM!$G70:$J70,1,$O$1))</f>
      </c>
      <c r="H92" s="13">
        <f>IF(ITEM!$B70="","",$F92+$G92)</f>
      </c>
      <c r="I92" s="13">
        <f>IF(ITEM!$B70="","",$D92-$H92)</f>
      </c>
      <c r="J92" s="6">
        <f>IF(ITEM!$B70="","",ITEM!$E70)</f>
      </c>
      <c r="K92" s="6">
        <f>IF(ITEM!$B70="","",$G92*$J92)</f>
      </c>
      <c r="L92" s="2"/>
      <c r="M92" s="2"/>
      <c r="N92" s="2"/>
      <c r="O92" s="2"/>
    </row>
    <row r="93" spans="1:15" ht="13.05" hidden="1" customHeight="1" outlineLevel="2" x14ac:dyDescent="0.45">
      <c r="A93" s="4">
        <f>IF(ITEM!$B71="","",ITEM!$A71)</f>
      </c>
      <c r="B93" s="118">
        <f>IF(ITEM!$B71="","",ITEM!$B71)</f>
      </c>
      <c r="C93" s="119"/>
      <c r="D93" s="13">
        <f>IF(ITEM!$B71="","",ITEM!$D71)</f>
      </c>
      <c r="E93" s="5">
        <f>IF(ITEM!$B71="","",ITEM!$C71)</f>
      </c>
      <c r="F93" s="13" cm="1">
        <f t="array" ref="F93">IF(ITEM!$B71="","",SUMPRODUCT((COLUMN(ITEM!$G71:$J71)-COLUMN(ITEM!$G71)+1&lt;$O$1)*ITEM!$G71:$J71))</f>
      </c>
      <c r="G93" s="13" cm="1">
        <f t="array" ref="G93">IF(ITEM!$B71="","",INDEX(ITEM!$G71:$J71,1,$O$1))</f>
      </c>
      <c r="H93" s="13">
        <f>IF(ITEM!$B71="","",$F93+$G93)</f>
      </c>
      <c r="I93" s="13">
        <f>IF(ITEM!$B71="","",$D93-$H93)</f>
      </c>
      <c r="J93" s="6">
        <f>IF(ITEM!$B71="","",ITEM!$E71)</f>
      </c>
      <c r="K93" s="6">
        <f>IF(ITEM!$B71="","",$G93*$J93)</f>
      </c>
      <c r="L93" s="2"/>
      <c r="M93" s="2"/>
      <c r="N93" s="2"/>
      <c r="O93" s="2"/>
    </row>
    <row r="94" spans="1:15" ht="13.05" hidden="1" customHeight="1" outlineLevel="2" x14ac:dyDescent="0.45">
      <c r="A94" s="4">
        <f>IF(ITEM!$B72="","",ITEM!$A72)</f>
      </c>
      <c r="B94" s="118">
        <f>IF(ITEM!$B72="","",ITEM!$B72)</f>
      </c>
      <c r="C94" s="119"/>
      <c r="D94" s="13">
        <f>IF(ITEM!$B72="","",ITEM!$D72)</f>
      </c>
      <c r="E94" s="5">
        <f>IF(ITEM!$B72="","",ITEM!$C72)</f>
      </c>
      <c r="F94" s="13" cm="1">
        <f t="array" ref="F94">IF(ITEM!$B72="","",SUMPRODUCT((COLUMN(ITEM!$G72:$J72)-COLUMN(ITEM!$G72)+1&lt;$O$1)*ITEM!$G72:$J72))</f>
      </c>
      <c r="G94" s="13" cm="1">
        <f t="array" ref="G94">IF(ITEM!$B72="","",INDEX(ITEM!$G72:$J72,1,$O$1))</f>
      </c>
      <c r="H94" s="13">
        <f>IF(ITEM!$B72="","",$F94+$G94)</f>
      </c>
      <c r="I94" s="13">
        <f>IF(ITEM!$B72="","",$D94-$H94)</f>
      </c>
      <c r="J94" s="6">
        <f>IF(ITEM!$B72="","",ITEM!$E72)</f>
      </c>
      <c r="K94" s="6">
        <f>IF(ITEM!$B72="","",$G94*$J94)</f>
      </c>
      <c r="L94" s="2"/>
      <c r="M94" s="2"/>
      <c r="N94" s="2"/>
      <c r="O94" s="2"/>
    </row>
    <row r="95" spans="1:15" ht="13.05" hidden="1" customHeight="1" outlineLevel="2" x14ac:dyDescent="0.45">
      <c r="A95" s="4">
        <f>IF(ITEM!$B73="","",ITEM!$A73)</f>
      </c>
      <c r="B95" s="118">
        <f>IF(ITEM!$B73="","",ITEM!$B73)</f>
      </c>
      <c r="C95" s="119"/>
      <c r="D95" s="13">
        <f>IF(ITEM!$B73="","",ITEM!$D73)</f>
      </c>
      <c r="E95" s="5">
        <f>IF(ITEM!$B73="","",ITEM!$C73)</f>
      </c>
      <c r="F95" s="13" cm="1">
        <f t="array" ref="F95">IF(ITEM!$B73="","",SUMPRODUCT((COLUMN(ITEM!$G73:$J73)-COLUMN(ITEM!$G73)+1&lt;$O$1)*ITEM!$G73:$J73))</f>
      </c>
      <c r="G95" s="13" cm="1">
        <f t="array" ref="G95">IF(ITEM!$B73="","",INDEX(ITEM!$G73:$J73,1,$O$1))</f>
      </c>
      <c r="H95" s="13">
        <f>IF(ITEM!$B73="","",$F95+$G95)</f>
      </c>
      <c r="I95" s="13">
        <f>IF(ITEM!$B73="","",$D95-$H95)</f>
      </c>
      <c r="J95" s="6">
        <f>IF(ITEM!$B73="","",ITEM!$E73)</f>
      </c>
      <c r="K95" s="6">
        <f>IF(ITEM!$B73="","",$G95*$J95)</f>
      </c>
      <c r="L95" s="2"/>
      <c r="M95" s="2"/>
      <c r="N95" s="2"/>
      <c r="O95" s="2"/>
    </row>
    <row r="96" spans="1:15" ht="13.05" hidden="1" customHeight="1" outlineLevel="2" x14ac:dyDescent="0.45">
      <c r="A96" s="4">
        <f>IF(ITEM!$B74="","",ITEM!$A74)</f>
      </c>
      <c r="B96" s="118">
        <f>IF(ITEM!$B74="","",ITEM!$B74)</f>
      </c>
      <c r="C96" s="119"/>
      <c r="D96" s="13">
        <f>IF(ITEM!$B74="","",ITEM!$D74)</f>
      </c>
      <c r="E96" s="5">
        <f>IF(ITEM!$B74="","",ITEM!$C74)</f>
      </c>
      <c r="F96" s="13" cm="1">
        <f t="array" ref="F96">IF(ITEM!$B74="","",SUMPRODUCT((COLUMN(ITEM!$G74:$J74)-COLUMN(ITEM!$G74)+1&lt;$O$1)*ITEM!$G74:$J74))</f>
      </c>
      <c r="G96" s="13" cm="1">
        <f t="array" ref="G96">IF(ITEM!$B74="","",INDEX(ITEM!$G74:$J74,1,$O$1))</f>
      </c>
      <c r="H96" s="13">
        <f>IF(ITEM!$B74="","",$F96+$G96)</f>
      </c>
      <c r="I96" s="13">
        <f>IF(ITEM!$B74="","",$D96-$H96)</f>
      </c>
      <c r="J96" s="6">
        <f>IF(ITEM!$B74="","",ITEM!$E74)</f>
      </c>
      <c r="K96" s="6">
        <f>IF(ITEM!$B74="","",$G96*$J96)</f>
      </c>
      <c r="L96" s="2"/>
      <c r="M96" s="2"/>
      <c r="N96" s="2"/>
      <c r="O96" s="2"/>
    </row>
    <row r="97" spans="1:15" ht="13.05" hidden="1" customHeight="1" outlineLevel="2" x14ac:dyDescent="0.45">
      <c r="A97" s="4">
        <f>IF(ITEM!$B75="","",ITEM!$A75)</f>
      </c>
      <c r="B97" s="118">
        <f>IF(ITEM!$B75="","",ITEM!$B75)</f>
      </c>
      <c r="C97" s="119"/>
      <c r="D97" s="13">
        <f>IF(ITEM!$B75="","",ITEM!$D75)</f>
      </c>
      <c r="E97" s="5">
        <f>IF(ITEM!$B75="","",ITEM!$C75)</f>
      </c>
      <c r="F97" s="13" cm="1">
        <f t="array" ref="F97">IF(ITEM!$B75="","",SUMPRODUCT((COLUMN(ITEM!$G75:$J75)-COLUMN(ITEM!$G75)+1&lt;$O$1)*ITEM!$G75:$J75))</f>
      </c>
      <c r="G97" s="13" cm="1">
        <f t="array" ref="G97">IF(ITEM!$B75="","",INDEX(ITEM!$G75:$J75,1,$O$1))</f>
      </c>
      <c r="H97" s="13">
        <f>IF(ITEM!$B75="","",$F97+$G97)</f>
      </c>
      <c r="I97" s="13">
        <f>IF(ITEM!$B75="","",$D97-$H97)</f>
      </c>
      <c r="J97" s="6">
        <f>IF(ITEM!$B75="","",ITEM!$E75)</f>
      </c>
      <c r="K97" s="6">
        <f>IF(ITEM!$B75="","",$G97*$J97)</f>
      </c>
      <c r="L97" s="2"/>
      <c r="M97" s="2"/>
      <c r="N97" s="2"/>
      <c r="O97" s="2"/>
    </row>
    <row r="98" spans="1:15" ht="13.05" hidden="1" customHeight="1" outlineLevel="2" x14ac:dyDescent="0.45">
      <c r="A98" s="4">
        <f>IF(ITEM!$B76="","",ITEM!$A76)</f>
      </c>
      <c r="B98" s="118">
        <f>IF(ITEM!$B76="","",ITEM!$B76)</f>
      </c>
      <c r="C98" s="119"/>
      <c r="D98" s="13">
        <f>IF(ITEM!$B76="","",ITEM!$D76)</f>
      </c>
      <c r="E98" s="5">
        <f>IF(ITEM!$B76="","",ITEM!$C76)</f>
      </c>
      <c r="F98" s="13" cm="1">
        <f t="array" ref="F98">IF(ITEM!$B76="","",SUMPRODUCT((COLUMN(ITEM!$G76:$J76)-COLUMN(ITEM!$G76)+1&lt;$O$1)*ITEM!$G76:$J76))</f>
      </c>
      <c r="G98" s="13" cm="1">
        <f t="array" ref="G98">IF(ITEM!$B76="","",INDEX(ITEM!$G76:$J76,1,$O$1))</f>
      </c>
      <c r="H98" s="13">
        <f>IF(ITEM!$B76="","",$F98+$G98)</f>
      </c>
      <c r="I98" s="13">
        <f>IF(ITEM!$B76="","",$D98-$H98)</f>
      </c>
      <c r="J98" s="6">
        <f>IF(ITEM!$B76="","",ITEM!$E76)</f>
      </c>
      <c r="K98" s="6">
        <f>IF(ITEM!$B76="","",$G98*$J98)</f>
      </c>
      <c r="L98" s="2"/>
      <c r="M98" s="2"/>
      <c r="N98" s="2"/>
      <c r="O98" s="2"/>
    </row>
    <row r="99" spans="1:15" ht="13.05" hidden="1" customHeight="1" outlineLevel="2" x14ac:dyDescent="0.45">
      <c r="A99" s="4">
        <f>IF(ITEM!$B77="","",ITEM!$A77)</f>
      </c>
      <c r="B99" s="118">
        <f>IF(ITEM!$B77="","",ITEM!$B77)</f>
      </c>
      <c r="C99" s="119"/>
      <c r="D99" s="13">
        <f>IF(ITEM!$B77="","",ITEM!$D77)</f>
      </c>
      <c r="E99" s="5">
        <f>IF(ITEM!$B77="","",ITEM!$C77)</f>
      </c>
      <c r="F99" s="13" cm="1">
        <f t="array" ref="F99">IF(ITEM!$B77="","",SUMPRODUCT((COLUMN(ITEM!$G77:$J77)-COLUMN(ITEM!$G77)+1&lt;$O$1)*ITEM!$G77:$J77))</f>
      </c>
      <c r="G99" s="13" cm="1">
        <f t="array" ref="G99">IF(ITEM!$B77="","",INDEX(ITEM!$G77:$J77,1,$O$1))</f>
      </c>
      <c r="H99" s="13">
        <f>IF(ITEM!$B77="","",$F99+$G99)</f>
      </c>
      <c r="I99" s="13">
        <f>IF(ITEM!$B77="","",$D99-$H99)</f>
      </c>
      <c r="J99" s="6">
        <f>IF(ITEM!$B77="","",ITEM!$E77)</f>
      </c>
      <c r="K99" s="6">
        <f>IF(ITEM!$B77="","",$G99*$J99)</f>
      </c>
      <c r="L99" s="2"/>
      <c r="M99" s="2"/>
      <c r="N99" s="2"/>
      <c r="O99" s="2"/>
    </row>
    <row r="100" spans="1:15" ht="13.05" hidden="1" customHeight="1" outlineLevel="2" x14ac:dyDescent="0.45">
      <c r="A100" s="4">
        <f>IF(ITEM!$B78="","",ITEM!$A78)</f>
      </c>
      <c r="B100" s="118">
        <f>IF(ITEM!$B78="","",ITEM!$B78)</f>
      </c>
      <c r="C100" s="119"/>
      <c r="D100" s="13">
        <f>IF(ITEM!$B78="","",ITEM!$D78)</f>
      </c>
      <c r="E100" s="5">
        <f>IF(ITEM!$B78="","",ITEM!$C78)</f>
      </c>
      <c r="F100" s="13" cm="1">
        <f t="array" ref="F100">IF(ITEM!$B78="","",SUMPRODUCT((COLUMN(ITEM!$G78:$J78)-COLUMN(ITEM!$G78)+1&lt;$O$1)*ITEM!$G78:$J78))</f>
      </c>
      <c r="G100" s="13" cm="1">
        <f t="array" ref="G100">IF(ITEM!$B78="","",INDEX(ITEM!$G78:$J78,1,$O$1))</f>
      </c>
      <c r="H100" s="13">
        <f>IF(ITEM!$B78="","",$F100+$G100)</f>
      </c>
      <c r="I100" s="13">
        <f>IF(ITEM!$B78="","",$D100-$H100)</f>
      </c>
      <c r="J100" s="6">
        <f>IF(ITEM!$B78="","",ITEM!$E78)</f>
      </c>
      <c r="K100" s="6">
        <f>IF(ITEM!$B78="","",$G100*$J100)</f>
      </c>
      <c r="L100" s="2"/>
      <c r="M100" s="2"/>
      <c r="N100" s="2"/>
      <c r="O100" s="2"/>
    </row>
    <row r="101" spans="1:15" ht="13.05" hidden="1" customHeight="1" outlineLevel="2" x14ac:dyDescent="0.45">
      <c r="A101" s="4">
        <f>IF(ITEM!$B79="","",ITEM!$A79)</f>
      </c>
      <c r="B101" s="118">
        <f>IF(ITEM!$B79="","",ITEM!$B79)</f>
      </c>
      <c r="C101" s="119"/>
      <c r="D101" s="13">
        <f>IF(ITEM!$B79="","",ITEM!$D79)</f>
      </c>
      <c r="E101" s="5">
        <f>IF(ITEM!$B79="","",ITEM!$C79)</f>
      </c>
      <c r="F101" s="13" cm="1">
        <f t="array" ref="F101">IF(ITEM!$B79="","",SUMPRODUCT((COLUMN(ITEM!$G79:$J79)-COLUMN(ITEM!$G79)+1&lt;$O$1)*ITEM!$G79:$J79))</f>
      </c>
      <c r="G101" s="13" cm="1">
        <f t="array" ref="G101">IF(ITEM!$B79="","",INDEX(ITEM!$G79:$J79,1,$O$1))</f>
      </c>
      <c r="H101" s="13">
        <f>IF(ITEM!$B79="","",$F101+$G101)</f>
      </c>
      <c r="I101" s="13">
        <f>IF(ITEM!$B79="","",$D101-$H101)</f>
      </c>
      <c r="J101" s="6">
        <f>IF(ITEM!$B79="","",ITEM!$E79)</f>
      </c>
      <c r="K101" s="6">
        <f>IF(ITEM!$B79="","",$G101*$J101)</f>
      </c>
      <c r="L101" s="2"/>
      <c r="M101" s="2"/>
      <c r="N101" s="2"/>
      <c r="O101" s="2"/>
    </row>
    <row r="102" spans="1:15" ht="13.05" hidden="1" customHeight="1" outlineLevel="2" x14ac:dyDescent="0.45">
      <c r="A102" s="4">
        <f>IF(ITEM!$B80="","",ITEM!$A80)</f>
      </c>
      <c r="B102" s="118">
        <f>IF(ITEM!$B80="","",ITEM!$B80)</f>
      </c>
      <c r="C102" s="119"/>
      <c r="D102" s="13">
        <f>IF(ITEM!$B80="","",ITEM!$D80)</f>
      </c>
      <c r="E102" s="5">
        <f>IF(ITEM!$B80="","",ITEM!$C80)</f>
      </c>
      <c r="F102" s="13" cm="1">
        <f t="array" ref="F102">IF(ITEM!$B80="","",SUMPRODUCT((COLUMN(ITEM!$G80:$J80)-COLUMN(ITEM!$G80)+1&lt;$O$1)*ITEM!$G80:$J80))</f>
      </c>
      <c r="G102" s="13" cm="1">
        <f t="array" ref="G102">IF(ITEM!$B80="","",INDEX(ITEM!$G80:$J80,1,$O$1))</f>
      </c>
      <c r="H102" s="13">
        <f>IF(ITEM!$B80="","",$F102+$G102)</f>
      </c>
      <c r="I102" s="13">
        <f>IF(ITEM!$B80="","",$D102-$H102)</f>
      </c>
      <c r="J102" s="6">
        <f>IF(ITEM!$B80="","",ITEM!$E80)</f>
      </c>
      <c r="K102" s="6">
        <f>IF(ITEM!$B80="","",$G102*$J102)</f>
      </c>
      <c r="L102" s="2"/>
      <c r="M102" s="2"/>
      <c r="N102" s="2"/>
      <c r="O102" s="2"/>
    </row>
    <row r="103" spans="1:15" ht="13.05" hidden="1" customHeight="1" outlineLevel="2" x14ac:dyDescent="0.45">
      <c r="A103" s="4">
        <f>IF(ITEM!$B81="","",ITEM!$A81)</f>
      </c>
      <c r="B103" s="118">
        <f>IF(ITEM!$B81="","",ITEM!$B81)</f>
      </c>
      <c r="C103" s="119"/>
      <c r="D103" s="13">
        <f>IF(ITEM!$B81="","",ITEM!$D81)</f>
      </c>
      <c r="E103" s="5">
        <f>IF(ITEM!$B81="","",ITEM!$C81)</f>
      </c>
      <c r="F103" s="13" cm="1">
        <f t="array" ref="F103">IF(ITEM!$B81="","",SUMPRODUCT((COLUMN(ITEM!$G81:$J81)-COLUMN(ITEM!$G81)+1&lt;$O$1)*ITEM!$G81:$J81))</f>
      </c>
      <c r="G103" s="13" cm="1">
        <f t="array" ref="G103">IF(ITEM!$B81="","",INDEX(ITEM!$G81:$J81,1,$O$1))</f>
      </c>
      <c r="H103" s="13">
        <f>IF(ITEM!$B81="","",$F103+$G103)</f>
      </c>
      <c r="I103" s="13">
        <f>IF(ITEM!$B81="","",$D103-$H103)</f>
      </c>
      <c r="J103" s="6">
        <f>IF(ITEM!$B81="","",ITEM!$E81)</f>
      </c>
      <c r="K103" s="6">
        <f>IF(ITEM!$B81="","",$G103*$J103)</f>
      </c>
      <c r="L103" s="2"/>
      <c r="M103" s="2"/>
      <c r="N103" s="2"/>
      <c r="O103" s="2"/>
    </row>
    <row r="104" spans="1:15" ht="13.05" hidden="1" customHeight="1" outlineLevel="2" x14ac:dyDescent="0.45">
      <c r="A104" s="4">
        <f>IF(ITEM!$B82="","",ITEM!$A82)</f>
      </c>
      <c r="B104" s="118">
        <f>IF(ITEM!$B82="","",ITEM!$B82)</f>
      </c>
      <c r="C104" s="119"/>
      <c r="D104" s="13">
        <f>IF(ITEM!$B82="","",ITEM!$D82)</f>
      </c>
      <c r="E104" s="5">
        <f>IF(ITEM!$B82="","",ITEM!$C82)</f>
      </c>
      <c r="F104" s="13" cm="1">
        <f t="array" ref="F104">IF(ITEM!$B82="","",SUMPRODUCT((COLUMN(ITEM!$G82:$J82)-COLUMN(ITEM!$G82)+1&lt;$O$1)*ITEM!$G82:$J82))</f>
      </c>
      <c r="G104" s="13" cm="1">
        <f t="array" ref="G104">IF(ITEM!$B82="","",INDEX(ITEM!$G82:$J82,1,$O$1))</f>
      </c>
      <c r="H104" s="13">
        <f>IF(ITEM!$B82="","",$F104+$G104)</f>
      </c>
      <c r="I104" s="13">
        <f>IF(ITEM!$B82="","",$D104-$H104)</f>
      </c>
      <c r="J104" s="6">
        <f>IF(ITEM!$B82="","",ITEM!$E82)</f>
      </c>
      <c r="K104" s="6">
        <f>IF(ITEM!$B82="","",$G104*$J104)</f>
      </c>
      <c r="L104" s="2"/>
      <c r="M104" s="2"/>
      <c r="N104" s="2"/>
      <c r="O104" s="2"/>
    </row>
    <row r="105" spans="1:15" ht="13.05" hidden="1" customHeight="1" outlineLevel="2" x14ac:dyDescent="0.45">
      <c r="A105" s="4">
        <f>IF(ITEM!$B83="","",ITEM!$A83)</f>
      </c>
      <c r="B105" s="118">
        <f>IF(ITEM!$B83="","",ITEM!$B83)</f>
      </c>
      <c r="C105" s="119"/>
      <c r="D105" s="13">
        <f>IF(ITEM!$B83="","",ITEM!$D83)</f>
      </c>
      <c r="E105" s="5">
        <f>IF(ITEM!$B83="","",ITEM!$C83)</f>
      </c>
      <c r="F105" s="13" cm="1">
        <f t="array" ref="F105">IF(ITEM!$B83="","",SUMPRODUCT((COLUMN(ITEM!$G83:$J83)-COLUMN(ITEM!$G83)+1&lt;$O$1)*ITEM!$G83:$J83))</f>
      </c>
      <c r="G105" s="13" cm="1">
        <f t="array" ref="G105">IF(ITEM!$B83="","",INDEX(ITEM!$G83:$J83,1,$O$1))</f>
      </c>
      <c r="H105" s="13">
        <f>IF(ITEM!$B83="","",$F105+$G105)</f>
      </c>
      <c r="I105" s="13">
        <f>IF(ITEM!$B83="","",$D105-$H105)</f>
      </c>
      <c r="J105" s="6">
        <f>IF(ITEM!$B83="","",ITEM!$E83)</f>
      </c>
      <c r="K105" s="6">
        <f>IF(ITEM!$B83="","",$G105*$J105)</f>
      </c>
      <c r="L105" s="2"/>
      <c r="M105" s="2"/>
      <c r="N105" s="2"/>
      <c r="O105" s="2"/>
    </row>
    <row r="106" spans="1:15" ht="13.05" hidden="1" customHeight="1" outlineLevel="2" x14ac:dyDescent="0.45">
      <c r="A106" s="4">
        <f>IF(ITEM!$B84="","",ITEM!$A84)</f>
      </c>
      <c r="B106" s="118">
        <f>IF(ITEM!$B84="","",ITEM!$B84)</f>
      </c>
      <c r="C106" s="119"/>
      <c r="D106" s="13">
        <f>IF(ITEM!$B84="","",ITEM!$D84)</f>
      </c>
      <c r="E106" s="5">
        <f>IF(ITEM!$B84="","",ITEM!$C84)</f>
      </c>
      <c r="F106" s="13" cm="1">
        <f t="array" ref="F106">IF(ITEM!$B84="","",SUMPRODUCT((COLUMN(ITEM!$G84:$J84)-COLUMN(ITEM!$G84)+1&lt;$O$1)*ITEM!$G84:$J84))</f>
      </c>
      <c r="G106" s="13" cm="1">
        <f t="array" ref="G106">IF(ITEM!$B84="","",INDEX(ITEM!$G84:$J84,1,$O$1))</f>
      </c>
      <c r="H106" s="13">
        <f>IF(ITEM!$B84="","",$F106+$G106)</f>
      </c>
      <c r="I106" s="13">
        <f>IF(ITEM!$B84="","",$D106-$H106)</f>
      </c>
      <c r="J106" s="6">
        <f>IF(ITEM!$B84="","",ITEM!$E84)</f>
      </c>
      <c r="K106" s="6">
        <f>IF(ITEM!$B84="","",$G106*$J106)</f>
      </c>
      <c r="L106" s="2"/>
      <c r="M106" s="2"/>
      <c r="N106" s="2"/>
      <c r="O106" s="2"/>
    </row>
    <row r="107" spans="1:15" ht="13.05" hidden="1" customHeight="1" outlineLevel="2" x14ac:dyDescent="0.45">
      <c r="A107" s="4">
        <f>IF(ITEM!$B85="","",ITEM!$A85)</f>
      </c>
      <c r="B107" s="118">
        <f>IF(ITEM!$B85="","",ITEM!$B85)</f>
      </c>
      <c r="C107" s="119"/>
      <c r="D107" s="13">
        <f>IF(ITEM!$B85="","",ITEM!$D85)</f>
      </c>
      <c r="E107" s="5">
        <f>IF(ITEM!$B85="","",ITEM!$C85)</f>
      </c>
      <c r="F107" s="13" cm="1">
        <f t="array" ref="F107">IF(ITEM!$B85="","",SUMPRODUCT((COLUMN(ITEM!$G85:$J85)-COLUMN(ITEM!$G85)+1&lt;$O$1)*ITEM!$G85:$J85))</f>
      </c>
      <c r="G107" s="13" cm="1">
        <f t="array" ref="G107">IF(ITEM!$B85="","",INDEX(ITEM!$G85:$J85,1,$O$1))</f>
      </c>
      <c r="H107" s="13">
        <f>IF(ITEM!$B85="","",$F107+$G107)</f>
      </c>
      <c r="I107" s="13">
        <f>IF(ITEM!$B85="","",$D107-$H107)</f>
      </c>
      <c r="J107" s="6">
        <f>IF(ITEM!$B85="","",ITEM!$E85)</f>
      </c>
      <c r="K107" s="6">
        <f>IF(ITEM!$B85="","",$G107*$J107)</f>
      </c>
      <c r="L107" s="2"/>
      <c r="M107" s="2"/>
      <c r="N107" s="2"/>
      <c r="O107" s="2"/>
    </row>
    <row r="108" spans="1:15" ht="13.05" hidden="1" customHeight="1" outlineLevel="2" x14ac:dyDescent="0.45">
      <c r="A108" s="4">
        <f>IF(ITEM!$B86="","",ITEM!$A86)</f>
      </c>
      <c r="B108" s="118">
        <f>IF(ITEM!$B86="","",ITEM!$B86)</f>
      </c>
      <c r="C108" s="119"/>
      <c r="D108" s="13">
        <f>IF(ITEM!$B86="","",ITEM!$D86)</f>
      </c>
      <c r="E108" s="5">
        <f>IF(ITEM!$B86="","",ITEM!$C86)</f>
      </c>
      <c r="F108" s="13" cm="1">
        <f t="array" ref="F108">IF(ITEM!$B86="","",SUMPRODUCT((COLUMN(ITEM!$G86:$J86)-COLUMN(ITEM!$G86)+1&lt;$O$1)*ITEM!$G86:$J86))</f>
      </c>
      <c r="G108" s="13" cm="1">
        <f t="array" ref="G108">IF(ITEM!$B86="","",INDEX(ITEM!$G86:$J86,1,$O$1))</f>
      </c>
      <c r="H108" s="13">
        <f>IF(ITEM!$B86="","",$F108+$G108)</f>
      </c>
      <c r="I108" s="13">
        <f>IF(ITEM!$B86="","",$D108-$H108)</f>
      </c>
      <c r="J108" s="6">
        <f>IF(ITEM!$B86="","",ITEM!$E86)</f>
      </c>
      <c r="K108" s="6">
        <f>IF(ITEM!$B86="","",$G108*$J108)</f>
      </c>
      <c r="L108" s="2"/>
      <c r="M108" s="2"/>
      <c r="N108" s="2"/>
      <c r="O108" s="2"/>
    </row>
    <row r="109" spans="1:15" ht="13.05" hidden="1" customHeight="1" outlineLevel="2" x14ac:dyDescent="0.45">
      <c r="A109" s="4">
        <f>IF(ITEM!$B87="","",ITEM!$A87)</f>
      </c>
      <c r="B109" s="118">
        <f>IF(ITEM!$B87="","",ITEM!$B87)</f>
      </c>
      <c r="C109" s="119"/>
      <c r="D109" s="13">
        <f>IF(ITEM!$B87="","",ITEM!$D87)</f>
      </c>
      <c r="E109" s="5">
        <f>IF(ITEM!$B87="","",ITEM!$C87)</f>
      </c>
      <c r="F109" s="13" cm="1">
        <f t="array" ref="F109">IF(ITEM!$B87="","",SUMPRODUCT((COLUMN(ITEM!$G87:$J87)-COLUMN(ITEM!$G87)+1&lt;$O$1)*ITEM!$G87:$J87))</f>
      </c>
      <c r="G109" s="13" cm="1">
        <f t="array" ref="G109">IF(ITEM!$B87="","",INDEX(ITEM!$G87:$J87,1,$O$1))</f>
      </c>
      <c r="H109" s="13">
        <f>IF(ITEM!$B87="","",$F109+$G109)</f>
      </c>
      <c r="I109" s="13">
        <f>IF(ITEM!$B87="","",$D109-$H109)</f>
      </c>
      <c r="J109" s="6">
        <f>IF(ITEM!$B87="","",ITEM!$E87)</f>
      </c>
      <c r="K109" s="6">
        <f>IF(ITEM!$B87="","",$G109*$J109)</f>
      </c>
      <c r="L109" s="2"/>
      <c r="M109" s="2"/>
      <c r="N109" s="2"/>
      <c r="O109" s="2"/>
    </row>
    <row r="110" spans="1:15" ht="13.05" hidden="1" customHeight="1" outlineLevel="2" x14ac:dyDescent="0.45">
      <c r="A110" s="4">
        <f>IF(ITEM!$B88="","",ITEM!$A88)</f>
      </c>
      <c r="B110" s="118">
        <f>IF(ITEM!$B88="","",ITEM!$B88)</f>
      </c>
      <c r="C110" s="119"/>
      <c r="D110" s="13">
        <f>IF(ITEM!$B88="","",ITEM!$D88)</f>
      </c>
      <c r="E110" s="5">
        <f>IF(ITEM!$B88="","",ITEM!$C88)</f>
      </c>
      <c r="F110" s="13" cm="1">
        <f t="array" ref="F110">IF(ITEM!$B88="","",SUMPRODUCT((COLUMN(ITEM!$G88:$J88)-COLUMN(ITEM!$G88)+1&lt;$O$1)*ITEM!$G88:$J88))</f>
      </c>
      <c r="G110" s="13" cm="1">
        <f t="array" ref="G110">IF(ITEM!$B88="","",INDEX(ITEM!$G88:$J88,1,$O$1))</f>
      </c>
      <c r="H110" s="13">
        <f>IF(ITEM!$B88="","",$F110+$G110)</f>
      </c>
      <c r="I110" s="13">
        <f>IF(ITEM!$B88="","",$D110-$H110)</f>
      </c>
      <c r="J110" s="6">
        <f>IF(ITEM!$B88="","",ITEM!$E88)</f>
      </c>
      <c r="K110" s="6">
        <f>IF(ITEM!$B88="","",$G110*$J110)</f>
      </c>
      <c r="L110" s="2"/>
      <c r="M110" s="2"/>
      <c r="N110" s="2"/>
      <c r="O110" s="2"/>
    </row>
    <row r="111" spans="1:15" ht="13.05" hidden="1" customHeight="1" outlineLevel="2" x14ac:dyDescent="0.45">
      <c r="A111" s="4">
        <f>IF(ITEM!$B89="","",ITEM!$A89)</f>
      </c>
      <c r="B111" s="118">
        <f>IF(ITEM!$B89="","",ITEM!$B89)</f>
      </c>
      <c r="C111" s="119"/>
      <c r="D111" s="13">
        <f>IF(ITEM!$B89="","",ITEM!$D89)</f>
      </c>
      <c r="E111" s="5">
        <f>IF(ITEM!$B89="","",ITEM!$C89)</f>
      </c>
      <c r="F111" s="13" cm="1">
        <f t="array" ref="F111">IF(ITEM!$B89="","",SUMPRODUCT((COLUMN(ITEM!$G89:$J89)-COLUMN(ITEM!$G89)+1&lt;$O$1)*ITEM!$G89:$J89))</f>
      </c>
      <c r="G111" s="13" cm="1">
        <f t="array" ref="G111">IF(ITEM!$B89="","",INDEX(ITEM!$G89:$J89,1,$O$1))</f>
      </c>
      <c r="H111" s="13">
        <f>IF(ITEM!$B89="","",$F111+$G111)</f>
      </c>
      <c r="I111" s="13">
        <f>IF(ITEM!$B89="","",$D111-$H111)</f>
      </c>
      <c r="J111" s="6">
        <f>IF(ITEM!$B89="","",ITEM!$E89)</f>
      </c>
      <c r="K111" s="6">
        <f>IF(ITEM!$B89="","",$G111*$J111)</f>
      </c>
      <c r="L111" s="2"/>
      <c r="M111" s="2"/>
      <c r="N111" s="2"/>
      <c r="O111" s="2"/>
    </row>
    <row r="112" spans="1:15" ht="13.05" hidden="1" customHeight="1" outlineLevel="2" x14ac:dyDescent="0.45">
      <c r="A112" s="4">
        <f>IF(ITEM!$B90="","",ITEM!$A90)</f>
      </c>
      <c r="B112" s="118">
        <f>IF(ITEM!$B90="","",ITEM!$B90)</f>
      </c>
      <c r="C112" s="119"/>
      <c r="D112" s="13">
        <f>IF(ITEM!$B90="","",ITEM!$D90)</f>
      </c>
      <c r="E112" s="5">
        <f>IF(ITEM!$B90="","",ITEM!$C90)</f>
      </c>
      <c r="F112" s="13" cm="1">
        <f t="array" ref="F112">IF(ITEM!$B90="","",SUMPRODUCT((COLUMN(ITEM!$G90:$J90)-COLUMN(ITEM!$G90)+1&lt;$O$1)*ITEM!$G90:$J90))</f>
      </c>
      <c r="G112" s="13" cm="1">
        <f t="array" ref="G112">IF(ITEM!$B90="","",INDEX(ITEM!$G90:$J90,1,$O$1))</f>
      </c>
      <c r="H112" s="13">
        <f>IF(ITEM!$B90="","",$F112+$G112)</f>
      </c>
      <c r="I112" s="13">
        <f>IF(ITEM!$B90="","",$D112-$H112)</f>
      </c>
      <c r="J112" s="6">
        <f>IF(ITEM!$B90="","",ITEM!$E90)</f>
      </c>
      <c r="K112" s="6">
        <f>IF(ITEM!$B90="","",$G112*$J112)</f>
      </c>
      <c r="L112" s="2"/>
      <c r="M112" s="2"/>
      <c r="N112" s="2"/>
      <c r="O112" s="2"/>
    </row>
    <row r="113" spans="1:15" ht="13.05" hidden="1" customHeight="1" outlineLevel="2" x14ac:dyDescent="0.45">
      <c r="A113" s="4">
        <f>IF(ITEM!$B91="","",ITEM!$A91)</f>
      </c>
      <c r="B113" s="118">
        <f>IF(ITEM!$B91="","",ITEM!$B91)</f>
      </c>
      <c r="C113" s="119"/>
      <c r="D113" s="13">
        <f>IF(ITEM!$B91="","",ITEM!$D91)</f>
      </c>
      <c r="E113" s="5">
        <f>IF(ITEM!$B91="","",ITEM!$C91)</f>
      </c>
      <c r="F113" s="13" cm="1">
        <f t="array" ref="F113">IF(ITEM!$B91="","",SUMPRODUCT((COLUMN(ITEM!$G91:$J91)-COLUMN(ITEM!$G91)+1&lt;$O$1)*ITEM!$G91:$J91))</f>
      </c>
      <c r="G113" s="13" cm="1">
        <f t="array" ref="G113">IF(ITEM!$B91="","",INDEX(ITEM!$G91:$J91,1,$O$1))</f>
      </c>
      <c r="H113" s="13">
        <f>IF(ITEM!$B91="","",$F113+$G113)</f>
      </c>
      <c r="I113" s="13">
        <f>IF(ITEM!$B91="","",$D113-$H113)</f>
      </c>
      <c r="J113" s="6">
        <f>IF(ITEM!$B91="","",ITEM!$E91)</f>
      </c>
      <c r="K113" s="6">
        <f>IF(ITEM!$B91="","",$G113*$J113)</f>
      </c>
      <c r="L113" s="2"/>
      <c r="M113" s="2"/>
      <c r="N113" s="2"/>
      <c r="O113" s="2"/>
    </row>
    <row r="114" spans="1:15" ht="13.05" hidden="1" customHeight="1" outlineLevel="2" x14ac:dyDescent="0.45">
      <c r="A114" s="4">
        <f>IF(ITEM!$B92="","",ITEM!$A92)</f>
      </c>
      <c r="B114" s="118">
        <f>IF(ITEM!$B92="","",ITEM!$B92)</f>
      </c>
      <c r="C114" s="119"/>
      <c r="D114" s="13">
        <f>IF(ITEM!$B92="","",ITEM!$D92)</f>
      </c>
      <c r="E114" s="5">
        <f>IF(ITEM!$B92="","",ITEM!$C92)</f>
      </c>
      <c r="F114" s="13" cm="1">
        <f t="array" ref="F114">IF(ITEM!$B92="","",SUMPRODUCT((COLUMN(ITEM!$G92:$J92)-COLUMN(ITEM!$G92)+1&lt;$O$1)*ITEM!$G92:$J92))</f>
      </c>
      <c r="G114" s="13" cm="1">
        <f t="array" ref="G114">IF(ITEM!$B92="","",INDEX(ITEM!$G92:$J92,1,$O$1))</f>
      </c>
      <c r="H114" s="13">
        <f>IF(ITEM!$B92="","",$F114+$G114)</f>
      </c>
      <c r="I114" s="13">
        <f>IF(ITEM!$B92="","",$D114-$H114)</f>
      </c>
      <c r="J114" s="6">
        <f>IF(ITEM!$B92="","",ITEM!$E92)</f>
      </c>
      <c r="K114" s="6">
        <f>IF(ITEM!$B92="","",$G114*$J114)</f>
      </c>
      <c r="L114" s="2"/>
      <c r="M114" s="2"/>
      <c r="N114" s="2"/>
      <c r="O114" s="2"/>
    </row>
    <row r="115" spans="1:15" ht="13.05" hidden="1" customHeight="1" outlineLevel="2" x14ac:dyDescent="0.45">
      <c r="A115" s="4">
        <f>IF(ITEM!$B93="","",ITEM!$A93)</f>
      </c>
      <c r="B115" s="118">
        <f>IF(ITEM!$B93="","",ITEM!$B93)</f>
      </c>
      <c r="C115" s="119"/>
      <c r="D115" s="13">
        <f>IF(ITEM!$B93="","",ITEM!$D93)</f>
      </c>
      <c r="E115" s="5">
        <f>IF(ITEM!$B93="","",ITEM!$C93)</f>
      </c>
      <c r="F115" s="13" cm="1">
        <f t="array" ref="F115">IF(ITEM!$B93="","",SUMPRODUCT((COLUMN(ITEM!$G93:$J93)-COLUMN(ITEM!$G93)+1&lt;$O$1)*ITEM!$G93:$J93))</f>
      </c>
      <c r="G115" s="13" cm="1">
        <f t="array" ref="G115">IF(ITEM!$B93="","",INDEX(ITEM!$G93:$J93,1,$O$1))</f>
      </c>
      <c r="H115" s="13">
        <f>IF(ITEM!$B93="","",$F115+$G115)</f>
      </c>
      <c r="I115" s="13">
        <f>IF(ITEM!$B93="","",$D115-$H115)</f>
      </c>
      <c r="J115" s="6">
        <f>IF(ITEM!$B93="","",ITEM!$E93)</f>
      </c>
      <c r="K115" s="6">
        <f>IF(ITEM!$B93="","",$G115*$J115)</f>
      </c>
      <c r="L115" s="2"/>
      <c r="M115" s="2"/>
      <c r="N115" s="2"/>
      <c r="O115" s="2"/>
    </row>
    <row r="116" spans="1:15" ht="13.05" hidden="1" customHeight="1" outlineLevel="2" x14ac:dyDescent="0.45">
      <c r="A116" s="4">
        <f>IF(ITEM!$B94="","",ITEM!$A94)</f>
      </c>
      <c r="B116" s="118">
        <f>IF(ITEM!$B94="","",ITEM!$B94)</f>
      </c>
      <c r="C116" s="119"/>
      <c r="D116" s="13">
        <f>IF(ITEM!$B94="","",ITEM!$D94)</f>
      </c>
      <c r="E116" s="5">
        <f>IF(ITEM!$B94="","",ITEM!$C94)</f>
      </c>
      <c r="F116" s="13" cm="1">
        <f t="array" ref="F116">IF(ITEM!$B94="","",SUMPRODUCT((COLUMN(ITEM!$G94:$J94)-COLUMN(ITEM!$G94)+1&lt;$O$1)*ITEM!$G94:$J94))</f>
      </c>
      <c r="G116" s="13" cm="1">
        <f t="array" ref="G116">IF(ITEM!$B94="","",INDEX(ITEM!$G94:$J94,1,$O$1))</f>
      </c>
      <c r="H116" s="13">
        <f>IF(ITEM!$B94="","",$F116+$G116)</f>
      </c>
      <c r="I116" s="13">
        <f>IF(ITEM!$B94="","",$D116-$H116)</f>
      </c>
      <c r="J116" s="6">
        <f>IF(ITEM!$B94="","",ITEM!$E94)</f>
      </c>
      <c r="K116" s="6">
        <f>IF(ITEM!$B94="","",$G116*$J116)</f>
      </c>
      <c r="L116" s="2"/>
      <c r="M116" s="2"/>
      <c r="N116" s="2"/>
      <c r="O116" s="2"/>
    </row>
    <row r="117" spans="1:15" ht="13.05" hidden="1" customHeight="1" outlineLevel="2" x14ac:dyDescent="0.45">
      <c r="A117" s="4">
        <f>IF(ITEM!$B95="","",ITEM!$A95)</f>
      </c>
      <c r="B117" s="118">
        <f>IF(ITEM!$B95="","",ITEM!$B95)</f>
      </c>
      <c r="C117" s="119"/>
      <c r="D117" s="13">
        <f>IF(ITEM!$B95="","",ITEM!$D95)</f>
      </c>
      <c r="E117" s="5">
        <f>IF(ITEM!$B95="","",ITEM!$C95)</f>
      </c>
      <c r="F117" s="13" cm="1">
        <f t="array" ref="F117">IF(ITEM!$B95="","",SUMPRODUCT((COLUMN(ITEM!$G95:$J95)-COLUMN(ITEM!$G95)+1&lt;$O$1)*ITEM!$G95:$J95))</f>
      </c>
      <c r="G117" s="13" cm="1">
        <f t="array" ref="G117">IF(ITEM!$B95="","",INDEX(ITEM!$G95:$J95,1,$O$1))</f>
      </c>
      <c r="H117" s="13">
        <f>IF(ITEM!$B95="","",$F117+$G117)</f>
      </c>
      <c r="I117" s="13">
        <f>IF(ITEM!$B95="","",$D117-$H117)</f>
      </c>
      <c r="J117" s="6">
        <f>IF(ITEM!$B95="","",ITEM!$E95)</f>
      </c>
      <c r="K117" s="6">
        <f>IF(ITEM!$B95="","",$G117*$J117)</f>
      </c>
      <c r="L117" s="2"/>
      <c r="M117" s="2"/>
      <c r="N117" s="2"/>
      <c r="O117" s="2"/>
    </row>
    <row r="118" spans="1:15" ht="13.05" hidden="1" customHeight="1" outlineLevel="2" x14ac:dyDescent="0.45">
      <c r="A118" s="4">
        <f>IF(ITEM!$B96="","",ITEM!$A96)</f>
      </c>
      <c r="B118" s="118">
        <f>IF(ITEM!$B96="","",ITEM!$B96)</f>
      </c>
      <c r="C118" s="119"/>
      <c r="D118" s="13">
        <f>IF(ITEM!$B96="","",ITEM!$D96)</f>
      </c>
      <c r="E118" s="5">
        <f>IF(ITEM!$B96="","",ITEM!$C96)</f>
      </c>
      <c r="F118" s="13" cm="1">
        <f t="array" ref="F118">IF(ITEM!$B96="","",SUMPRODUCT((COLUMN(ITEM!$G96:$J96)-COLUMN(ITEM!$G96)+1&lt;$O$1)*ITEM!$G96:$J96))</f>
      </c>
      <c r="G118" s="13" cm="1">
        <f t="array" ref="G118">IF(ITEM!$B96="","",INDEX(ITEM!$G96:$J96,1,$O$1))</f>
      </c>
      <c r="H118" s="13">
        <f>IF(ITEM!$B96="","",$F118+$G118)</f>
      </c>
      <c r="I118" s="13">
        <f>IF(ITEM!$B96="","",$D118-$H118)</f>
      </c>
      <c r="J118" s="6">
        <f>IF(ITEM!$B96="","",ITEM!$E96)</f>
      </c>
      <c r="K118" s="6">
        <f>IF(ITEM!$B96="","",$G118*$J118)</f>
      </c>
      <c r="L118" s="2"/>
      <c r="M118" s="2"/>
      <c r="N118" s="2"/>
      <c r="O118" s="2"/>
    </row>
    <row r="119" spans="1:15" ht="13.05" hidden="1" customHeight="1" outlineLevel="2" x14ac:dyDescent="0.45">
      <c r="A119" s="4">
        <f>IF(ITEM!$B97="","",ITEM!$A97)</f>
      </c>
      <c r="B119" s="118">
        <f>IF(ITEM!$B97="","",ITEM!$B97)</f>
      </c>
      <c r="C119" s="119"/>
      <c r="D119" s="13">
        <f>IF(ITEM!$B97="","",ITEM!$D97)</f>
      </c>
      <c r="E119" s="5">
        <f>IF(ITEM!$B97="","",ITEM!$C97)</f>
      </c>
      <c r="F119" s="13" cm="1">
        <f t="array" ref="F119">IF(ITEM!$B97="","",SUMPRODUCT((COLUMN(ITEM!$G97:$J97)-COLUMN(ITEM!$G97)+1&lt;$O$1)*ITEM!$G97:$J97))</f>
      </c>
      <c r="G119" s="13" cm="1">
        <f t="array" ref="G119">IF(ITEM!$B97="","",INDEX(ITEM!$G97:$J97,1,$O$1))</f>
      </c>
      <c r="H119" s="13">
        <f>IF(ITEM!$B97="","",$F119+$G119)</f>
      </c>
      <c r="I119" s="13">
        <f>IF(ITEM!$B97="","",$D119-$H119)</f>
      </c>
      <c r="J119" s="6">
        <f>IF(ITEM!$B97="","",ITEM!$E97)</f>
      </c>
      <c r="K119" s="6">
        <f>IF(ITEM!$B97="","",$G119*$J119)</f>
      </c>
      <c r="L119" s="2"/>
      <c r="M119" s="2"/>
      <c r="N119" s="2"/>
      <c r="O119" s="2"/>
    </row>
    <row r="120" spans="1:15" ht="13.05" hidden="1" customHeight="1" outlineLevel="2" x14ac:dyDescent="0.45">
      <c r="A120" s="4">
        <f>IF(ITEM!$B98="","",ITEM!$A98)</f>
      </c>
      <c r="B120" s="118">
        <f>IF(ITEM!$B98="","",ITEM!$B98)</f>
      </c>
      <c r="C120" s="119"/>
      <c r="D120" s="13">
        <f>IF(ITEM!$B98="","",ITEM!$D98)</f>
      </c>
      <c r="E120" s="5">
        <f>IF(ITEM!$B98="","",ITEM!$C98)</f>
      </c>
      <c r="F120" s="13" cm="1">
        <f t="array" ref="F120">IF(ITEM!$B98="","",SUMPRODUCT((COLUMN(ITEM!$G98:$J98)-COLUMN(ITEM!$G98)+1&lt;$O$1)*ITEM!$G98:$J98))</f>
      </c>
      <c r="G120" s="13" cm="1">
        <f t="array" ref="G120">IF(ITEM!$B98="","",INDEX(ITEM!$G98:$J98,1,$O$1))</f>
      </c>
      <c r="H120" s="13">
        <f>IF(ITEM!$B98="","",$F120+$G120)</f>
      </c>
      <c r="I120" s="13">
        <f>IF(ITEM!$B98="","",$D120-$H120)</f>
      </c>
      <c r="J120" s="6">
        <f>IF(ITEM!$B98="","",ITEM!$E98)</f>
      </c>
      <c r="K120" s="6">
        <f>IF(ITEM!$B98="","",$G120*$J120)</f>
      </c>
      <c r="L120" s="2"/>
      <c r="M120" s="2"/>
      <c r="N120" s="2"/>
      <c r="O120" s="2"/>
    </row>
    <row r="121" spans="1:15" ht="13.05" hidden="1" customHeight="1" outlineLevel="2" x14ac:dyDescent="0.45">
      <c r="A121" s="4">
        <f>IF(ITEM!$B99="","",ITEM!$A99)</f>
      </c>
      <c r="B121" s="118">
        <f>IF(ITEM!$B99="","",ITEM!$B99)</f>
      </c>
      <c r="C121" s="119"/>
      <c r="D121" s="13">
        <f>IF(ITEM!$B99="","",ITEM!$D99)</f>
      </c>
      <c r="E121" s="5">
        <f>IF(ITEM!$B99="","",ITEM!$C99)</f>
      </c>
      <c r="F121" s="13" cm="1">
        <f t="array" ref="F121">IF(ITEM!$B99="","",SUMPRODUCT((COLUMN(ITEM!$G99:$J99)-COLUMN(ITEM!$G99)+1&lt;$O$1)*ITEM!$G99:$J99))</f>
      </c>
      <c r="G121" s="13" cm="1">
        <f t="array" ref="G121">IF(ITEM!$B99="","",INDEX(ITEM!$G99:$J99,1,$O$1))</f>
      </c>
      <c r="H121" s="13">
        <f>IF(ITEM!$B99="","",$F121+$G121)</f>
      </c>
      <c r="I121" s="13">
        <f>IF(ITEM!$B99="","",$D121-$H121)</f>
      </c>
      <c r="J121" s="6">
        <f>IF(ITEM!$B99="","",ITEM!$E99)</f>
      </c>
      <c r="K121" s="6">
        <f>IF(ITEM!$B99="","",$G121*$J121)</f>
      </c>
      <c r="L121" s="2"/>
      <c r="M121" s="2"/>
      <c r="N121" s="2"/>
      <c r="O121" s="2"/>
    </row>
    <row r="122" spans="1:15" ht="13.05" hidden="1" customHeight="1" outlineLevel="2" x14ac:dyDescent="0.45">
      <c r="A122" s="4">
        <f>IF(ITEM!$B100="","",ITEM!$A100)</f>
      </c>
      <c r="B122" s="118">
        <f>IF(ITEM!$B100="","",ITEM!$B100)</f>
      </c>
      <c r="C122" s="119"/>
      <c r="D122" s="13">
        <f>IF(ITEM!$B100="","",ITEM!$D100)</f>
      </c>
      <c r="E122" s="5">
        <f>IF(ITEM!$B100="","",ITEM!$C100)</f>
      </c>
      <c r="F122" s="13" cm="1">
        <f t="array" ref="F122">IF(ITEM!$B100="","",SUMPRODUCT((COLUMN(ITEM!$G100:$J100)-COLUMN(ITEM!$G100)+1&lt;$O$1)*ITEM!$G100:$J100))</f>
      </c>
      <c r="G122" s="13" cm="1">
        <f t="array" ref="G122">IF(ITEM!$B100="","",INDEX(ITEM!$G100:$J100,1,$O$1))</f>
      </c>
      <c r="H122" s="13">
        <f>IF(ITEM!$B100="","",$F122+$G122)</f>
      </c>
      <c r="I122" s="13">
        <f>IF(ITEM!$B100="","",$D122-$H122)</f>
      </c>
      <c r="J122" s="6">
        <f>IF(ITEM!$B100="","",ITEM!$E100)</f>
      </c>
      <c r="K122" s="6">
        <f>IF(ITEM!$B100="","",$G122*$J122)</f>
      </c>
      <c r="L122" s="2"/>
      <c r="M122" s="2"/>
      <c r="N122" s="2"/>
      <c r="O122" s="2"/>
    </row>
    <row r="123" spans="1:15" ht="13.05" hidden="1" customHeight="1" outlineLevel="2" x14ac:dyDescent="0.45">
      <c r="A123" s="4">
        <f>IF(ITEM!$B101="","",ITEM!$A101)</f>
      </c>
      <c r="B123" s="118">
        <f>IF(ITEM!$B101="","",ITEM!$B101)</f>
      </c>
      <c r="C123" s="119"/>
      <c r="D123" s="13">
        <f>IF(ITEM!$B101="","",ITEM!$D101)</f>
      </c>
      <c r="E123" s="5">
        <f>IF(ITEM!$B101="","",ITEM!$C101)</f>
      </c>
      <c r="F123" s="13" cm="1">
        <f t="array" ref="F123">IF(ITEM!$B101="","",SUMPRODUCT((COLUMN(ITEM!$G101:$J101)-COLUMN(ITEM!$G101)+1&lt;$O$1)*ITEM!$G101:$J101))</f>
      </c>
      <c r="G123" s="13" cm="1">
        <f t="array" ref="G123">IF(ITEM!$B101="","",INDEX(ITEM!$G101:$J101,1,$O$1))</f>
      </c>
      <c r="H123" s="13">
        <f>IF(ITEM!$B101="","",$F123+$G123)</f>
      </c>
      <c r="I123" s="13">
        <f>IF(ITEM!$B101="","",$D123-$H123)</f>
      </c>
      <c r="J123" s="6">
        <f>IF(ITEM!$B101="","",ITEM!$E101)</f>
      </c>
      <c r="K123" s="6">
        <f>IF(ITEM!$B101="","",$G123*$J123)</f>
      </c>
      <c r="L123" s="2"/>
      <c r="M123" s="2"/>
      <c r="N123" s="2"/>
      <c r="O123" s="2"/>
    </row>
    <row r="124" spans="1:15" ht="13.05" hidden="1" customHeight="1" outlineLevel="2" x14ac:dyDescent="0.45">
      <c r="A124" s="4">
        <f>IF(ITEM!$B102="","",ITEM!$A102)</f>
      </c>
      <c r="B124" s="118">
        <f>IF(ITEM!$B102="","",ITEM!$B102)</f>
      </c>
      <c r="C124" s="119"/>
      <c r="D124" s="13">
        <f>IF(ITEM!$B102="","",ITEM!$D102)</f>
      </c>
      <c r="E124" s="5">
        <f>IF(ITEM!$B102="","",ITEM!$C102)</f>
      </c>
      <c r="F124" s="13" cm="1">
        <f t="array" ref="F124">IF(ITEM!$B102="","",SUMPRODUCT((COLUMN(ITEM!$G102:$J102)-COLUMN(ITEM!$G102)+1&lt;$O$1)*ITEM!$G102:$J102))</f>
      </c>
      <c r="G124" s="13" cm="1">
        <f t="array" ref="G124">IF(ITEM!$B102="","",INDEX(ITEM!$G102:$J102,1,$O$1))</f>
      </c>
      <c r="H124" s="13">
        <f>IF(ITEM!$B102="","",$F124+$G124)</f>
      </c>
      <c r="I124" s="13">
        <f>IF(ITEM!$B102="","",$D124-$H124)</f>
      </c>
      <c r="J124" s="6">
        <f>IF(ITEM!$B102="","",ITEM!$E102)</f>
      </c>
      <c r="K124" s="6">
        <f>IF(ITEM!$B102="","",$G124*$J124)</f>
      </c>
      <c r="L124" s="2"/>
      <c r="M124" s="2"/>
      <c r="N124" s="2"/>
      <c r="O124" s="2"/>
    </row>
    <row r="125" spans="1:15" ht="13.05" hidden="1" customHeight="1" outlineLevel="2" x14ac:dyDescent="0.45">
      <c r="A125" s="4">
        <f>IF(ITEM!$B103="","",ITEM!$A103)</f>
      </c>
      <c r="B125" s="118">
        <f>IF(ITEM!$B103="","",ITEM!$B103)</f>
      </c>
      <c r="C125" s="119"/>
      <c r="D125" s="13">
        <f>IF(ITEM!$B103="","",ITEM!$D103)</f>
      </c>
      <c r="E125" s="5">
        <f>IF(ITEM!$B103="","",ITEM!$C103)</f>
      </c>
      <c r="F125" s="13" cm="1">
        <f t="array" ref="F125">IF(ITEM!$B103="","",SUMPRODUCT((COLUMN(ITEM!$G103:$J103)-COLUMN(ITEM!$G103)+1&lt;$O$1)*ITEM!$G103:$J103))</f>
      </c>
      <c r="G125" s="13" cm="1">
        <f t="array" ref="G125">IF(ITEM!$B103="","",INDEX(ITEM!$G103:$J103,1,$O$1))</f>
      </c>
      <c r="H125" s="13">
        <f>IF(ITEM!$B103="","",$F125+$G125)</f>
      </c>
      <c r="I125" s="13">
        <f>IF(ITEM!$B103="","",$D125-$H125)</f>
      </c>
      <c r="J125" s="6">
        <f>IF(ITEM!$B103="","",ITEM!$E103)</f>
      </c>
      <c r="K125" s="6">
        <f>IF(ITEM!$B103="","",$G125*$J125)</f>
      </c>
      <c r="L125" s="2"/>
      <c r="M125" s="2"/>
      <c r="N125" s="2"/>
      <c r="O125" s="2"/>
    </row>
    <row r="126" spans="1:15" ht="13.05" customHeight="1" x14ac:dyDescent="0.45">
      <c r="A126" s="165" t="s">
        <v>103</v>
      </c>
      <c r="B126" s="166"/>
      <c r="C126" s="166"/>
      <c r="D126" s="166"/>
      <c r="E126" s="166"/>
      <c r="F126" s="166"/>
      <c r="G126" s="166"/>
      <c r="H126" s="166"/>
      <c r="I126" s="166"/>
      <c r="J126" s="167"/>
      <c r="K126" s="7">
        <f>SUM(K26:K125)</f>
      </c>
      <c r="L126" s="2"/>
      <c r="M126" s="2"/>
      <c r="N126" s="2"/>
      <c r="O126" s="2"/>
    </row>
    <row r="127" spans="1:15" ht="13.05" customHeight="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</row>
    <row r="128" spans="1:15" ht="13.05" customHeight="1" x14ac:dyDescent="0.45">
      <c r="A128" s="153" t="s">
        <v>156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2"/>
      <c r="M128" s="2"/>
      <c r="N128" s="2"/>
      <c r="O128" s="2"/>
    </row>
    <row r="129" spans="1:15" ht="13.05" customHeight="1" x14ac:dyDescent="0.45">
      <c r="A129" s="26">
        <v>1</v>
      </c>
      <c r="B129" s="151" t="s">
        <v>157</v>
      </c>
      <c r="C129" s="121"/>
      <c r="D129" s="121"/>
      <c r="E129" s="121"/>
      <c r="F129" s="121"/>
      <c r="G129" s="19" t="s">
        <v>158</v>
      </c>
      <c r="H129" s="28">
        <f>IF(ITEM!$C$107=0,0,SUMPRODUCT($H$26:$H$125,$J$26:$J$125)/ITEM!$C$107)</f>
      </c>
      <c r="I129" s="19" t="s">
        <v>159</v>
      </c>
      <c r="J129" s="19"/>
      <c r="K129" s="15">
        <f>ROUND(H129*ITEM!$C$107,0)</f>
      </c>
      <c r="L129" s="2"/>
      <c r="M129" s="2"/>
      <c r="N129" s="2"/>
      <c r="O129" s="2"/>
    </row>
    <row r="130" spans="1:15" ht="13.05" customHeight="1" x14ac:dyDescent="0.45">
      <c r="A130" s="26">
        <v>2</v>
      </c>
      <c r="B130" s="151" t="s">
        <v>160</v>
      </c>
      <c r="C130" s="121"/>
      <c r="D130" s="121"/>
      <c r="E130" s="121"/>
      <c r="F130" s="121"/>
      <c r="G130" s="19" t="s">
        <v>158</v>
      </c>
      <c r="H130" s="28">
        <f>IF(ITEM!$C$107=0,0,SUMPRODUCT($F$26:$F$125,$J$26:$J$125)/ITEM!$C$107)</f>
      </c>
      <c r="I130" s="19" t="s">
        <v>159</v>
      </c>
      <c r="J130" s="19"/>
      <c r="K130" s="15">
        <f>ROUND(H130*ITEM!$C$107,0)</f>
      </c>
      <c r="L130" s="2"/>
      <c r="M130" s="2"/>
      <c r="N130" s="2"/>
      <c r="O130" s="2"/>
    </row>
    <row r="131" spans="1:15" ht="13.05" customHeight="1" x14ac:dyDescent="0.45">
      <c r="A131" s="26">
        <v>3</v>
      </c>
      <c r="B131" s="151" t="s">
        <v>161</v>
      </c>
      <c r="C131" s="121"/>
      <c r="D131" s="121"/>
      <c r="E131" s="121"/>
      <c r="F131" s="121"/>
      <c r="G131" s="19" t="s">
        <v>158</v>
      </c>
      <c r="H131" s="28">
        <f>H129-H130</f>
      </c>
      <c r="I131" s="19" t="s">
        <v>159</v>
      </c>
      <c r="J131" s="19"/>
      <c r="K131" s="15">
        <f>K129-K130</f>
      </c>
      <c r="L131" s="2"/>
      <c r="M131" s="2"/>
      <c r="N131" s="2"/>
      <c r="O131" s="2"/>
    </row>
    <row r="132" spans="1:15" ht="13.05" customHeight="1" x14ac:dyDescent="0.45">
      <c r="A132" s="26">
        <v>4</v>
      </c>
      <c r="B132" s="151" t="s">
        <v>162</v>
      </c>
      <c r="C132" s="121"/>
      <c r="D132" s="121"/>
      <c r="E132" s="121"/>
      <c r="F132" s="121"/>
      <c r="G132" s="19"/>
      <c r="H132" s="28"/>
      <c r="I132" s="19"/>
      <c r="J132" s="19"/>
      <c r="K132" s="15"/>
      <c r="L132" s="2"/>
      <c r="M132" s="2"/>
      <c r="N132" s="2"/>
      <c r="O132" s="2"/>
    </row>
    <row r="133" spans="1:15" ht="13.05" customHeight="1" x14ac:dyDescent="0.45">
      <c r="A133" s="26"/>
      <c r="B133" s="151" t="s">
        <v>163</v>
      </c>
      <c r="C133" s="121"/>
      <c r="D133" s="121"/>
      <c r="E133" s="121"/>
      <c r="F133" s="121"/>
      <c r="G133" s="19" t="s">
        <v>158</v>
      </c>
      <c r="H133" s="28">
        <f>INPUT!$B$47</f>
      </c>
      <c r="I133" s="19" t="s">
        <v>159</v>
      </c>
      <c r="J133" s="19" t="s">
        <v>164</v>
      </c>
      <c r="K133" s="15">
        <f>-ROUND(H133*K131,0)</f>
      </c>
      <c r="L133" s="2"/>
      <c r="M133" s="2"/>
      <c r="N133" s="2"/>
      <c r="O133" s="2"/>
    </row>
    <row r="134" spans="1:15" ht="13.05" customHeight="1" x14ac:dyDescent="0.45">
      <c r="A134" s="26"/>
      <c r="B134" s="151" t="s">
        <v>165</v>
      </c>
      <c r="C134" s="121"/>
      <c r="D134" s="121"/>
      <c r="E134" s="121"/>
      <c r="F134" s="121"/>
      <c r="G134" s="19" t="s">
        <v>158</v>
      </c>
      <c r="H134" s="28">
        <f>INPUT!$B$46</f>
      </c>
      <c r="I134" s="19" t="s">
        <v>159</v>
      </c>
      <c r="J134" s="19" t="s">
        <v>164</v>
      </c>
      <c r="K134" s="15">
        <f>-ROUND(H134*K131,0)</f>
      </c>
      <c r="L134" s="2"/>
      <c r="M134" s="2"/>
      <c r="N134" s="2"/>
      <c r="O134" s="2"/>
    </row>
    <row r="135" spans="1:15" ht="13.05" customHeight="1" thickBot="1" x14ac:dyDescent="0.5">
      <c r="A135" s="27">
        <v>5</v>
      </c>
      <c r="B135" s="151" t="s">
        <v>166</v>
      </c>
      <c r="C135" s="121"/>
      <c r="D135" s="121"/>
      <c r="E135" s="121"/>
      <c r="F135" s="121"/>
      <c r="G135" s="19" t="s">
        <v>158</v>
      </c>
      <c r="H135" s="19"/>
      <c r="I135" s="19" t="s">
        <v>159</v>
      </c>
      <c r="J135" s="19"/>
      <c r="K135" s="16">
        <f>K131+K133+K134</f>
      </c>
      <c r="L135" s="2"/>
      <c r="M135" s="2"/>
      <c r="N135" s="2"/>
      <c r="O135" s="2"/>
    </row>
    <row r="136" spans="1:15" ht="13.05" customHeight="1" thickTop="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</row>
    <row r="137" spans="1:15" ht="13.05" customHeight="1" x14ac:dyDescent="0.45">
      <c r="A137" s="8"/>
      <c r="B137" s="53" t="s">
        <v>105</v>
      </c>
      <c r="C137" s="152">
        <f>": "&amp;$O$14</f>
      </c>
      <c r="D137" s="121"/>
      <c r="E137" s="121"/>
      <c r="F137" s="121"/>
      <c r="G137" s="121"/>
      <c r="H137" s="121"/>
      <c r="I137" s="121"/>
      <c r="J137" s="121"/>
      <c r="K137" s="121"/>
      <c r="L137" s="2"/>
      <c r="M137" s="2"/>
      <c r="N137" s="2"/>
      <c r="O137" s="2"/>
    </row>
    <row r="138" spans="1:15" ht="13.05" customHeight="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</row>
    <row r="139" spans="1:15" ht="13.05" customHeight="1" x14ac:dyDescent="0.45">
      <c r="A139" s="153" t="s">
        <v>167</v>
      </c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2"/>
      <c r="M139" s="2"/>
      <c r="N139" s="2"/>
      <c r="O139" s="2"/>
    </row>
    <row r="140" spans="1:15" ht="13.05" customHeight="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</row>
    <row r="141" spans="1:15" ht="13.05" customHeight="1" x14ac:dyDescent="0.45">
      <c r="A141" s="3"/>
      <c r="B141" s="125">
        <f>"Mengetahui,"</f>
      </c>
      <c r="C141" s="121"/>
      <c r="D141" s="121"/>
      <c r="E141" s="121"/>
      <c r="F141" s="162" t="s">
        <v>168</v>
      </c>
      <c r="G141" s="162"/>
      <c r="H141" s="162"/>
      <c r="I141" s="162" t="s">
        <v>169</v>
      </c>
      <c r="J141" s="162"/>
      <c r="K141" s="162"/>
      <c r="L141" s="2"/>
      <c r="M141" s="2"/>
      <c r="N141" s="2"/>
      <c r="O141" s="2"/>
    </row>
    <row r="142" spans="1:15" ht="13.05" customHeight="1" x14ac:dyDescent="0.45">
      <c r="A142" s="3"/>
      <c r="B142" s="122">
        <f>UPPER(INPUT!$B$6)</f>
      </c>
      <c r="C142" s="121"/>
      <c r="D142" s="121"/>
      <c r="E142" s="121"/>
      <c r="F142" s="122">
        <f>UPPER(INPUT!$B$6)</f>
      </c>
      <c r="G142" s="122"/>
      <c r="H142" s="122"/>
      <c r="I142" s="122">
        <f>UPPER(INPUT!$B$24)</f>
      </c>
      <c r="J142" s="122"/>
      <c r="K142" s="122"/>
      <c r="L142" s="2"/>
      <c r="M142" s="2"/>
      <c r="N142" s="2"/>
      <c r="O142" s="2"/>
    </row>
    <row r="143" spans="1:15" ht="30" customHeight="1" x14ac:dyDescent="0.45">
      <c r="A143" s="3"/>
      <c r="B143" s="2"/>
      <c r="C143" s="2"/>
      <c r="D143" s="2"/>
      <c r="E143" s="2"/>
      <c r="F143" s="1"/>
      <c r="G143" s="2"/>
      <c r="H143" s="2"/>
      <c r="I143" s="1"/>
      <c r="J143" s="2"/>
      <c r="K143" s="2"/>
      <c r="L143" s="2"/>
      <c r="M143" s="2"/>
      <c r="N143" s="2"/>
      <c r="O143" s="2"/>
    </row>
    <row r="144" spans="1:15" ht="30" customHeight="1" x14ac:dyDescent="0.45">
      <c r="A144" s="3"/>
      <c r="B144" s="2"/>
      <c r="C144" s="2"/>
      <c r="D144" s="2"/>
      <c r="E144" s="2"/>
      <c r="F144" s="1"/>
      <c r="G144" s="2"/>
      <c r="H144" s="2"/>
      <c r="I144" s="1"/>
      <c r="J144" s="2"/>
      <c r="K144" s="2"/>
      <c r="L144" s="2"/>
      <c r="M144" s="2"/>
      <c r="N144" s="2"/>
      <c r="O144" s="2"/>
    </row>
    <row r="145" spans="1:15" ht="30" customHeight="1" x14ac:dyDescent="0.45">
      <c r="A145" s="3"/>
      <c r="B145" s="2"/>
      <c r="C145" s="2"/>
      <c r="D145" s="2"/>
      <c r="E145" s="2"/>
      <c r="F145" s="1"/>
      <c r="G145" s="2"/>
      <c r="H145" s="2"/>
      <c r="I145" s="1"/>
      <c r="J145" s="2"/>
      <c r="K145" s="2"/>
      <c r="L145" s="2"/>
      <c r="M145" s="2"/>
      <c r="N145" s="2"/>
      <c r="O145" s="2"/>
    </row>
    <row r="146" spans="1:15" ht="13.05" customHeight="1" x14ac:dyDescent="0.45">
      <c r="A146" s="3"/>
      <c r="B146" s="123">
        <f>INPUT!$B$9</f>
      </c>
      <c r="C146" s="121"/>
      <c r="D146" s="121"/>
      <c r="E146" s="121"/>
      <c r="F146" s="123">
        <f>INPUT!$B$12</f>
      </c>
      <c r="G146" s="123"/>
      <c r="H146" s="123"/>
      <c r="I146" s="123">
        <f>INPUT!$B$23</f>
      </c>
      <c r="J146" s="123"/>
      <c r="K146" s="123"/>
      <c r="L146" s="2"/>
      <c r="M146" s="2"/>
      <c r="N146" s="2"/>
      <c r="O146" s="2"/>
    </row>
    <row r="147" spans="1:15" ht="13.05" customHeight="1" x14ac:dyDescent="0.45">
      <c r="A147" s="3"/>
      <c r="B147" s="125">
        <f>INPUT!$B$11</f>
      </c>
      <c r="C147" s="121"/>
      <c r="D147" s="121"/>
      <c r="E147" s="121"/>
      <c r="F147" s="125">
        <f>INPUT!$B$13</f>
      </c>
      <c r="G147" s="125"/>
      <c r="H147" s="125"/>
      <c r="I147" s="125" t="s">
        <v>120</v>
      </c>
      <c r="J147" s="125"/>
      <c r="K147" s="125"/>
      <c r="L147" s="2"/>
      <c r="M147" s="2"/>
      <c r="N147" s="2"/>
      <c r="O147" s="2"/>
    </row>
    <row r="148" spans="1:15" ht="13.05" customHeight="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</row>
    <row r="149" spans="1:15" ht="13.05" customHeight="1" x14ac:dyDescent="0.45">
      <c r="A149" s="8" t="s">
        <v>121</v>
      </c>
      <c r="B149" s="8"/>
      <c r="C149" s="8"/>
      <c r="D149" s="3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</row>
    <row r="150" spans="1:15" ht="13.05" customHeight="1" x14ac:dyDescent="0.45">
      <c r="A150" s="3" t="s">
        <v>170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</row>
  </sheetData>
  <mergeCells count="146">
    <mergeCell ref="I147:K147"/>
    <mergeCell ref="F142:H142"/>
    <mergeCell ref="I142:K142"/>
    <mergeCell ref="F146:H146"/>
    <mergeCell ref="I146:K146"/>
    <mergeCell ref="B73:C73"/>
    <mergeCell ref="B74:C74"/>
    <mergeCell ref="B75:C75"/>
    <mergeCell ref="B76:C76"/>
    <mergeCell ref="I141:K141"/>
    <mergeCell ref="A126:J126"/>
    <mergeCell ref="A128:K128"/>
    <mergeCell ref="B133:F133"/>
    <mergeCell ref="B134:F134"/>
    <mergeCell ref="A139:K139"/>
    <mergeCell ref="B135:F135"/>
    <mergeCell ref="C137:K137"/>
    <mergeCell ref="B141:E141"/>
    <mergeCell ref="B142:E142"/>
    <mergeCell ref="B146:E146"/>
    <mergeCell ref="B147:E147"/>
    <mergeCell ref="F141:H141"/>
    <mergeCell ref="F147:H147"/>
    <mergeCell ref="B87:C87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C13:J13"/>
    <mergeCell ref="A15:K15"/>
    <mergeCell ref="A21:K21"/>
    <mergeCell ref="A23:A24"/>
    <mergeCell ref="D23:D24"/>
    <mergeCell ref="E23:E24"/>
    <mergeCell ref="F23:I23"/>
    <mergeCell ref="J23:J24"/>
    <mergeCell ref="K23:K24"/>
    <mergeCell ref="C17:J17"/>
    <mergeCell ref="C18:J18"/>
    <mergeCell ref="C19:J19"/>
    <mergeCell ref="B23:C24"/>
    <mergeCell ref="A1:K1"/>
    <mergeCell ref="A2:K2"/>
    <mergeCell ref="A3:K3"/>
    <mergeCell ref="A5:K5"/>
    <mergeCell ref="A6:K6"/>
    <mergeCell ref="A8:K8"/>
    <mergeCell ref="C10:J10"/>
    <mergeCell ref="C11:J11"/>
    <mergeCell ref="C12:J12"/>
    <mergeCell ref="B39:C39"/>
    <mergeCell ref="B30:C30"/>
    <mergeCell ref="B31:C31"/>
    <mergeCell ref="B32:C32"/>
    <mergeCell ref="B33:C33"/>
    <mergeCell ref="B34:C34"/>
    <mergeCell ref="B26:C26"/>
    <mergeCell ref="B27:C27"/>
    <mergeCell ref="B28:C28"/>
    <mergeCell ref="B29:C29"/>
    <mergeCell ref="B25:C25"/>
    <mergeCell ref="B45:C45"/>
    <mergeCell ref="B129:F129"/>
    <mergeCell ref="B130:F130"/>
    <mergeCell ref="B131:F131"/>
    <mergeCell ref="B58:C58"/>
    <mergeCell ref="B59:C59"/>
    <mergeCell ref="B60:C60"/>
    <mergeCell ref="B61:C61"/>
    <mergeCell ref="B62:C62"/>
    <mergeCell ref="B63:C63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132:F132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92:C92"/>
    <mergeCell ref="B93:C93"/>
    <mergeCell ref="B94:C94"/>
    <mergeCell ref="B95:C95"/>
    <mergeCell ref="B96:C96"/>
    <mergeCell ref="B88:C88"/>
    <mergeCell ref="B89:C89"/>
    <mergeCell ref="B90:C90"/>
    <mergeCell ref="B91:C9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22:C122"/>
    <mergeCell ref="B123:C123"/>
    <mergeCell ref="B124:C124"/>
    <mergeCell ref="B125:C125"/>
    <mergeCell ref="B117:C117"/>
    <mergeCell ref="B118:C118"/>
    <mergeCell ref="B119:C119"/>
    <mergeCell ref="B120:C120"/>
    <mergeCell ref="B121:C121"/>
  </mergeCells>
  <printOptions horizontalCentered="1"/>
  <pageMargins left="0.34722222222222221" right="0.34722222222222221" top="0.3888888888888889" bottom="0.3888888888888889" header="0.16666666666666666" footer="0.16666666666666666"/>
  <pageSetup paperSize="9" scale="76" orientation="portrait" r:id="rId1"/>
  <headerFooter>
    <oddFooter>&amp;RHal &amp;P dari &amp;N&amp;L&amp;Z&amp;F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02FC-C5B1-4CF2-9444-5C8F1D0218CB}">
  <sheetPr>
    <tabColor rgb="FF1F3864"/>
    <pageSetUpPr fitToPage="1"/>
  </sheetPr>
  <dimension ref="A1:O150"/>
  <sheetViews>
    <sheetView showGridLines="0" showRowColHeaders="0" topLeftCell="A4" zoomScale="80" zoomScaleNormal="80" workbookViewId="0">
      <selection activeCell="B46" sqref="B46:C125"/>
    </sheetView>
  </sheetViews>
  <sheetFormatPr defaultRowHeight="14.25" outlineLevelRow="2" x14ac:dyDescent="0.45"/>
  <cols>
    <col min="1" max="1" width="5" customWidth="1"/>
    <col min="2" max="2" width="19.53125" customWidth="1"/>
    <col min="3" max="3" width="13.33203125" customWidth="1"/>
    <col min="4" max="4" width="11" customWidth="1"/>
    <col min="5" max="5" width="6.73046875" customWidth="1"/>
    <col min="6" max="9" width="10.33203125" customWidth="1"/>
    <col min="10" max="10" width="14.19921875" customWidth="1"/>
    <col min="11" max="11" width="16.33203125" customWidth="1"/>
  </cols>
  <sheetData>
    <row r="1" spans="1:15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2"/>
      <c r="M1" s="2"/>
      <c r="N1" s="90" t="s">
        <v>123</v>
      </c>
      <c r="O1" s="91">
        <v>4</v>
      </c>
    </row>
    <row r="2" spans="1:15" ht="13.05" customHeight="1" x14ac:dyDescent="0.45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2"/>
      <c r="M2" s="2"/>
      <c r="N2" s="90" t="s">
        <v>124</v>
      </c>
      <c r="O2" s="92" cm="1">
        <f t="array" ref="O2">IF(IFERROR(INDEX(INPUT!$B$55:$B$58,$O$1),0)=0,"",INDEX(INPUT!$B$55:$B$58,$O$1))</f>
      </c>
    </row>
    <row r="3" spans="1:15" ht="16.05" customHeight="1" x14ac:dyDescent="0.4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93"/>
      <c r="M3" s="93"/>
      <c r="N3" s="90" t="s">
        <v>125</v>
      </c>
      <c r="O3" s="92">
        <f>IF($O$2="","",TEXT($O$2,"dddd"))</f>
      </c>
    </row>
    <row r="4" spans="1:15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90" t="s">
        <v>126</v>
      </c>
      <c r="O4" s="92">
        <f>IF($O$2="","",IF(DAY($O$2)&lt;20,VLOOKUP(DAY($O$2),HELPER!$A$3:$B$22,2,0),IF(DAY($O$2)&lt;30,TRIM("Dua Puluh "&amp;VLOOKUP(DAY($O$2)-20,HELPER!$A$3:$B$22,2,0)),TRIM("Tiga Puluh "&amp;VLOOKUP(DAY($O$2)-30,HELPER!$A$3:$B$22,2,0)))))</f>
      </c>
    </row>
    <row r="5" spans="1:15" ht="22.05" customHeight="1" x14ac:dyDescent="0.5">
      <c r="A5" s="140" t="s">
        <v>127</v>
      </c>
      <c r="B5" s="140"/>
      <c r="C5" s="125"/>
      <c r="D5" s="125"/>
      <c r="E5" s="125"/>
      <c r="F5" s="125"/>
      <c r="G5" s="125"/>
      <c r="H5" s="125"/>
      <c r="I5" s="125"/>
      <c r="J5" s="125"/>
      <c r="K5" s="125"/>
      <c r="L5" s="2"/>
      <c r="M5" s="2"/>
      <c r="N5" s="90" t="s">
        <v>128</v>
      </c>
      <c r="O5" s="92">
        <f>IF($O$2="","",TEXT($O$2,"mmmm"))</f>
      </c>
    </row>
    <row r="6" spans="1:15" ht="16.05" customHeight="1" x14ac:dyDescent="0.45">
      <c r="A6" s="161" cm="1">
        <f t="array" ref="A6">IF($O$2="","","Nomor : "&amp;INDEX(INPUT!$C$55:$C$58,$O$1))</f>
      </c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2"/>
      <c r="M6" s="2"/>
      <c r="N6" s="90" t="s">
        <v>129</v>
      </c>
      <c r="O6" s="92">
        <f>IF($O$2="","",TRIM(IF(INT(YEAR($O$2)/1000)=1,"Seribu ",IF(INT(YEAR($O$2)/1000)=0,"",IF(INT(INT(YEAR($O$2)/1000)/100)=0,"",IF(INT(INT(YEAR($O$2)/1000)/100)=1,"Seratus ",VLOOKUP(INT(INT(YEAR($O$2)/1000)/100),HELPER!$A$3:$B$22,2,0)&amp;" Ratus "))&amp;IF(MOD(INT(YEAR($O$2)/1000),100)=0,"",IF(MOD(INT(YEAR($O$2)/1000),100)&lt;20,VLOOKUP(MOD(INT(YEAR($O$2)/1000),100),HELPER!$A$3:$B$22,2,0),VLOOKUP(INT(MOD(INT(YEAR($O$2)/1000),100)/10),HELPER!$A$3:$B$22,2,0)&amp;" Puluh "&amp;IF(MOD(INT(YEAR($O$2)/1000),10)=0,"",VLOOKUP(MOD(INT(YEAR($O$2)/1000),10),HELPER!$A$3:$B$22,2,0)))))&amp;" Ribu ")&amp;IF(MOD(YEAR($O$2),1000)=0,"",IF(INT(MOD(YEAR($O$2),1000)/100)=0,"",IF(INT(MOD(YEAR($O$2),1000)/100)=1,"Seratus ",VLOOKUP(INT(MOD(YEAR($O$2),1000)/100),HELPER!$A$3:$B$22,2,0)&amp;" Ratus "))&amp;IF(MOD(MOD(YEAR($O$2),1000),100)=0,"",IF(MOD(MOD(YEAR($O$2),1000),100)&lt;20,VLOOKUP(MOD(MOD(YEAR($O$2),1000),100),HELPER!$A$3:$B$22,2,0),VLOOKUP(INT(MOD(MOD(YEAR($O$2),1000),100)/10),HELPER!$A$3:$B$22,2,0)&amp;" Puluh "&amp;IF(MOD(MOD(YEAR($O$2),1000),10)=0,"",VLOOKUP(MOD(MOD(YEAR($O$2),1000),10),HELPER!$A$3:$B$22,2,0)))))))</f>
      </c>
    </row>
    <row r="7" spans="1:15" ht="13.05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90" t="s">
        <v>130</v>
      </c>
      <c r="O7" s="92">
        <f>IF($O$2="","","Pada hari ini "&amp;$O$3&amp;", tanggal "&amp;$O$4&amp;" bulan "&amp;$O$5&amp;" tahun "&amp;$O$6&amp;" ("&amp;TEXT($O$2,"dd/mm/yyyy")&amp;")")</f>
      </c>
    </row>
    <row r="8" spans="1:15" ht="13.05" customHeight="1" x14ac:dyDescent="0.45">
      <c r="A8" s="153">
        <f>IF($O$7="","",$O$7&amp;", telah diterima alat :")</f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2"/>
      <c r="M8" s="2"/>
      <c r="N8" s="90"/>
      <c r="O8" s="92"/>
    </row>
    <row r="9" spans="1:15" ht="13.0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2"/>
      <c r="M9" s="2"/>
      <c r="N9" s="90" t="s">
        <v>131</v>
      </c>
      <c r="O9" s="92">
        <f>$K$135</f>
      </c>
    </row>
    <row r="10" spans="1:15" ht="13.05" customHeight="1" x14ac:dyDescent="0.45">
      <c r="A10" s="3" t="s">
        <v>132</v>
      </c>
      <c r="B10" s="25" t="s">
        <v>133</v>
      </c>
      <c r="C10" s="130">
        <f>": "&amp;UPPER(INPUT!$B$24)</f>
      </c>
      <c r="D10" s="121"/>
      <c r="E10" s="121"/>
      <c r="F10" s="121"/>
      <c r="G10" s="121"/>
      <c r="H10" s="121"/>
      <c r="I10" s="121"/>
      <c r="J10" s="121"/>
      <c r="K10" s="121"/>
      <c r="L10" s="2"/>
      <c r="M10" s="2"/>
      <c r="N10" s="90" t="s">
        <v>134</v>
      </c>
      <c r="O10" s="92">
        <f>INT(ROUND($O$9,0)/1000000000)</f>
      </c>
    </row>
    <row r="11" spans="1:15" ht="13.05" customHeight="1" x14ac:dyDescent="0.45">
      <c r="A11" s="3"/>
      <c r="B11" s="3"/>
      <c r="C11" s="130">
        <f>"Sebagai Pihak Kedua"</f>
      </c>
      <c r="D11" s="121"/>
      <c r="E11" s="121"/>
      <c r="F11" s="121"/>
      <c r="G11" s="121"/>
      <c r="H11" s="121"/>
      <c r="I11" s="121"/>
      <c r="J11" s="121"/>
      <c r="K11" s="121"/>
      <c r="L11" s="2"/>
      <c r="M11" s="2"/>
      <c r="N11" s="90" t="s">
        <v>135</v>
      </c>
      <c r="O11" s="92">
        <f>MOD(INT(ROUND($O$9,0)/1000000),1000)</f>
      </c>
    </row>
    <row r="12" spans="1:15" ht="24" customHeight="1" x14ac:dyDescent="0.45">
      <c r="A12" s="24" t="s">
        <v>136</v>
      </c>
      <c r="B12" s="51" t="s">
        <v>137</v>
      </c>
      <c r="C12" s="130">
        <f>": "&amp;UPPER(INPUT!$B$6)&amp;" Proyek Pekerjaan "&amp;INPUT!$B$5</f>
      </c>
      <c r="D12" s="121"/>
      <c r="E12" s="121"/>
      <c r="F12" s="121"/>
      <c r="G12" s="121"/>
      <c r="H12" s="121"/>
      <c r="I12" s="121"/>
      <c r="J12" s="121"/>
      <c r="K12" s="121"/>
      <c r="L12" s="2"/>
      <c r="M12" s="2"/>
      <c r="N12" s="90" t="s">
        <v>138</v>
      </c>
      <c r="O12" s="92">
        <f>MOD(INT(ROUND($O$9,0)/1000),1000)</f>
      </c>
    </row>
    <row r="13" spans="1:15" ht="13.05" customHeight="1" x14ac:dyDescent="0.45">
      <c r="A13" s="3"/>
      <c r="B13" s="3"/>
      <c r="C13" s="130">
        <f>"Sebagai Pihak Pertama"</f>
      </c>
      <c r="D13" s="121"/>
      <c r="E13" s="121"/>
      <c r="F13" s="121"/>
      <c r="G13" s="121"/>
      <c r="H13" s="121"/>
      <c r="I13" s="121"/>
      <c r="J13" s="121"/>
      <c r="K13" s="121"/>
      <c r="L13" s="2"/>
      <c r="M13" s="2"/>
      <c r="N13" s="90" t="s">
        <v>139</v>
      </c>
      <c r="O13" s="92">
        <f>MOD(ROUND($O$9,0),1000)</f>
      </c>
    </row>
    <row r="14" spans="1:15" ht="13.0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2"/>
      <c r="M14" s="2"/>
      <c r="N14" s="90" t="s">
        <v>105</v>
      </c>
      <c r="O14" s="92">
        <f>IF(ROUND($O$9,0)=0,"== Nol Rupiah ==","== "&amp;TRIM(IF($O$10=0,"",IF($O$10=0,"",IF(INT($O$10/100)=0,"",IF(INT($O$10/100)=1,"Seratus ",VLOOKUP(INT($O$10/100),HELPER!$A$3:$B$22,2,0)&amp;" Ratus "))&amp;IF(MOD($O$10,100)=0,"",IF(MOD($O$10,100)&lt;20,VLOOKUP(MOD($O$10,100),HELPER!$A$3:$B$22,2,0),VLOOKUP(INT(MOD($O$10,100)/10),HELPER!$A$3:$B$22,2,0)&amp;" Puluh "&amp;IF(MOD($O$10,10)=0,"",VLOOKUP(MOD($O$10,10),HELPER!$A$3:$B$22,2,0)))))&amp;" Miliar ")&amp;IF($O$11=0,"",IF($O$11=1,"Satu Juta ",IF($O$11=0,"",IF(INT($O$11/100)=0,"",IF(INT($O$11/100)=1,"Seratus ",VLOOKUP(INT($O$11/100),HELPER!$A$3:$B$22,2,0)&amp;" Ratus "))&amp;IF(MOD($O$11,100)=0,"",IF(MOD($O$11,100)&lt;20,VLOOKUP(MOD($O$11,100),HELPER!$A$3:$B$22,2,0),VLOOKUP(INT(MOD($O$11,100)/10),HELPER!$A$3:$B$22,2,0)&amp;" Puluh "&amp;IF(MOD($O$11,10)=0,"",VLOOKUP(MOD($O$11,10),HELPER!$A$3:$B$22,2,0)))))&amp;" Juta "))&amp;IF($O$12=0,"",IF($O$12=1,"Seribu ",IF($O$12=0,"",IF(INT($O$12/100)=0,"",IF(INT($O$12/100)=1,"Seratus ",VLOOKUP(INT($O$12/100),HELPER!$A$3:$B$22,2,0)&amp;" Ratus "))&amp;IF(MOD($O$12,100)=0,"",IF(MOD($O$12,100)&lt;20,VLOOKUP(MOD($O$12,100),HELPER!$A$3:$B$22,2,0),VLOOKUP(INT(MOD($O$12,100)/10),HELPER!$A$3:$B$22,2,0)&amp;" Puluh "&amp;IF(MOD($O$12,10)=0,"",VLOOKUP(MOD($O$12,10),HELPER!$A$3:$B$22,2,0)))))&amp;" Ribu "))&amp;IF($O$13=0,"",IF(INT($O$13/100)=0,"",IF(INT($O$13/100)=1,"Seratus ",VLOOKUP(INT($O$13/100),HELPER!$A$3:$B$22,2,0)&amp;" Ratus "))&amp;IF(MOD($O$13,100)=0,"",IF(MOD($O$13,100)&lt;20,VLOOKUP(MOD($O$13,100),HELPER!$A$3:$B$22,2,0),VLOOKUP(INT(MOD($O$13,100)/10),HELPER!$A$3:$B$22,2,0)&amp;" Puluh "&amp;IF(MOD($O$13,10)=0,"",VLOOKUP(MOD($O$13,10),HELPER!$A$3:$B$22,2,0))))))&amp;" Rupiah ==")</f>
      </c>
    </row>
    <row r="15" spans="1:15" ht="13.05" customHeight="1" x14ac:dyDescent="0.45">
      <c r="A15" s="153" t="s">
        <v>140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2"/>
      <c r="M15" s="2"/>
      <c r="N15" s="2"/>
      <c r="O15" s="2"/>
    </row>
    <row r="16" spans="1:15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</row>
    <row r="17" spans="1:15" ht="13.05" customHeight="1" x14ac:dyDescent="0.45">
      <c r="A17" s="26">
        <v>1</v>
      </c>
      <c r="B17" s="52" t="s">
        <v>141</v>
      </c>
      <c r="C17" s="130">
        <f>": "&amp;INPUT!$B$35&amp;"     Tanggal : "&amp;TEXT(INPUT!$B$36,"dd mmmm yyyy")</f>
      </c>
      <c r="D17" s="121"/>
      <c r="E17" s="121"/>
      <c r="F17" s="121"/>
      <c r="G17" s="121"/>
      <c r="H17" s="121"/>
      <c r="I17" s="121"/>
      <c r="J17" s="121"/>
      <c r="K17" s="121"/>
      <c r="L17" s="2"/>
      <c r="M17" s="2"/>
      <c r="N17" s="2"/>
      <c r="O17" s="2"/>
    </row>
    <row r="18" spans="1:15" ht="13.05" customHeight="1" x14ac:dyDescent="0.45">
      <c r="A18" s="26">
        <v>2</v>
      </c>
      <c r="B18" s="52" t="s">
        <v>142</v>
      </c>
      <c r="C18" s="130">
        <f>": Rp "&amp;HELPER!$I$28&amp;" (Exclude PPN)"</f>
      </c>
      <c r="D18" s="121"/>
      <c r="E18" s="121"/>
      <c r="F18" s="121"/>
      <c r="G18" s="121"/>
      <c r="H18" s="121"/>
      <c r="I18" s="121"/>
      <c r="J18" s="121"/>
      <c r="K18" s="121"/>
      <c r="L18" s="2"/>
      <c r="M18" s="2"/>
      <c r="N18" s="2"/>
      <c r="O18" s="2"/>
    </row>
    <row r="19" spans="1:15" ht="13.05" customHeight="1" x14ac:dyDescent="0.45">
      <c r="A19" s="26">
        <v>3</v>
      </c>
      <c r="B19" s="52" t="s">
        <v>143</v>
      </c>
      <c r="C19" s="130">
        <f>": "&amp;TEXT(INPUT!$B$36,"dd mmmm yyyy")&amp;" s/d "&amp;TEXT(INPUT!$B$37,"dd mmmm yyyy")</f>
      </c>
      <c r="D19" s="121"/>
      <c r="E19" s="121"/>
      <c r="F19" s="121"/>
      <c r="G19" s="121"/>
      <c r="H19" s="121"/>
      <c r="I19" s="121"/>
      <c r="J19" s="121"/>
      <c r="K19" s="121"/>
      <c r="L19" s="2"/>
      <c r="M19" s="2"/>
      <c r="N19" s="2"/>
      <c r="O19" s="2"/>
    </row>
    <row r="20" spans="1:15" ht="13.05" customHeight="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2"/>
      <c r="M20" s="2"/>
      <c r="N20" s="2"/>
      <c r="O20" s="2"/>
    </row>
    <row r="21" spans="1:15" ht="13.05" customHeight="1" x14ac:dyDescent="0.45">
      <c r="A21" s="153" t="s">
        <v>144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2"/>
      <c r="M21" s="2"/>
      <c r="N21" s="2"/>
      <c r="O21" s="2"/>
    </row>
    <row r="22" spans="1:15" ht="13.05" customHeight="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2"/>
      <c r="M22" s="2"/>
      <c r="N22" s="2"/>
      <c r="O22" s="2"/>
    </row>
    <row r="23" spans="1:15" ht="26" customHeight="1" x14ac:dyDescent="0.45">
      <c r="A23" s="155" t="s">
        <v>73</v>
      </c>
      <c r="B23" s="144" t="s">
        <v>145</v>
      </c>
      <c r="C23" s="145"/>
      <c r="D23" s="155" t="s">
        <v>76</v>
      </c>
      <c r="E23" s="155" t="s">
        <v>146</v>
      </c>
      <c r="F23" s="154" t="s">
        <v>147</v>
      </c>
      <c r="G23" s="154"/>
      <c r="H23" s="154"/>
      <c r="I23" s="154"/>
      <c r="J23" s="155" t="s">
        <v>148</v>
      </c>
      <c r="K23" s="155" t="s">
        <v>78</v>
      </c>
      <c r="L23" s="2"/>
      <c r="M23" s="2"/>
      <c r="N23" s="2"/>
      <c r="O23" s="2"/>
    </row>
    <row r="24" spans="1:15" ht="24" customHeight="1" x14ac:dyDescent="0.45">
      <c r="A24" s="156"/>
      <c r="B24" s="157"/>
      <c r="C24" s="158"/>
      <c r="D24" s="156"/>
      <c r="E24" s="156"/>
      <c r="F24" s="12" t="s">
        <v>149</v>
      </c>
      <c r="G24" s="12" t="s">
        <v>150</v>
      </c>
      <c r="H24" s="12" t="s">
        <v>151</v>
      </c>
      <c r="I24" s="12" t="s">
        <v>152</v>
      </c>
      <c r="J24" s="156"/>
      <c r="K24" s="156"/>
      <c r="L24" s="2"/>
      <c r="M24" s="2"/>
      <c r="N24" s="2"/>
      <c r="O24" s="2"/>
    </row>
    <row r="25" spans="1:15" ht="12" customHeight="1" x14ac:dyDescent="0.45">
      <c r="A25" s="21">
        <v>1</v>
      </c>
      <c r="B25" s="163">
        <v>2</v>
      </c>
      <c r="C25" s="164"/>
      <c r="D25" s="21">
        <v>3</v>
      </c>
      <c r="E25" s="21">
        <v>4</v>
      </c>
      <c r="F25" s="21">
        <v>5</v>
      </c>
      <c r="G25" s="21">
        <v>6</v>
      </c>
      <c r="H25" s="21" t="s">
        <v>153</v>
      </c>
      <c r="I25" s="21" t="s">
        <v>154</v>
      </c>
      <c r="J25" s="21">
        <v>9</v>
      </c>
      <c r="K25" s="21" t="s">
        <v>155</v>
      </c>
      <c r="L25" s="2"/>
      <c r="M25" s="2"/>
      <c r="N25" s="2"/>
      <c r="O25" s="2"/>
    </row>
    <row r="26" spans="1:15" ht="13.05" customHeight="1" x14ac:dyDescent="0.45">
      <c r="A26" s="4">
        <f>IF(ITEM!$B4="","",ITEM!$A4)</f>
      </c>
      <c r="B26" s="118">
        <f>IF(ITEM!$B4="","",ITEM!$B4)</f>
      </c>
      <c r="C26" s="119"/>
      <c r="D26" s="13">
        <f>IF(ITEM!$B4="","",ITEM!$D4)</f>
      </c>
      <c r="E26" s="5">
        <f>IF(ITEM!$B4="","",ITEM!$C4)</f>
      </c>
      <c r="F26" s="13" cm="1">
        <f t="array" ref="F26">IF(ITEM!$B4="","",SUMPRODUCT((COLUMN(ITEM!$G4:$J4)-COLUMN(ITEM!$G4)+1&lt;$O$1)*ITEM!$G4:$J4))</f>
      </c>
      <c r="G26" s="13" cm="1">
        <f t="array" ref="G26">IF(ITEM!$B4="","",INDEX(ITEM!$G4:$J4,1,$O$1))</f>
      </c>
      <c r="H26" s="13">
        <f>IF(ITEM!$B4="","",$F26+$G26)</f>
      </c>
      <c r="I26" s="13">
        <f>IF(ITEM!$B4="","",$D26-$H26)</f>
      </c>
      <c r="J26" s="6">
        <f>IF(ITEM!$B4="","",ITEM!$E4)</f>
      </c>
      <c r="K26" s="6">
        <f>IF(ITEM!$B4="","",$G26*$J26)</f>
      </c>
      <c r="L26" s="2"/>
      <c r="M26" s="2"/>
      <c r="N26" s="2"/>
      <c r="O26" s="2"/>
    </row>
    <row r="27" spans="1:15" ht="13.05" customHeight="1" x14ac:dyDescent="0.45">
      <c r="A27" s="4">
        <f>IF(ITEM!$B5="","",ITEM!$A5)</f>
      </c>
      <c r="B27" s="118">
        <f>IF(ITEM!$B5="","",ITEM!$B5)</f>
      </c>
      <c r="C27" s="119"/>
      <c r="D27" s="13">
        <f>IF(ITEM!$B5="","",ITEM!$D5)</f>
      </c>
      <c r="E27" s="5">
        <f>IF(ITEM!$B5="","",ITEM!$C5)</f>
      </c>
      <c r="F27" s="13" cm="1">
        <f t="array" ref="F27">IF(ITEM!$B5="","",SUMPRODUCT((COLUMN(ITEM!$G5:$J5)-COLUMN(ITEM!$G5)+1&lt;$O$1)*ITEM!$G5:$J5))</f>
      </c>
      <c r="G27" s="13" cm="1">
        <f t="array" ref="G27">IF(ITEM!$B5="","",INDEX(ITEM!$G5:$J5,1,$O$1))</f>
      </c>
      <c r="H27" s="13">
        <f>IF(ITEM!$B5="","",$F27+$G27)</f>
      </c>
      <c r="I27" s="13">
        <f>IF(ITEM!$B5="","",$D27-$H27)</f>
      </c>
      <c r="J27" s="6">
        <f>IF(ITEM!$B5="","",ITEM!$E5)</f>
      </c>
      <c r="K27" s="6">
        <f>IF(ITEM!$B5="","",$G27*$J27)</f>
      </c>
      <c r="L27" s="2"/>
      <c r="M27" s="2"/>
      <c r="N27" s="2"/>
      <c r="O27" s="2"/>
    </row>
    <row r="28" spans="1:15" ht="13.05" customHeight="1" x14ac:dyDescent="0.45">
      <c r="A28" s="4">
        <f>IF(ITEM!$B6="","",ITEM!$A6)</f>
      </c>
      <c r="B28" s="118">
        <f>IF(ITEM!$B6="","",ITEM!$B6)</f>
      </c>
      <c r="C28" s="119"/>
      <c r="D28" s="13">
        <f>IF(ITEM!$B6="","",ITEM!$D6)</f>
      </c>
      <c r="E28" s="5">
        <f>IF(ITEM!$B6="","",ITEM!$C6)</f>
      </c>
      <c r="F28" s="13" cm="1">
        <f t="array" ref="F28">IF(ITEM!$B6="","",SUMPRODUCT((COLUMN(ITEM!$G6:$J6)-COLUMN(ITEM!$G6)+1&lt;$O$1)*ITEM!$G6:$J6))</f>
      </c>
      <c r="G28" s="13" cm="1">
        <f t="array" ref="G28">IF(ITEM!$B6="","",INDEX(ITEM!$G6:$J6,1,$O$1))</f>
      </c>
      <c r="H28" s="13">
        <f>IF(ITEM!$B6="","",$F28+$G28)</f>
      </c>
      <c r="I28" s="13">
        <f>IF(ITEM!$B6="","",$D28-$H28)</f>
      </c>
      <c r="J28" s="6">
        <f>IF(ITEM!$B6="","",ITEM!$E6)</f>
      </c>
      <c r="K28" s="6">
        <f>IF(ITEM!$B6="","",$G28*$J28)</f>
      </c>
      <c r="L28" s="2"/>
      <c r="M28" s="2"/>
      <c r="N28" s="2"/>
      <c r="O28" s="2"/>
    </row>
    <row r="29" spans="1:15" ht="13.05" customHeight="1" x14ac:dyDescent="0.45">
      <c r="A29" s="4">
        <f>IF(ITEM!$B7="","",ITEM!$A7)</f>
      </c>
      <c r="B29" s="118">
        <f>IF(ITEM!$B7="","",ITEM!$B7)</f>
      </c>
      <c r="C29" s="119"/>
      <c r="D29" s="13">
        <f>IF(ITEM!$B7="","",ITEM!$D7)</f>
      </c>
      <c r="E29" s="5">
        <f>IF(ITEM!$B7="","",ITEM!$C7)</f>
      </c>
      <c r="F29" s="13" cm="1">
        <f t="array" ref="F29">IF(ITEM!$B7="","",SUMPRODUCT((COLUMN(ITEM!$G7:$J7)-COLUMN(ITEM!$G7)+1&lt;$O$1)*ITEM!$G7:$J7))</f>
      </c>
      <c r="G29" s="13" cm="1">
        <f t="array" ref="G29">IF(ITEM!$B7="","",INDEX(ITEM!$G7:$J7,1,$O$1))</f>
      </c>
      <c r="H29" s="13">
        <f>IF(ITEM!$B7="","",$F29+$G29)</f>
      </c>
      <c r="I29" s="13">
        <f>IF(ITEM!$B7="","",$D29-$H29)</f>
      </c>
      <c r="J29" s="6">
        <f>IF(ITEM!$B7="","",ITEM!$E7)</f>
      </c>
      <c r="K29" s="6">
        <f>IF(ITEM!$B7="","",$G29*$J29)</f>
      </c>
      <c r="L29" s="2"/>
      <c r="M29" s="2"/>
      <c r="N29" s="2"/>
      <c r="O29" s="2"/>
    </row>
    <row r="30" spans="1:15" ht="13.05" customHeight="1" x14ac:dyDescent="0.45">
      <c r="A30" s="4">
        <f>IF(ITEM!$B8="","",ITEM!$A8)</f>
      </c>
      <c r="B30" s="118">
        <f>IF(ITEM!$B8="","",ITEM!$B8)</f>
      </c>
      <c r="C30" s="119"/>
      <c r="D30" s="13">
        <f>IF(ITEM!$B8="","",ITEM!$D8)</f>
      </c>
      <c r="E30" s="5">
        <f>IF(ITEM!$B8="","",ITEM!$C8)</f>
      </c>
      <c r="F30" s="13" cm="1">
        <f t="array" ref="F30">IF(ITEM!$B8="","",SUMPRODUCT((COLUMN(ITEM!$G8:$J8)-COLUMN(ITEM!$G8)+1&lt;$O$1)*ITEM!$G8:$J8))</f>
      </c>
      <c r="G30" s="13" cm="1">
        <f t="array" ref="G30">IF(ITEM!$B8="","",INDEX(ITEM!$G8:$J8,1,$O$1))</f>
      </c>
      <c r="H30" s="13">
        <f>IF(ITEM!$B8="","",$F30+$G30)</f>
      </c>
      <c r="I30" s="13">
        <f>IF(ITEM!$B8="","",$D30-$H30)</f>
      </c>
      <c r="J30" s="6">
        <f>IF(ITEM!$B8="","",ITEM!$E8)</f>
      </c>
      <c r="K30" s="6">
        <f>IF(ITEM!$B8="","",$G30*$J30)</f>
      </c>
      <c r="L30" s="2"/>
      <c r="M30" s="2"/>
      <c r="N30" s="2"/>
      <c r="O30" s="2"/>
    </row>
    <row r="31" spans="1:15" ht="13.05" customHeight="1" x14ac:dyDescent="0.45">
      <c r="A31" s="4">
        <f>IF(ITEM!$B9="","",ITEM!$A9)</f>
      </c>
      <c r="B31" s="118">
        <f>IF(ITEM!$B9="","",ITEM!$B9)</f>
      </c>
      <c r="C31" s="119"/>
      <c r="D31" s="13">
        <f>IF(ITEM!$B9="","",ITEM!$D9)</f>
      </c>
      <c r="E31" s="5">
        <f>IF(ITEM!$B9="","",ITEM!$C9)</f>
      </c>
      <c r="F31" s="13" cm="1">
        <f t="array" ref="F31">IF(ITEM!$B9="","",SUMPRODUCT((COLUMN(ITEM!$G9:$J9)-COLUMN(ITEM!$G9)+1&lt;$O$1)*ITEM!$G9:$J9))</f>
      </c>
      <c r="G31" s="13" cm="1">
        <f t="array" ref="G31">IF(ITEM!$B9="","",INDEX(ITEM!$G9:$J9,1,$O$1))</f>
      </c>
      <c r="H31" s="13">
        <f>IF(ITEM!$B9="","",$F31+$G31)</f>
      </c>
      <c r="I31" s="13">
        <f>IF(ITEM!$B9="","",$D31-$H31)</f>
      </c>
      <c r="J31" s="6">
        <f>IF(ITEM!$B9="","",ITEM!$E9)</f>
      </c>
      <c r="K31" s="6">
        <f>IF(ITEM!$B9="","",$G31*$J31)</f>
      </c>
      <c r="L31" s="2"/>
      <c r="M31" s="2"/>
      <c r="N31" s="2"/>
      <c r="O31" s="2"/>
    </row>
    <row r="32" spans="1:15" ht="13.05" customHeight="1" x14ac:dyDescent="0.45">
      <c r="A32" s="4">
        <f>IF(ITEM!$B10="","",ITEM!$A10)</f>
      </c>
      <c r="B32" s="118">
        <f>IF(ITEM!$B10="","",ITEM!$B10)</f>
      </c>
      <c r="C32" s="119"/>
      <c r="D32" s="13">
        <f>IF(ITEM!$B10="","",ITEM!$D10)</f>
      </c>
      <c r="E32" s="5">
        <f>IF(ITEM!$B10="","",ITEM!$C10)</f>
      </c>
      <c r="F32" s="13" cm="1">
        <f t="array" ref="F32">IF(ITEM!$B10="","",SUMPRODUCT((COLUMN(ITEM!$G10:$J10)-COLUMN(ITEM!$G10)+1&lt;$O$1)*ITEM!$G10:$J10))</f>
      </c>
      <c r="G32" s="13" cm="1">
        <f t="array" ref="G32">IF(ITEM!$B10="","",INDEX(ITEM!$G10:$J10,1,$O$1))</f>
      </c>
      <c r="H32" s="13">
        <f>IF(ITEM!$B10="","",$F32+$G32)</f>
      </c>
      <c r="I32" s="13">
        <f>IF(ITEM!$B10="","",$D32-$H32)</f>
      </c>
      <c r="J32" s="6">
        <f>IF(ITEM!$B10="","",ITEM!$E10)</f>
      </c>
      <c r="K32" s="6">
        <f>IF(ITEM!$B10="","",$G32*$J32)</f>
      </c>
      <c r="L32" s="2"/>
      <c r="M32" s="2"/>
      <c r="N32" s="2"/>
      <c r="O32" s="2"/>
    </row>
    <row r="33" spans="1:15" ht="13.05" customHeight="1" x14ac:dyDescent="0.45">
      <c r="A33" s="4">
        <f>IF(ITEM!$B11="","",ITEM!$A11)</f>
      </c>
      <c r="B33" s="118">
        <f>IF(ITEM!$B11="","",ITEM!$B11)</f>
      </c>
      <c r="C33" s="119"/>
      <c r="D33" s="13">
        <f>IF(ITEM!$B11="","",ITEM!$D11)</f>
      </c>
      <c r="E33" s="5">
        <f>IF(ITEM!$B11="","",ITEM!$C11)</f>
      </c>
      <c r="F33" s="13" cm="1">
        <f t="array" ref="F33">IF(ITEM!$B11="","",SUMPRODUCT((COLUMN(ITEM!$G11:$J11)-COLUMN(ITEM!$G11)+1&lt;$O$1)*ITEM!$G11:$J11))</f>
      </c>
      <c r="G33" s="13" cm="1">
        <f t="array" ref="G33">IF(ITEM!$B11="","",INDEX(ITEM!$G11:$J11,1,$O$1))</f>
      </c>
      <c r="H33" s="13">
        <f>IF(ITEM!$B11="","",$F33+$G33)</f>
      </c>
      <c r="I33" s="13">
        <f>IF(ITEM!$B11="","",$D33-$H33)</f>
      </c>
      <c r="J33" s="6">
        <f>IF(ITEM!$B11="","",ITEM!$E11)</f>
      </c>
      <c r="K33" s="6">
        <f>IF(ITEM!$B11="","",$G33*$J33)</f>
      </c>
      <c r="L33" s="2"/>
      <c r="M33" s="2"/>
      <c r="N33" s="2"/>
      <c r="O33" s="2"/>
    </row>
    <row r="34" spans="1:15" ht="13.05" customHeight="1" outlineLevel="1" x14ac:dyDescent="0.45">
      <c r="A34" s="4">
        <f>IF(ITEM!$B12="","",ITEM!$A12)</f>
      </c>
      <c r="B34" s="118">
        <f>IF(ITEM!$B12="","",ITEM!$B12)</f>
      </c>
      <c r="C34" s="119"/>
      <c r="D34" s="13">
        <f>IF(ITEM!$B12="","",ITEM!$D12)</f>
      </c>
      <c r="E34" s="5">
        <f>IF(ITEM!$B12="","",ITEM!$C12)</f>
      </c>
      <c r="F34" s="13" cm="1">
        <f t="array" ref="F34">IF(ITEM!$B12="","",SUMPRODUCT((COLUMN(ITEM!$G12:$J12)-COLUMN(ITEM!$G12)+1&lt;$O$1)*ITEM!$G12:$J12))</f>
      </c>
      <c r="G34" s="13" cm="1">
        <f t="array" ref="G34">IF(ITEM!$B12="","",INDEX(ITEM!$G12:$J12,1,$O$1))</f>
      </c>
      <c r="H34" s="13">
        <f>IF(ITEM!$B12="","",$F34+$G34)</f>
      </c>
      <c r="I34" s="13">
        <f>IF(ITEM!$B12="","",$D34-$H34)</f>
      </c>
      <c r="J34" s="6">
        <f>IF(ITEM!$B12="","",ITEM!$E12)</f>
      </c>
      <c r="K34" s="6">
        <f>IF(ITEM!$B12="","",$G34*$J34)</f>
      </c>
      <c r="L34" s="2"/>
      <c r="M34" s="2"/>
      <c r="N34" s="2"/>
      <c r="O34" s="2"/>
    </row>
    <row r="35" spans="1:15" ht="13.05" customHeight="1" outlineLevel="1" x14ac:dyDescent="0.45">
      <c r="A35" s="4">
        <f>IF(ITEM!$B13="","",ITEM!$A13)</f>
      </c>
      <c r="B35" s="118">
        <f>IF(ITEM!$B13="","",ITEM!$B13)</f>
      </c>
      <c r="C35" s="119"/>
      <c r="D35" s="13">
        <f>IF(ITEM!$B13="","",ITEM!$D13)</f>
      </c>
      <c r="E35" s="5">
        <f>IF(ITEM!$B13="","",ITEM!$C13)</f>
      </c>
      <c r="F35" s="13" cm="1">
        <f t="array" ref="F35">IF(ITEM!$B13="","",SUMPRODUCT((COLUMN(ITEM!$G13:$J13)-COLUMN(ITEM!$G13)+1&lt;$O$1)*ITEM!$G13:$J13))</f>
      </c>
      <c r="G35" s="13" cm="1">
        <f t="array" ref="G35">IF(ITEM!$B13="","",INDEX(ITEM!$G13:$J13,1,$O$1))</f>
      </c>
      <c r="H35" s="13">
        <f>IF(ITEM!$B13="","",$F35+$G35)</f>
      </c>
      <c r="I35" s="13">
        <f>IF(ITEM!$B13="","",$D35-$H35)</f>
      </c>
      <c r="J35" s="6">
        <f>IF(ITEM!$B13="","",ITEM!$E13)</f>
      </c>
      <c r="K35" s="6">
        <f>IF(ITEM!$B13="","",$G35*$J35)</f>
      </c>
      <c r="L35" s="2"/>
      <c r="M35" s="2"/>
      <c r="N35" s="2"/>
      <c r="O35" s="2"/>
    </row>
    <row r="36" spans="1:15" ht="13.05" customHeight="1" outlineLevel="1" x14ac:dyDescent="0.45">
      <c r="A36" s="4">
        <f>IF(ITEM!$B14="","",ITEM!$A14)</f>
      </c>
      <c r="B36" s="118">
        <f>IF(ITEM!$B14="","",ITEM!$B14)</f>
      </c>
      <c r="C36" s="119"/>
      <c r="D36" s="13">
        <f>IF(ITEM!$B14="","",ITEM!$D14)</f>
      </c>
      <c r="E36" s="5">
        <f>IF(ITEM!$B14="","",ITEM!$C14)</f>
      </c>
      <c r="F36" s="13" cm="1">
        <f t="array" ref="F36">IF(ITEM!$B14="","",SUMPRODUCT((COLUMN(ITEM!$G14:$J14)-COLUMN(ITEM!$G14)+1&lt;$O$1)*ITEM!$G14:$J14))</f>
      </c>
      <c r="G36" s="13" cm="1">
        <f t="array" ref="G36">IF(ITEM!$B14="","",INDEX(ITEM!$G14:$J14,1,$O$1))</f>
      </c>
      <c r="H36" s="13">
        <f>IF(ITEM!$B14="","",$F36+$G36)</f>
      </c>
      <c r="I36" s="13">
        <f>IF(ITEM!$B14="","",$D36-$H36)</f>
      </c>
      <c r="J36" s="6">
        <f>IF(ITEM!$B14="","",ITEM!$E14)</f>
      </c>
      <c r="K36" s="6">
        <f>IF(ITEM!$B14="","",$G36*$J36)</f>
      </c>
      <c r="L36" s="2"/>
      <c r="M36" s="2"/>
      <c r="N36" s="2"/>
      <c r="O36" s="2"/>
    </row>
    <row r="37" spans="1:15" ht="13.05" customHeight="1" outlineLevel="1" x14ac:dyDescent="0.45">
      <c r="A37" s="4">
        <f>IF(ITEM!$B15="","",ITEM!$A15)</f>
      </c>
      <c r="B37" s="118">
        <f>IF(ITEM!$B15="","",ITEM!$B15)</f>
      </c>
      <c r="C37" s="119"/>
      <c r="D37" s="13">
        <f>IF(ITEM!$B15="","",ITEM!$D15)</f>
      </c>
      <c r="E37" s="5">
        <f>IF(ITEM!$B15="","",ITEM!$C15)</f>
      </c>
      <c r="F37" s="13" cm="1">
        <f t="array" ref="F37">IF(ITEM!$B15="","",SUMPRODUCT((COLUMN(ITEM!$G15:$J15)-COLUMN(ITEM!$G15)+1&lt;$O$1)*ITEM!$G15:$J15))</f>
      </c>
      <c r="G37" s="13" cm="1">
        <f t="array" ref="G37">IF(ITEM!$B15="","",INDEX(ITEM!$G15:$J15,1,$O$1))</f>
      </c>
      <c r="H37" s="13">
        <f>IF(ITEM!$B15="","",$F37+$G37)</f>
      </c>
      <c r="I37" s="13">
        <f>IF(ITEM!$B15="","",$D37-$H37)</f>
      </c>
      <c r="J37" s="6">
        <f>IF(ITEM!$B15="","",ITEM!$E15)</f>
      </c>
      <c r="K37" s="6">
        <f>IF(ITEM!$B15="","",$G37*$J37)</f>
      </c>
      <c r="L37" s="2"/>
      <c r="M37" s="2"/>
      <c r="N37" s="2"/>
      <c r="O37" s="2"/>
    </row>
    <row r="38" spans="1:15" ht="13.05" customHeight="1" outlineLevel="1" x14ac:dyDescent="0.45">
      <c r="A38" s="4">
        <f>IF(ITEM!$B16="","",ITEM!$A16)</f>
      </c>
      <c r="B38" s="118">
        <f>IF(ITEM!$B16="","",ITEM!$B16)</f>
      </c>
      <c r="C38" s="119"/>
      <c r="D38" s="13">
        <f>IF(ITEM!$B16="","",ITEM!$D16)</f>
      </c>
      <c r="E38" s="5">
        <f>IF(ITEM!$B16="","",ITEM!$C16)</f>
      </c>
      <c r="F38" s="13" cm="1">
        <f t="array" ref="F38">IF(ITEM!$B16="","",SUMPRODUCT((COLUMN(ITEM!$G16:$J16)-COLUMN(ITEM!$G16)+1&lt;$O$1)*ITEM!$G16:$J16))</f>
      </c>
      <c r="G38" s="13" cm="1">
        <f t="array" ref="G38">IF(ITEM!$B16="","",INDEX(ITEM!$G16:$J16,1,$O$1))</f>
      </c>
      <c r="H38" s="13">
        <f>IF(ITEM!$B16="","",$F38+$G38)</f>
      </c>
      <c r="I38" s="13">
        <f>IF(ITEM!$B16="","",$D38-$H38)</f>
      </c>
      <c r="J38" s="6">
        <f>IF(ITEM!$B16="","",ITEM!$E16)</f>
      </c>
      <c r="K38" s="6">
        <f>IF(ITEM!$B16="","",$G38*$J38)</f>
      </c>
      <c r="L38" s="2"/>
      <c r="M38" s="2"/>
      <c r="N38" s="2"/>
      <c r="O38" s="2"/>
    </row>
    <row r="39" spans="1:15" ht="13.05" customHeight="1" outlineLevel="1" x14ac:dyDescent="0.45">
      <c r="A39" s="4">
        <f>IF(ITEM!$B17="","",ITEM!$A17)</f>
      </c>
      <c r="B39" s="118">
        <f>IF(ITEM!$B17="","",ITEM!$B17)</f>
      </c>
      <c r="C39" s="119"/>
      <c r="D39" s="13">
        <f>IF(ITEM!$B17="","",ITEM!$D17)</f>
      </c>
      <c r="E39" s="5">
        <f>IF(ITEM!$B17="","",ITEM!$C17)</f>
      </c>
      <c r="F39" s="13" cm="1">
        <f t="array" ref="F39">IF(ITEM!$B17="","",SUMPRODUCT((COLUMN(ITEM!$G17:$J17)-COLUMN(ITEM!$G17)+1&lt;$O$1)*ITEM!$G17:$J17))</f>
      </c>
      <c r="G39" s="13" cm="1">
        <f t="array" ref="G39">IF(ITEM!$B17="","",INDEX(ITEM!$G17:$J17,1,$O$1))</f>
      </c>
      <c r="H39" s="13">
        <f>IF(ITEM!$B17="","",$F39+$G39)</f>
      </c>
      <c r="I39" s="13">
        <f>IF(ITEM!$B17="","",$D39-$H39)</f>
      </c>
      <c r="J39" s="6">
        <f>IF(ITEM!$B17="","",ITEM!$E17)</f>
      </c>
      <c r="K39" s="6">
        <f>IF(ITEM!$B17="","",$G39*$J39)</f>
      </c>
      <c r="L39" s="2"/>
      <c r="M39" s="2"/>
      <c r="N39" s="2"/>
      <c r="O39" s="2"/>
    </row>
    <row r="40" spans="1:15" ht="13.05" customHeight="1" outlineLevel="1" x14ac:dyDescent="0.45">
      <c r="A40" s="4">
        <f>IF(ITEM!$B18="","",ITEM!$A18)</f>
      </c>
      <c r="B40" s="118">
        <f>IF(ITEM!$B18="","",ITEM!$B18)</f>
      </c>
      <c r="C40" s="119"/>
      <c r="D40" s="13">
        <f>IF(ITEM!$B18="","",ITEM!$D18)</f>
      </c>
      <c r="E40" s="5">
        <f>IF(ITEM!$B18="","",ITEM!$C18)</f>
      </c>
      <c r="F40" s="13" cm="1">
        <f t="array" ref="F40">IF(ITEM!$B18="","",SUMPRODUCT((COLUMN(ITEM!$G18:$J18)-COLUMN(ITEM!$G18)+1&lt;$O$1)*ITEM!$G18:$J18))</f>
      </c>
      <c r="G40" s="13" cm="1">
        <f t="array" ref="G40">IF(ITEM!$B18="","",INDEX(ITEM!$G18:$J18,1,$O$1))</f>
      </c>
      <c r="H40" s="13">
        <f>IF(ITEM!$B18="","",$F40+$G40)</f>
      </c>
      <c r="I40" s="13">
        <f>IF(ITEM!$B18="","",$D40-$H40)</f>
      </c>
      <c r="J40" s="6">
        <f>IF(ITEM!$B18="","",ITEM!$E18)</f>
      </c>
      <c r="K40" s="6">
        <f>IF(ITEM!$B18="","",$G40*$J40)</f>
      </c>
      <c r="L40" s="2"/>
      <c r="M40" s="2"/>
      <c r="N40" s="2"/>
      <c r="O40" s="2"/>
    </row>
    <row r="41" spans="1:15" ht="13.05" hidden="1" customHeight="1" outlineLevel="1" x14ac:dyDescent="0.45">
      <c r="A41" s="4">
        <f>IF(ITEM!$B19="","",ITEM!$A19)</f>
      </c>
      <c r="B41" s="118">
        <f>IF(ITEM!$B19="","",ITEM!$B19)</f>
      </c>
      <c r="C41" s="119"/>
      <c r="D41" s="13">
        <f>IF(ITEM!$B19="","",ITEM!$D19)</f>
      </c>
      <c r="E41" s="5">
        <f>IF(ITEM!$B19="","",ITEM!$C19)</f>
      </c>
      <c r="F41" s="13" cm="1">
        <f t="array" ref="F41">IF(ITEM!$B19="","",SUMPRODUCT((COLUMN(ITEM!$G19:$J19)-COLUMN(ITEM!$G19)+1&lt;$O$1)*ITEM!$G19:$J19))</f>
      </c>
      <c r="G41" s="13" cm="1">
        <f t="array" ref="G41">IF(ITEM!$B19="","",INDEX(ITEM!$G19:$J19,1,$O$1))</f>
      </c>
      <c r="H41" s="13">
        <f>IF(ITEM!$B19="","",$F41+$G41)</f>
      </c>
      <c r="I41" s="13">
        <f>IF(ITEM!$B19="","",$D41-$H41)</f>
      </c>
      <c r="J41" s="6">
        <f>IF(ITEM!$B19="","",ITEM!$E19)</f>
      </c>
      <c r="K41" s="6">
        <f>IF(ITEM!$B19="","",$G41*$J41)</f>
      </c>
      <c r="L41" s="2"/>
      <c r="M41" s="2"/>
      <c r="N41" s="2"/>
      <c r="O41" s="2"/>
    </row>
    <row r="42" spans="1:15" ht="13.05" hidden="1" customHeight="1" outlineLevel="1" x14ac:dyDescent="0.45">
      <c r="A42" s="4">
        <f>IF(ITEM!$B20="","",ITEM!$A20)</f>
      </c>
      <c r="B42" s="118">
        <f>IF(ITEM!$B20="","",ITEM!$B20)</f>
      </c>
      <c r="C42" s="119"/>
      <c r="D42" s="13">
        <f>IF(ITEM!$B20="","",ITEM!$D20)</f>
      </c>
      <c r="E42" s="5">
        <f>IF(ITEM!$B20="","",ITEM!$C20)</f>
      </c>
      <c r="F42" s="13" cm="1">
        <f t="array" ref="F42">IF(ITEM!$B20="","",SUMPRODUCT((COLUMN(ITEM!$G20:$J20)-COLUMN(ITEM!$G20)+1&lt;$O$1)*ITEM!$G20:$J20))</f>
      </c>
      <c r="G42" s="13" cm="1">
        <f t="array" ref="G42">IF(ITEM!$B20="","",INDEX(ITEM!$G20:$J20,1,$O$1))</f>
      </c>
      <c r="H42" s="13">
        <f>IF(ITEM!$B20="","",$F42+$G42)</f>
      </c>
      <c r="I42" s="13">
        <f>IF(ITEM!$B20="","",$D42-$H42)</f>
      </c>
      <c r="J42" s="6">
        <f>IF(ITEM!$B20="","",ITEM!$E20)</f>
      </c>
      <c r="K42" s="6">
        <f>IF(ITEM!$B20="","",$G42*$J42)</f>
      </c>
      <c r="L42" s="2"/>
      <c r="M42" s="2"/>
      <c r="N42" s="2"/>
      <c r="O42" s="2"/>
    </row>
    <row r="43" spans="1:15" ht="13.05" hidden="1" customHeight="1" outlineLevel="1" x14ac:dyDescent="0.45">
      <c r="A43" s="4">
        <f>IF(ITEM!$B21="","",ITEM!$A21)</f>
      </c>
      <c r="B43" s="118">
        <f>IF(ITEM!$B21="","",ITEM!$B21)</f>
      </c>
      <c r="C43" s="119"/>
      <c r="D43" s="13">
        <f>IF(ITEM!$B21="","",ITEM!$D21)</f>
      </c>
      <c r="E43" s="5">
        <f>IF(ITEM!$B21="","",ITEM!$C21)</f>
      </c>
      <c r="F43" s="13" cm="1">
        <f t="array" ref="F43">IF(ITEM!$B21="","",SUMPRODUCT((COLUMN(ITEM!$G21:$J21)-COLUMN(ITEM!$G21)+1&lt;$O$1)*ITEM!$G21:$J21))</f>
      </c>
      <c r="G43" s="13" cm="1">
        <f t="array" ref="G43">IF(ITEM!$B21="","",INDEX(ITEM!$G21:$J21,1,$O$1))</f>
      </c>
      <c r="H43" s="13">
        <f>IF(ITEM!$B21="","",$F43+$G43)</f>
      </c>
      <c r="I43" s="13">
        <f>IF(ITEM!$B21="","",$D43-$H43)</f>
      </c>
      <c r="J43" s="6">
        <f>IF(ITEM!$B21="","",ITEM!$E21)</f>
      </c>
      <c r="K43" s="6">
        <f>IF(ITEM!$B21="","",$G43*$J43)</f>
      </c>
      <c r="L43" s="2"/>
      <c r="M43" s="2"/>
      <c r="N43" s="2"/>
      <c r="O43" s="2"/>
    </row>
    <row r="44" spans="1:15" ht="13.05" hidden="1" customHeight="1" outlineLevel="1" x14ac:dyDescent="0.45">
      <c r="A44" s="4">
        <f>IF(ITEM!$B22="","",ITEM!$A22)</f>
      </c>
      <c r="B44" s="118">
        <f>IF(ITEM!$B22="","",ITEM!$B22)</f>
      </c>
      <c r="C44" s="119"/>
      <c r="D44" s="13">
        <f>IF(ITEM!$B22="","",ITEM!$D22)</f>
      </c>
      <c r="E44" s="5">
        <f>IF(ITEM!$B22="","",ITEM!$C22)</f>
      </c>
      <c r="F44" s="13" cm="1">
        <f t="array" ref="F44">IF(ITEM!$B22="","",SUMPRODUCT((COLUMN(ITEM!$G22:$J22)-COLUMN(ITEM!$G22)+1&lt;$O$1)*ITEM!$G22:$J22))</f>
      </c>
      <c r="G44" s="13" cm="1">
        <f t="array" ref="G44">IF(ITEM!$B22="","",INDEX(ITEM!$G22:$J22,1,$O$1))</f>
      </c>
      <c r="H44" s="13">
        <f>IF(ITEM!$B22="","",$F44+$G44)</f>
      </c>
      <c r="I44" s="13">
        <f>IF(ITEM!$B22="","",$D44-$H44)</f>
      </c>
      <c r="J44" s="6">
        <f>IF(ITEM!$B22="","",ITEM!$E22)</f>
      </c>
      <c r="K44" s="6">
        <f>IF(ITEM!$B22="","",$G44*$J44)</f>
      </c>
      <c r="L44" s="2"/>
      <c r="M44" s="2"/>
      <c r="N44" s="2"/>
      <c r="O44" s="2"/>
    </row>
    <row r="45" spans="1:15" ht="13.05" hidden="1" customHeight="1" outlineLevel="1" x14ac:dyDescent="0.45">
      <c r="A45" s="4">
        <f>IF(ITEM!$B23="","",ITEM!$A23)</f>
      </c>
      <c r="B45" s="118">
        <f>IF(ITEM!$B23="","",ITEM!$B23)</f>
      </c>
      <c r="C45" s="119"/>
      <c r="D45" s="13">
        <f>IF(ITEM!$B23="","",ITEM!$D23)</f>
      </c>
      <c r="E45" s="5">
        <f>IF(ITEM!$B23="","",ITEM!$C23)</f>
      </c>
      <c r="F45" s="13" cm="1">
        <f t="array" ref="F45">IF(ITEM!$B23="","",SUMPRODUCT((COLUMN(ITEM!$G23:$J23)-COLUMN(ITEM!$G23)+1&lt;$O$1)*ITEM!$G23:$J23))</f>
      </c>
      <c r="G45" s="13" cm="1">
        <f t="array" ref="G45">IF(ITEM!$B23="","",INDEX(ITEM!$G23:$J23,1,$O$1))</f>
      </c>
      <c r="H45" s="13">
        <f>IF(ITEM!$B23="","",$F45+$G45)</f>
      </c>
      <c r="I45" s="13">
        <f>IF(ITEM!$B23="","",$D45-$H45)</f>
      </c>
      <c r="J45" s="6">
        <f>IF(ITEM!$B23="","",ITEM!$E23)</f>
      </c>
      <c r="K45" s="6">
        <f>IF(ITEM!$B23="","",$G45*$J45)</f>
      </c>
      <c r="L45" s="2"/>
      <c r="M45" s="2"/>
      <c r="N45" s="2"/>
      <c r="O45" s="2"/>
    </row>
    <row r="46" spans="1:15" ht="13.05" hidden="1" customHeight="1" outlineLevel="2" x14ac:dyDescent="0.45">
      <c r="A46" s="4">
        <f>IF(ITEM!$B24="","",ITEM!$A24)</f>
      </c>
      <c r="B46" s="118">
        <f>IF(ITEM!$B24="","",ITEM!$B24)</f>
      </c>
      <c r="C46" s="119"/>
      <c r="D46" s="13">
        <f>IF(ITEM!$B24="","",ITEM!$D24)</f>
      </c>
      <c r="E46" s="5">
        <f>IF(ITEM!$B24="","",ITEM!$C24)</f>
      </c>
      <c r="F46" s="13" cm="1">
        <f t="array" ref="F46">IF(ITEM!$B24="","",SUMPRODUCT((COLUMN(ITEM!$G24:$J24)-COLUMN(ITEM!$G24)+1&lt;$O$1)*ITEM!$G24:$J24))</f>
      </c>
      <c r="G46" s="13" cm="1">
        <f t="array" ref="G46">IF(ITEM!$B24="","",INDEX(ITEM!$G24:$J24,1,$O$1))</f>
      </c>
      <c r="H46" s="13">
        <f>IF(ITEM!$B24="","",$F46+$G46)</f>
      </c>
      <c r="I46" s="13">
        <f>IF(ITEM!$B24="","",$D46-$H46)</f>
      </c>
      <c r="J46" s="6">
        <f>IF(ITEM!$B24="","",ITEM!$E24)</f>
      </c>
      <c r="K46" s="6">
        <f>IF(ITEM!$B24="","",$G46*$J46)</f>
      </c>
      <c r="L46" s="2"/>
      <c r="M46" s="2"/>
      <c r="N46" s="2"/>
      <c r="O46" s="2"/>
    </row>
    <row r="47" spans="1:15" ht="13.05" hidden="1" customHeight="1" outlineLevel="2" x14ac:dyDescent="0.45">
      <c r="A47" s="4">
        <f>IF(ITEM!$B25="","",ITEM!$A25)</f>
      </c>
      <c r="B47" s="118">
        <f>IF(ITEM!$B25="","",ITEM!$B25)</f>
      </c>
      <c r="C47" s="119"/>
      <c r="D47" s="13">
        <f>IF(ITEM!$B25="","",ITEM!$D25)</f>
      </c>
      <c r="E47" s="5">
        <f>IF(ITEM!$B25="","",ITEM!$C25)</f>
      </c>
      <c r="F47" s="13" cm="1">
        <f t="array" ref="F47">IF(ITEM!$B25="","",SUMPRODUCT((COLUMN(ITEM!$G25:$J25)-COLUMN(ITEM!$G25)+1&lt;$O$1)*ITEM!$G25:$J25))</f>
      </c>
      <c r="G47" s="13" cm="1">
        <f t="array" ref="G47">IF(ITEM!$B25="","",INDEX(ITEM!$G25:$J25,1,$O$1))</f>
      </c>
      <c r="H47" s="13">
        <f>IF(ITEM!$B25="","",$F47+$G47)</f>
      </c>
      <c r="I47" s="13">
        <f>IF(ITEM!$B25="","",$D47-$H47)</f>
      </c>
      <c r="J47" s="6">
        <f>IF(ITEM!$B25="","",ITEM!$E25)</f>
      </c>
      <c r="K47" s="6">
        <f>IF(ITEM!$B25="","",$G47*$J47)</f>
      </c>
      <c r="L47" s="2"/>
      <c r="M47" s="2"/>
      <c r="N47" s="2"/>
      <c r="O47" s="2"/>
    </row>
    <row r="48" spans="1:15" ht="13.05" hidden="1" customHeight="1" outlineLevel="2" x14ac:dyDescent="0.45">
      <c r="A48" s="4">
        <f>IF(ITEM!$B26="","",ITEM!$A26)</f>
      </c>
      <c r="B48" s="118">
        <f>IF(ITEM!$B26="","",ITEM!$B26)</f>
      </c>
      <c r="C48" s="119"/>
      <c r="D48" s="13">
        <f>IF(ITEM!$B26="","",ITEM!$D26)</f>
      </c>
      <c r="E48" s="5">
        <f>IF(ITEM!$B26="","",ITEM!$C26)</f>
      </c>
      <c r="F48" s="13" cm="1">
        <f t="array" ref="F48">IF(ITEM!$B26="","",SUMPRODUCT((COLUMN(ITEM!$G26:$J26)-COLUMN(ITEM!$G26)+1&lt;$O$1)*ITEM!$G26:$J26))</f>
      </c>
      <c r="G48" s="13" cm="1">
        <f t="array" ref="G48">IF(ITEM!$B26="","",INDEX(ITEM!$G26:$J26,1,$O$1))</f>
      </c>
      <c r="H48" s="13">
        <f>IF(ITEM!$B26="","",$F48+$G48)</f>
      </c>
      <c r="I48" s="13">
        <f>IF(ITEM!$B26="","",$D48-$H48)</f>
      </c>
      <c r="J48" s="6">
        <f>IF(ITEM!$B26="","",ITEM!$E26)</f>
      </c>
      <c r="K48" s="6">
        <f>IF(ITEM!$B26="","",$G48*$J48)</f>
      </c>
      <c r="L48" s="2"/>
      <c r="M48" s="2"/>
      <c r="N48" s="2"/>
      <c r="O48" s="2"/>
    </row>
    <row r="49" spans="1:15" ht="13.05" hidden="1" customHeight="1" outlineLevel="2" x14ac:dyDescent="0.45">
      <c r="A49" s="4">
        <f>IF(ITEM!$B27="","",ITEM!$A27)</f>
      </c>
      <c r="B49" s="118">
        <f>IF(ITEM!$B27="","",ITEM!$B27)</f>
      </c>
      <c r="C49" s="119"/>
      <c r="D49" s="13">
        <f>IF(ITEM!$B27="","",ITEM!$D27)</f>
      </c>
      <c r="E49" s="5">
        <f>IF(ITEM!$B27="","",ITEM!$C27)</f>
      </c>
      <c r="F49" s="13" cm="1">
        <f t="array" ref="F49">IF(ITEM!$B27="","",SUMPRODUCT((COLUMN(ITEM!$G27:$J27)-COLUMN(ITEM!$G27)+1&lt;$O$1)*ITEM!$G27:$J27))</f>
      </c>
      <c r="G49" s="13" cm="1">
        <f t="array" ref="G49">IF(ITEM!$B27="","",INDEX(ITEM!$G27:$J27,1,$O$1))</f>
      </c>
      <c r="H49" s="13">
        <f>IF(ITEM!$B27="","",$F49+$G49)</f>
      </c>
      <c r="I49" s="13">
        <f>IF(ITEM!$B27="","",$D49-$H49)</f>
      </c>
      <c r="J49" s="6">
        <f>IF(ITEM!$B27="","",ITEM!$E27)</f>
      </c>
      <c r="K49" s="6">
        <f>IF(ITEM!$B27="","",$G49*$J49)</f>
      </c>
      <c r="L49" s="2"/>
      <c r="M49" s="2"/>
      <c r="N49" s="2"/>
      <c r="O49" s="2"/>
    </row>
    <row r="50" spans="1:15" ht="13.05" hidden="1" customHeight="1" outlineLevel="2" x14ac:dyDescent="0.45">
      <c r="A50" s="4">
        <f>IF(ITEM!$B28="","",ITEM!$A28)</f>
      </c>
      <c r="B50" s="118">
        <f>IF(ITEM!$B28="","",ITEM!$B28)</f>
      </c>
      <c r="C50" s="119"/>
      <c r="D50" s="13">
        <f>IF(ITEM!$B28="","",ITEM!$D28)</f>
      </c>
      <c r="E50" s="5">
        <f>IF(ITEM!$B28="","",ITEM!$C28)</f>
      </c>
      <c r="F50" s="13" cm="1">
        <f t="array" ref="F50">IF(ITEM!$B28="","",SUMPRODUCT((COLUMN(ITEM!$G28:$J28)-COLUMN(ITEM!$G28)+1&lt;$O$1)*ITEM!$G28:$J28))</f>
      </c>
      <c r="G50" s="13" cm="1">
        <f t="array" ref="G50">IF(ITEM!$B28="","",INDEX(ITEM!$G28:$J28,1,$O$1))</f>
      </c>
      <c r="H50" s="13">
        <f>IF(ITEM!$B28="","",$F50+$G50)</f>
      </c>
      <c r="I50" s="13">
        <f>IF(ITEM!$B28="","",$D50-$H50)</f>
      </c>
      <c r="J50" s="6">
        <f>IF(ITEM!$B28="","",ITEM!$E28)</f>
      </c>
      <c r="K50" s="6">
        <f>IF(ITEM!$B28="","",$G50*$J50)</f>
      </c>
      <c r="L50" s="2"/>
      <c r="M50" s="2"/>
      <c r="N50" s="2"/>
      <c r="O50" s="2"/>
    </row>
    <row r="51" spans="1:15" ht="13.05" hidden="1" customHeight="1" outlineLevel="2" x14ac:dyDescent="0.45">
      <c r="A51" s="4">
        <f>IF(ITEM!$B29="","",ITEM!$A29)</f>
      </c>
      <c r="B51" s="118">
        <f>IF(ITEM!$B29="","",ITEM!$B29)</f>
      </c>
      <c r="C51" s="119"/>
      <c r="D51" s="13">
        <f>IF(ITEM!$B29="","",ITEM!$D29)</f>
      </c>
      <c r="E51" s="5">
        <f>IF(ITEM!$B29="","",ITEM!$C29)</f>
      </c>
      <c r="F51" s="13" cm="1">
        <f t="array" ref="F51">IF(ITEM!$B29="","",SUMPRODUCT((COLUMN(ITEM!$G29:$J29)-COLUMN(ITEM!$G29)+1&lt;$O$1)*ITEM!$G29:$J29))</f>
      </c>
      <c r="G51" s="13" cm="1">
        <f t="array" ref="G51">IF(ITEM!$B29="","",INDEX(ITEM!$G29:$J29,1,$O$1))</f>
      </c>
      <c r="H51" s="13">
        <f>IF(ITEM!$B29="","",$F51+$G51)</f>
      </c>
      <c r="I51" s="13">
        <f>IF(ITEM!$B29="","",$D51-$H51)</f>
      </c>
      <c r="J51" s="6">
        <f>IF(ITEM!$B29="","",ITEM!$E29)</f>
      </c>
      <c r="K51" s="6">
        <f>IF(ITEM!$B29="","",$G51*$J51)</f>
      </c>
      <c r="L51" s="2"/>
      <c r="M51" s="2"/>
      <c r="N51" s="2"/>
      <c r="O51" s="2"/>
    </row>
    <row r="52" spans="1:15" ht="13.05" hidden="1" customHeight="1" outlineLevel="2" x14ac:dyDescent="0.45">
      <c r="A52" s="4">
        <f>IF(ITEM!$B30="","",ITEM!$A30)</f>
      </c>
      <c r="B52" s="118">
        <f>IF(ITEM!$B30="","",ITEM!$B30)</f>
      </c>
      <c r="C52" s="119"/>
      <c r="D52" s="13">
        <f>IF(ITEM!$B30="","",ITEM!$D30)</f>
      </c>
      <c r="E52" s="5">
        <f>IF(ITEM!$B30="","",ITEM!$C30)</f>
      </c>
      <c r="F52" s="13" cm="1">
        <f t="array" ref="F52">IF(ITEM!$B30="","",SUMPRODUCT((COLUMN(ITEM!$G30:$J30)-COLUMN(ITEM!$G30)+1&lt;$O$1)*ITEM!$G30:$J30))</f>
      </c>
      <c r="G52" s="13" cm="1">
        <f t="array" ref="G52">IF(ITEM!$B30="","",INDEX(ITEM!$G30:$J30,1,$O$1))</f>
      </c>
      <c r="H52" s="13">
        <f>IF(ITEM!$B30="","",$F52+$G52)</f>
      </c>
      <c r="I52" s="13">
        <f>IF(ITEM!$B30="","",$D52-$H52)</f>
      </c>
      <c r="J52" s="6">
        <f>IF(ITEM!$B30="","",ITEM!$E30)</f>
      </c>
      <c r="K52" s="6">
        <f>IF(ITEM!$B30="","",$G52*$J52)</f>
      </c>
      <c r="L52" s="2"/>
      <c r="M52" s="2"/>
      <c r="N52" s="2"/>
      <c r="O52" s="2"/>
    </row>
    <row r="53" spans="1:15" ht="13.05" hidden="1" customHeight="1" outlineLevel="2" x14ac:dyDescent="0.45">
      <c r="A53" s="4">
        <f>IF(ITEM!$B31="","",ITEM!$A31)</f>
      </c>
      <c r="B53" s="118">
        <f>IF(ITEM!$B31="","",ITEM!$B31)</f>
      </c>
      <c r="C53" s="119"/>
      <c r="D53" s="13">
        <f>IF(ITEM!$B31="","",ITEM!$D31)</f>
      </c>
      <c r="E53" s="5">
        <f>IF(ITEM!$B31="","",ITEM!$C31)</f>
      </c>
      <c r="F53" s="13" cm="1">
        <f t="array" ref="F53">IF(ITEM!$B31="","",SUMPRODUCT((COLUMN(ITEM!$G31:$J31)-COLUMN(ITEM!$G31)+1&lt;$O$1)*ITEM!$G31:$J31))</f>
      </c>
      <c r="G53" s="13" cm="1">
        <f t="array" ref="G53">IF(ITEM!$B31="","",INDEX(ITEM!$G31:$J31,1,$O$1))</f>
      </c>
      <c r="H53" s="13">
        <f>IF(ITEM!$B31="","",$F53+$G53)</f>
      </c>
      <c r="I53" s="13">
        <f>IF(ITEM!$B31="","",$D53-$H53)</f>
      </c>
      <c r="J53" s="6">
        <f>IF(ITEM!$B31="","",ITEM!$E31)</f>
      </c>
      <c r="K53" s="6">
        <f>IF(ITEM!$B31="","",$G53*$J53)</f>
      </c>
      <c r="L53" s="2"/>
      <c r="M53" s="2"/>
      <c r="N53" s="2"/>
      <c r="O53" s="2"/>
    </row>
    <row r="54" spans="1:15" ht="13.05" hidden="1" customHeight="1" outlineLevel="2" x14ac:dyDescent="0.45">
      <c r="A54" s="4">
        <f>IF(ITEM!$B32="","",ITEM!$A32)</f>
      </c>
      <c r="B54" s="118">
        <f>IF(ITEM!$B32="","",ITEM!$B32)</f>
      </c>
      <c r="C54" s="119"/>
      <c r="D54" s="13">
        <f>IF(ITEM!$B32="","",ITEM!$D32)</f>
      </c>
      <c r="E54" s="5">
        <f>IF(ITEM!$B32="","",ITEM!$C32)</f>
      </c>
      <c r="F54" s="13" cm="1">
        <f t="array" ref="F54">IF(ITEM!$B32="","",SUMPRODUCT((COLUMN(ITEM!$G32:$J32)-COLUMN(ITEM!$G32)+1&lt;$O$1)*ITEM!$G32:$J32))</f>
      </c>
      <c r="G54" s="13" cm="1">
        <f t="array" ref="G54">IF(ITEM!$B32="","",INDEX(ITEM!$G32:$J32,1,$O$1))</f>
      </c>
      <c r="H54" s="13">
        <f>IF(ITEM!$B32="","",$F54+$G54)</f>
      </c>
      <c r="I54" s="13">
        <f>IF(ITEM!$B32="","",$D54-$H54)</f>
      </c>
      <c r="J54" s="6">
        <f>IF(ITEM!$B32="","",ITEM!$E32)</f>
      </c>
      <c r="K54" s="6">
        <f>IF(ITEM!$B32="","",$G54*$J54)</f>
      </c>
      <c r="L54" s="2"/>
      <c r="M54" s="2"/>
      <c r="N54" s="2"/>
      <c r="O54" s="2"/>
    </row>
    <row r="55" spans="1:15" ht="13.05" hidden="1" customHeight="1" outlineLevel="2" x14ac:dyDescent="0.45">
      <c r="A55" s="4">
        <f>IF(ITEM!$B33="","",ITEM!$A33)</f>
      </c>
      <c r="B55" s="118">
        <f>IF(ITEM!$B33="","",ITEM!$B33)</f>
      </c>
      <c r="C55" s="119"/>
      <c r="D55" s="13">
        <f>IF(ITEM!$B33="","",ITEM!$D33)</f>
      </c>
      <c r="E55" s="5">
        <f>IF(ITEM!$B33="","",ITEM!$C33)</f>
      </c>
      <c r="F55" s="13" cm="1">
        <f t="array" ref="F55">IF(ITEM!$B33="","",SUMPRODUCT((COLUMN(ITEM!$G33:$J33)-COLUMN(ITEM!$G33)+1&lt;$O$1)*ITEM!$G33:$J33))</f>
      </c>
      <c r="G55" s="13" cm="1">
        <f t="array" ref="G55">IF(ITEM!$B33="","",INDEX(ITEM!$G33:$J33,1,$O$1))</f>
      </c>
      <c r="H55" s="13">
        <f>IF(ITEM!$B33="","",$F55+$G55)</f>
      </c>
      <c r="I55" s="13">
        <f>IF(ITEM!$B33="","",$D55-$H55)</f>
      </c>
      <c r="J55" s="6">
        <f>IF(ITEM!$B33="","",ITEM!$E33)</f>
      </c>
      <c r="K55" s="6">
        <f>IF(ITEM!$B33="","",$G55*$J55)</f>
      </c>
      <c r="L55" s="2"/>
      <c r="M55" s="2"/>
      <c r="N55" s="2"/>
      <c r="O55" s="2"/>
    </row>
    <row r="56" spans="1:15" ht="13.05" hidden="1" customHeight="1" outlineLevel="2" x14ac:dyDescent="0.45">
      <c r="A56" s="4">
        <f>IF(ITEM!$B34="","",ITEM!$A34)</f>
      </c>
      <c r="B56" s="118">
        <f>IF(ITEM!$B34="","",ITEM!$B34)</f>
      </c>
      <c r="C56" s="119"/>
      <c r="D56" s="13">
        <f>IF(ITEM!$B34="","",ITEM!$D34)</f>
      </c>
      <c r="E56" s="5">
        <f>IF(ITEM!$B34="","",ITEM!$C34)</f>
      </c>
      <c r="F56" s="13" cm="1">
        <f t="array" ref="F56">IF(ITEM!$B34="","",SUMPRODUCT((COLUMN(ITEM!$G34:$J34)-COLUMN(ITEM!$G34)+1&lt;$O$1)*ITEM!$G34:$J34))</f>
      </c>
      <c r="G56" s="13" cm="1">
        <f t="array" ref="G56">IF(ITEM!$B34="","",INDEX(ITEM!$G34:$J34,1,$O$1))</f>
      </c>
      <c r="H56" s="13">
        <f>IF(ITEM!$B34="","",$F56+$G56)</f>
      </c>
      <c r="I56" s="13">
        <f>IF(ITEM!$B34="","",$D56-$H56)</f>
      </c>
      <c r="J56" s="6">
        <f>IF(ITEM!$B34="","",ITEM!$E34)</f>
      </c>
      <c r="K56" s="6">
        <f>IF(ITEM!$B34="","",$G56*$J56)</f>
      </c>
      <c r="L56" s="2"/>
      <c r="M56" s="2"/>
      <c r="N56" s="2"/>
      <c r="O56" s="2"/>
    </row>
    <row r="57" spans="1:15" ht="13.05" hidden="1" customHeight="1" outlineLevel="2" x14ac:dyDescent="0.45">
      <c r="A57" s="4">
        <f>IF(ITEM!$B35="","",ITEM!$A35)</f>
      </c>
      <c r="B57" s="118">
        <f>IF(ITEM!$B35="","",ITEM!$B35)</f>
      </c>
      <c r="C57" s="119"/>
      <c r="D57" s="13">
        <f>IF(ITEM!$B35="","",ITEM!$D35)</f>
      </c>
      <c r="E57" s="5">
        <f>IF(ITEM!$B35="","",ITEM!$C35)</f>
      </c>
      <c r="F57" s="13" cm="1">
        <f t="array" ref="F57">IF(ITEM!$B35="","",SUMPRODUCT((COLUMN(ITEM!$G35:$J35)-COLUMN(ITEM!$G35)+1&lt;$O$1)*ITEM!$G35:$J35))</f>
      </c>
      <c r="G57" s="13" cm="1">
        <f t="array" ref="G57">IF(ITEM!$B35="","",INDEX(ITEM!$G35:$J35,1,$O$1))</f>
      </c>
      <c r="H57" s="13">
        <f>IF(ITEM!$B35="","",$F57+$G57)</f>
      </c>
      <c r="I57" s="13">
        <f>IF(ITEM!$B35="","",$D57-$H57)</f>
      </c>
      <c r="J57" s="6">
        <f>IF(ITEM!$B35="","",ITEM!$E35)</f>
      </c>
      <c r="K57" s="6">
        <f>IF(ITEM!$B35="","",$G57*$J57)</f>
      </c>
      <c r="L57" s="2"/>
      <c r="M57" s="2"/>
      <c r="N57" s="2"/>
      <c r="O57" s="2"/>
    </row>
    <row r="58" spans="1:15" ht="13.05" hidden="1" customHeight="1" outlineLevel="2" x14ac:dyDescent="0.45">
      <c r="A58" s="4">
        <f>IF(ITEM!$B36="","",ITEM!$A36)</f>
      </c>
      <c r="B58" s="118">
        <f>IF(ITEM!$B36="","",ITEM!$B36)</f>
      </c>
      <c r="C58" s="119"/>
      <c r="D58" s="13">
        <f>IF(ITEM!$B36="","",ITEM!$D36)</f>
      </c>
      <c r="E58" s="5">
        <f>IF(ITEM!$B36="","",ITEM!$C36)</f>
      </c>
      <c r="F58" s="13" cm="1">
        <f t="array" ref="F58">IF(ITEM!$B36="","",SUMPRODUCT((COLUMN(ITEM!$G36:$J36)-COLUMN(ITEM!$G36)+1&lt;$O$1)*ITEM!$G36:$J36))</f>
      </c>
      <c r="G58" s="13" cm="1">
        <f t="array" ref="G58">IF(ITEM!$B36="","",INDEX(ITEM!$G36:$J36,1,$O$1))</f>
      </c>
      <c r="H58" s="13">
        <f>IF(ITEM!$B36="","",$F58+$G58)</f>
      </c>
      <c r="I58" s="13">
        <f>IF(ITEM!$B36="","",$D58-$H58)</f>
      </c>
      <c r="J58" s="6">
        <f>IF(ITEM!$B36="","",ITEM!$E36)</f>
      </c>
      <c r="K58" s="6">
        <f>IF(ITEM!$B36="","",$G58*$J58)</f>
      </c>
      <c r="L58" s="2"/>
      <c r="M58" s="2"/>
      <c r="N58" s="2"/>
      <c r="O58" s="2"/>
    </row>
    <row r="59" spans="1:15" ht="13.05" hidden="1" customHeight="1" outlineLevel="2" x14ac:dyDescent="0.45">
      <c r="A59" s="4">
        <f>IF(ITEM!$B37="","",ITEM!$A37)</f>
      </c>
      <c r="B59" s="118">
        <f>IF(ITEM!$B37="","",ITEM!$B37)</f>
      </c>
      <c r="C59" s="119"/>
      <c r="D59" s="13">
        <f>IF(ITEM!$B37="","",ITEM!$D37)</f>
      </c>
      <c r="E59" s="5">
        <f>IF(ITEM!$B37="","",ITEM!$C37)</f>
      </c>
      <c r="F59" s="13" cm="1">
        <f t="array" ref="F59">IF(ITEM!$B37="","",SUMPRODUCT((COLUMN(ITEM!$G37:$J37)-COLUMN(ITEM!$G37)+1&lt;$O$1)*ITEM!$G37:$J37))</f>
      </c>
      <c r="G59" s="13" cm="1">
        <f t="array" ref="G59">IF(ITEM!$B37="","",INDEX(ITEM!$G37:$J37,1,$O$1))</f>
      </c>
      <c r="H59" s="13">
        <f>IF(ITEM!$B37="","",$F59+$G59)</f>
      </c>
      <c r="I59" s="13">
        <f>IF(ITEM!$B37="","",$D59-$H59)</f>
      </c>
      <c r="J59" s="6">
        <f>IF(ITEM!$B37="","",ITEM!$E37)</f>
      </c>
      <c r="K59" s="6">
        <f>IF(ITEM!$B37="","",$G59*$J59)</f>
      </c>
      <c r="L59" s="2"/>
      <c r="M59" s="2"/>
      <c r="N59" s="2"/>
      <c r="O59" s="2"/>
    </row>
    <row r="60" spans="1:15" ht="13.05" hidden="1" customHeight="1" outlineLevel="2" x14ac:dyDescent="0.45">
      <c r="A60" s="4">
        <f>IF(ITEM!$B38="","",ITEM!$A38)</f>
      </c>
      <c r="B60" s="118">
        <f>IF(ITEM!$B38="","",ITEM!$B38)</f>
      </c>
      <c r="C60" s="119"/>
      <c r="D60" s="13">
        <f>IF(ITEM!$B38="","",ITEM!$D38)</f>
      </c>
      <c r="E60" s="5">
        <f>IF(ITEM!$B38="","",ITEM!$C38)</f>
      </c>
      <c r="F60" s="13" cm="1">
        <f t="array" ref="F60">IF(ITEM!$B38="","",SUMPRODUCT((COLUMN(ITEM!$G38:$J38)-COLUMN(ITEM!$G38)+1&lt;$O$1)*ITEM!$G38:$J38))</f>
      </c>
      <c r="G60" s="13" cm="1">
        <f t="array" ref="G60">IF(ITEM!$B38="","",INDEX(ITEM!$G38:$J38,1,$O$1))</f>
      </c>
      <c r="H60" s="13">
        <f>IF(ITEM!$B38="","",$F60+$G60)</f>
      </c>
      <c r="I60" s="13">
        <f>IF(ITEM!$B38="","",$D60-$H60)</f>
      </c>
      <c r="J60" s="6">
        <f>IF(ITEM!$B38="","",ITEM!$E38)</f>
      </c>
      <c r="K60" s="6">
        <f>IF(ITEM!$B38="","",$G60*$J60)</f>
      </c>
      <c r="L60" s="2"/>
      <c r="M60" s="2"/>
      <c r="N60" s="2"/>
      <c r="O60" s="2"/>
    </row>
    <row r="61" spans="1:15" ht="13.05" hidden="1" customHeight="1" outlineLevel="2" x14ac:dyDescent="0.45">
      <c r="A61" s="4">
        <f>IF(ITEM!$B39="","",ITEM!$A39)</f>
      </c>
      <c r="B61" s="118">
        <f>IF(ITEM!$B39="","",ITEM!$B39)</f>
      </c>
      <c r="C61" s="119"/>
      <c r="D61" s="13">
        <f>IF(ITEM!$B39="","",ITEM!$D39)</f>
      </c>
      <c r="E61" s="5">
        <f>IF(ITEM!$B39="","",ITEM!$C39)</f>
      </c>
      <c r="F61" s="13" cm="1">
        <f t="array" ref="F61">IF(ITEM!$B39="","",SUMPRODUCT((COLUMN(ITEM!$G39:$J39)-COLUMN(ITEM!$G39)+1&lt;$O$1)*ITEM!$G39:$J39))</f>
      </c>
      <c r="G61" s="13" cm="1">
        <f t="array" ref="G61">IF(ITEM!$B39="","",INDEX(ITEM!$G39:$J39,1,$O$1))</f>
      </c>
      <c r="H61" s="13">
        <f>IF(ITEM!$B39="","",$F61+$G61)</f>
      </c>
      <c r="I61" s="13">
        <f>IF(ITEM!$B39="","",$D61-$H61)</f>
      </c>
      <c r="J61" s="6">
        <f>IF(ITEM!$B39="","",ITEM!$E39)</f>
      </c>
      <c r="K61" s="6">
        <f>IF(ITEM!$B39="","",$G61*$J61)</f>
      </c>
      <c r="L61" s="2"/>
      <c r="M61" s="2"/>
      <c r="N61" s="2"/>
      <c r="O61" s="2"/>
    </row>
    <row r="62" spans="1:15" ht="13.05" hidden="1" customHeight="1" outlineLevel="2" x14ac:dyDescent="0.45">
      <c r="A62" s="4">
        <f>IF(ITEM!$B40="","",ITEM!$A40)</f>
      </c>
      <c r="B62" s="118">
        <f>IF(ITEM!$B40="","",ITEM!$B40)</f>
      </c>
      <c r="C62" s="119"/>
      <c r="D62" s="13">
        <f>IF(ITEM!$B40="","",ITEM!$D40)</f>
      </c>
      <c r="E62" s="5">
        <f>IF(ITEM!$B40="","",ITEM!$C40)</f>
      </c>
      <c r="F62" s="13" cm="1">
        <f t="array" ref="F62">IF(ITEM!$B40="","",SUMPRODUCT((COLUMN(ITEM!$G40:$J40)-COLUMN(ITEM!$G40)+1&lt;$O$1)*ITEM!$G40:$J40))</f>
      </c>
      <c r="G62" s="13" cm="1">
        <f t="array" ref="G62">IF(ITEM!$B40="","",INDEX(ITEM!$G40:$J40,1,$O$1))</f>
      </c>
      <c r="H62" s="13">
        <f>IF(ITEM!$B40="","",$F62+$G62)</f>
      </c>
      <c r="I62" s="13">
        <f>IF(ITEM!$B40="","",$D62-$H62)</f>
      </c>
      <c r="J62" s="6">
        <f>IF(ITEM!$B40="","",ITEM!$E40)</f>
      </c>
      <c r="K62" s="6">
        <f>IF(ITEM!$B40="","",$G62*$J62)</f>
      </c>
      <c r="L62" s="2"/>
      <c r="M62" s="2"/>
      <c r="N62" s="2"/>
      <c r="O62" s="2"/>
    </row>
    <row r="63" spans="1:15" ht="13.05" hidden="1" customHeight="1" outlineLevel="2" x14ac:dyDescent="0.45">
      <c r="A63" s="4">
        <f>IF(ITEM!$B41="","",ITEM!$A41)</f>
      </c>
      <c r="B63" s="118">
        <f>IF(ITEM!$B41="","",ITEM!$B41)</f>
      </c>
      <c r="C63" s="119"/>
      <c r="D63" s="13">
        <f>IF(ITEM!$B41="","",ITEM!$D41)</f>
      </c>
      <c r="E63" s="5">
        <f>IF(ITEM!$B41="","",ITEM!$C41)</f>
      </c>
      <c r="F63" s="13" cm="1">
        <f t="array" ref="F63">IF(ITEM!$B41="","",SUMPRODUCT((COLUMN(ITEM!$G41:$J41)-COLUMN(ITEM!$G41)+1&lt;$O$1)*ITEM!$G41:$J41))</f>
      </c>
      <c r="G63" s="13" cm="1">
        <f t="array" ref="G63">IF(ITEM!$B41="","",INDEX(ITEM!$G41:$J41,1,$O$1))</f>
      </c>
      <c r="H63" s="13">
        <f>IF(ITEM!$B41="","",$F63+$G63)</f>
      </c>
      <c r="I63" s="13">
        <f>IF(ITEM!$B41="","",$D63-$H63)</f>
      </c>
      <c r="J63" s="6">
        <f>IF(ITEM!$B41="","",ITEM!$E41)</f>
      </c>
      <c r="K63" s="6">
        <f>IF(ITEM!$B41="","",$G63*$J63)</f>
      </c>
      <c r="L63" s="2"/>
      <c r="M63" s="2"/>
      <c r="N63" s="2"/>
      <c r="O63" s="2"/>
    </row>
    <row r="64" spans="1:15" ht="13.05" hidden="1" customHeight="1" outlineLevel="2" x14ac:dyDescent="0.45">
      <c r="A64" s="4">
        <f>IF(ITEM!$B42="","",ITEM!$A42)</f>
      </c>
      <c r="B64" s="118">
        <f>IF(ITEM!$B42="","",ITEM!$B42)</f>
      </c>
      <c r="C64" s="119"/>
      <c r="D64" s="13">
        <f>IF(ITEM!$B42="","",ITEM!$D42)</f>
      </c>
      <c r="E64" s="5">
        <f>IF(ITEM!$B42="","",ITEM!$C42)</f>
      </c>
      <c r="F64" s="13" cm="1">
        <f t="array" ref="F64">IF(ITEM!$B42="","",SUMPRODUCT((COLUMN(ITEM!$G42:$J42)-COLUMN(ITEM!$G42)+1&lt;$O$1)*ITEM!$G42:$J42))</f>
      </c>
      <c r="G64" s="13" cm="1">
        <f t="array" ref="G64">IF(ITEM!$B42="","",INDEX(ITEM!$G42:$J42,1,$O$1))</f>
      </c>
      <c r="H64" s="13">
        <f>IF(ITEM!$B42="","",$F64+$G64)</f>
      </c>
      <c r="I64" s="13">
        <f>IF(ITEM!$B42="","",$D64-$H64)</f>
      </c>
      <c r="J64" s="6">
        <f>IF(ITEM!$B42="","",ITEM!$E42)</f>
      </c>
      <c r="K64" s="6">
        <f>IF(ITEM!$B42="","",$G64*$J64)</f>
      </c>
      <c r="L64" s="2"/>
      <c r="M64" s="2"/>
      <c r="N64" s="2"/>
      <c r="O64" s="2"/>
    </row>
    <row r="65" spans="1:15" ht="13.05" hidden="1" customHeight="1" outlineLevel="2" x14ac:dyDescent="0.45">
      <c r="A65" s="4">
        <f>IF(ITEM!$B43="","",ITEM!$A43)</f>
      </c>
      <c r="B65" s="118">
        <f>IF(ITEM!$B43="","",ITEM!$B43)</f>
      </c>
      <c r="C65" s="119"/>
      <c r="D65" s="13">
        <f>IF(ITEM!$B43="","",ITEM!$D43)</f>
      </c>
      <c r="E65" s="5">
        <f>IF(ITEM!$B43="","",ITEM!$C43)</f>
      </c>
      <c r="F65" s="13" cm="1">
        <f t="array" ref="F65">IF(ITEM!$B43="","",SUMPRODUCT((COLUMN(ITEM!$G43:$J43)-COLUMN(ITEM!$G43)+1&lt;$O$1)*ITEM!$G43:$J43))</f>
      </c>
      <c r="G65" s="13" cm="1">
        <f t="array" ref="G65">IF(ITEM!$B43="","",INDEX(ITEM!$G43:$J43,1,$O$1))</f>
      </c>
      <c r="H65" s="13">
        <f>IF(ITEM!$B43="","",$F65+$G65)</f>
      </c>
      <c r="I65" s="13">
        <f>IF(ITEM!$B43="","",$D65-$H65)</f>
      </c>
      <c r="J65" s="6">
        <f>IF(ITEM!$B43="","",ITEM!$E43)</f>
      </c>
      <c r="K65" s="6">
        <f>IF(ITEM!$B43="","",$G65*$J65)</f>
      </c>
      <c r="L65" s="2"/>
      <c r="M65" s="2"/>
      <c r="N65" s="2"/>
      <c r="O65" s="2"/>
    </row>
    <row r="66" spans="1:15" ht="13.05" hidden="1" customHeight="1" outlineLevel="2" x14ac:dyDescent="0.45">
      <c r="A66" s="4">
        <f>IF(ITEM!$B44="","",ITEM!$A44)</f>
      </c>
      <c r="B66" s="118">
        <f>IF(ITEM!$B44="","",ITEM!$B44)</f>
      </c>
      <c r="C66" s="119"/>
      <c r="D66" s="13">
        <f>IF(ITEM!$B44="","",ITEM!$D44)</f>
      </c>
      <c r="E66" s="5">
        <f>IF(ITEM!$B44="","",ITEM!$C44)</f>
      </c>
      <c r="F66" s="13" cm="1">
        <f t="array" ref="F66">IF(ITEM!$B44="","",SUMPRODUCT((COLUMN(ITEM!$G44:$J44)-COLUMN(ITEM!$G44)+1&lt;$O$1)*ITEM!$G44:$J44))</f>
      </c>
      <c r="G66" s="13" cm="1">
        <f t="array" ref="G66">IF(ITEM!$B44="","",INDEX(ITEM!$G44:$J44,1,$O$1))</f>
      </c>
      <c r="H66" s="13">
        <f>IF(ITEM!$B44="","",$F66+$G66)</f>
      </c>
      <c r="I66" s="13">
        <f>IF(ITEM!$B44="","",$D66-$H66)</f>
      </c>
      <c r="J66" s="6">
        <f>IF(ITEM!$B44="","",ITEM!$E44)</f>
      </c>
      <c r="K66" s="6">
        <f>IF(ITEM!$B44="","",$G66*$J66)</f>
      </c>
      <c r="L66" s="2"/>
      <c r="M66" s="2"/>
      <c r="N66" s="2"/>
      <c r="O66" s="2"/>
    </row>
    <row r="67" spans="1:15" ht="13.05" hidden="1" customHeight="1" outlineLevel="2" x14ac:dyDescent="0.45">
      <c r="A67" s="4">
        <f>IF(ITEM!$B45="","",ITEM!$A45)</f>
      </c>
      <c r="B67" s="118">
        <f>IF(ITEM!$B45="","",ITEM!$B45)</f>
      </c>
      <c r="C67" s="119"/>
      <c r="D67" s="13">
        <f>IF(ITEM!$B45="","",ITEM!$D45)</f>
      </c>
      <c r="E67" s="5">
        <f>IF(ITEM!$B45="","",ITEM!$C45)</f>
      </c>
      <c r="F67" s="13" cm="1">
        <f t="array" ref="F67">IF(ITEM!$B45="","",SUMPRODUCT((COLUMN(ITEM!$G45:$J45)-COLUMN(ITEM!$G45)+1&lt;$O$1)*ITEM!$G45:$J45))</f>
      </c>
      <c r="G67" s="13" cm="1">
        <f t="array" ref="G67">IF(ITEM!$B45="","",INDEX(ITEM!$G45:$J45,1,$O$1))</f>
      </c>
      <c r="H67" s="13">
        <f>IF(ITEM!$B45="","",$F67+$G67)</f>
      </c>
      <c r="I67" s="13">
        <f>IF(ITEM!$B45="","",$D67-$H67)</f>
      </c>
      <c r="J67" s="6">
        <f>IF(ITEM!$B45="","",ITEM!$E45)</f>
      </c>
      <c r="K67" s="6">
        <f>IF(ITEM!$B45="","",$G67*$J67)</f>
      </c>
      <c r="L67" s="2"/>
      <c r="M67" s="2"/>
      <c r="N67" s="2"/>
      <c r="O67" s="2"/>
    </row>
    <row r="68" spans="1:15" ht="13.05" hidden="1" customHeight="1" outlineLevel="2" x14ac:dyDescent="0.45">
      <c r="A68" s="4">
        <f>IF(ITEM!$B46="","",ITEM!$A46)</f>
      </c>
      <c r="B68" s="118">
        <f>IF(ITEM!$B46="","",ITEM!$B46)</f>
      </c>
      <c r="C68" s="119"/>
      <c r="D68" s="13">
        <f>IF(ITEM!$B46="","",ITEM!$D46)</f>
      </c>
      <c r="E68" s="5">
        <f>IF(ITEM!$B46="","",ITEM!$C46)</f>
      </c>
      <c r="F68" s="13" cm="1">
        <f t="array" ref="F68">IF(ITEM!$B46="","",SUMPRODUCT((COLUMN(ITEM!$G46:$J46)-COLUMN(ITEM!$G46)+1&lt;$O$1)*ITEM!$G46:$J46))</f>
      </c>
      <c r="G68" s="13" cm="1">
        <f t="array" ref="G68">IF(ITEM!$B46="","",INDEX(ITEM!$G46:$J46,1,$O$1))</f>
      </c>
      <c r="H68" s="13">
        <f>IF(ITEM!$B46="","",$F68+$G68)</f>
      </c>
      <c r="I68" s="13">
        <f>IF(ITEM!$B46="","",$D68-$H68)</f>
      </c>
      <c r="J68" s="6">
        <f>IF(ITEM!$B46="","",ITEM!$E46)</f>
      </c>
      <c r="K68" s="6">
        <f>IF(ITEM!$B46="","",$G68*$J68)</f>
      </c>
      <c r="L68" s="2"/>
      <c r="M68" s="2"/>
      <c r="N68" s="2"/>
      <c r="O68" s="2"/>
    </row>
    <row r="69" spans="1:15" ht="13.05" hidden="1" customHeight="1" outlineLevel="2" x14ac:dyDescent="0.45">
      <c r="A69" s="4">
        <f>IF(ITEM!$B47="","",ITEM!$A47)</f>
      </c>
      <c r="B69" s="118">
        <f>IF(ITEM!$B47="","",ITEM!$B47)</f>
      </c>
      <c r="C69" s="119"/>
      <c r="D69" s="13">
        <f>IF(ITEM!$B47="","",ITEM!$D47)</f>
      </c>
      <c r="E69" s="5">
        <f>IF(ITEM!$B47="","",ITEM!$C47)</f>
      </c>
      <c r="F69" s="13" cm="1">
        <f t="array" ref="F69">IF(ITEM!$B47="","",SUMPRODUCT((COLUMN(ITEM!$G47:$J47)-COLUMN(ITEM!$G47)+1&lt;$O$1)*ITEM!$G47:$J47))</f>
      </c>
      <c r="G69" s="13" cm="1">
        <f t="array" ref="G69">IF(ITEM!$B47="","",INDEX(ITEM!$G47:$J47,1,$O$1))</f>
      </c>
      <c r="H69" s="13">
        <f>IF(ITEM!$B47="","",$F69+$G69)</f>
      </c>
      <c r="I69" s="13">
        <f>IF(ITEM!$B47="","",$D69-$H69)</f>
      </c>
      <c r="J69" s="6">
        <f>IF(ITEM!$B47="","",ITEM!$E47)</f>
      </c>
      <c r="K69" s="6">
        <f>IF(ITEM!$B47="","",$G69*$J69)</f>
      </c>
      <c r="L69" s="2"/>
      <c r="M69" s="2"/>
      <c r="N69" s="2"/>
      <c r="O69" s="2"/>
    </row>
    <row r="70" spans="1:15" ht="13.05" hidden="1" customHeight="1" outlineLevel="2" x14ac:dyDescent="0.45">
      <c r="A70" s="4">
        <f>IF(ITEM!$B48="","",ITEM!$A48)</f>
      </c>
      <c r="B70" s="118">
        <f>IF(ITEM!$B48="","",ITEM!$B48)</f>
      </c>
      <c r="C70" s="119"/>
      <c r="D70" s="13">
        <f>IF(ITEM!$B48="","",ITEM!$D48)</f>
      </c>
      <c r="E70" s="5">
        <f>IF(ITEM!$B48="","",ITEM!$C48)</f>
      </c>
      <c r="F70" s="13" cm="1">
        <f t="array" ref="F70">IF(ITEM!$B48="","",SUMPRODUCT((COLUMN(ITEM!$G48:$J48)-COLUMN(ITEM!$G48)+1&lt;$O$1)*ITEM!$G48:$J48))</f>
      </c>
      <c r="G70" s="13" cm="1">
        <f t="array" ref="G70">IF(ITEM!$B48="","",INDEX(ITEM!$G48:$J48,1,$O$1))</f>
      </c>
      <c r="H70" s="13">
        <f>IF(ITEM!$B48="","",$F70+$G70)</f>
      </c>
      <c r="I70" s="13">
        <f>IF(ITEM!$B48="","",$D70-$H70)</f>
      </c>
      <c r="J70" s="6">
        <f>IF(ITEM!$B48="","",ITEM!$E48)</f>
      </c>
      <c r="K70" s="6">
        <f>IF(ITEM!$B48="","",$G70*$J70)</f>
      </c>
      <c r="L70" s="2"/>
      <c r="M70" s="2"/>
      <c r="N70" s="2"/>
      <c r="O70" s="2"/>
    </row>
    <row r="71" spans="1:15" ht="13.05" hidden="1" customHeight="1" outlineLevel="2" x14ac:dyDescent="0.45">
      <c r="A71" s="4">
        <f>IF(ITEM!$B49="","",ITEM!$A49)</f>
      </c>
      <c r="B71" s="118">
        <f>IF(ITEM!$B49="","",ITEM!$B49)</f>
      </c>
      <c r="C71" s="119"/>
      <c r="D71" s="13">
        <f>IF(ITEM!$B49="","",ITEM!$D49)</f>
      </c>
      <c r="E71" s="5">
        <f>IF(ITEM!$B49="","",ITEM!$C49)</f>
      </c>
      <c r="F71" s="13" cm="1">
        <f t="array" ref="F71">IF(ITEM!$B49="","",SUMPRODUCT((COLUMN(ITEM!$G49:$J49)-COLUMN(ITEM!$G49)+1&lt;$O$1)*ITEM!$G49:$J49))</f>
      </c>
      <c r="G71" s="13" cm="1">
        <f t="array" ref="G71">IF(ITEM!$B49="","",INDEX(ITEM!$G49:$J49,1,$O$1))</f>
      </c>
      <c r="H71" s="13">
        <f>IF(ITEM!$B49="","",$F71+$G71)</f>
      </c>
      <c r="I71" s="13">
        <f>IF(ITEM!$B49="","",$D71-$H71)</f>
      </c>
      <c r="J71" s="6">
        <f>IF(ITEM!$B49="","",ITEM!$E49)</f>
      </c>
      <c r="K71" s="6">
        <f>IF(ITEM!$B49="","",$G71*$J71)</f>
      </c>
      <c r="L71" s="2"/>
      <c r="M71" s="2"/>
      <c r="N71" s="2"/>
      <c r="O71" s="2"/>
    </row>
    <row r="72" spans="1:15" ht="13.05" hidden="1" customHeight="1" outlineLevel="2" x14ac:dyDescent="0.45">
      <c r="A72" s="4">
        <f>IF(ITEM!$B50="","",ITEM!$A50)</f>
      </c>
      <c r="B72" s="118">
        <f>IF(ITEM!$B50="","",ITEM!$B50)</f>
      </c>
      <c r="C72" s="119"/>
      <c r="D72" s="13">
        <f>IF(ITEM!$B50="","",ITEM!$D50)</f>
      </c>
      <c r="E72" s="5">
        <f>IF(ITEM!$B50="","",ITEM!$C50)</f>
      </c>
      <c r="F72" s="13" cm="1">
        <f t="array" ref="F72">IF(ITEM!$B50="","",SUMPRODUCT((COLUMN(ITEM!$G50:$J50)-COLUMN(ITEM!$G50)+1&lt;$O$1)*ITEM!$G50:$J50))</f>
      </c>
      <c r="G72" s="13" cm="1">
        <f t="array" ref="G72">IF(ITEM!$B50="","",INDEX(ITEM!$G50:$J50,1,$O$1))</f>
      </c>
      <c r="H72" s="13">
        <f>IF(ITEM!$B50="","",$F72+$G72)</f>
      </c>
      <c r="I72" s="13">
        <f>IF(ITEM!$B50="","",$D72-$H72)</f>
      </c>
      <c r="J72" s="6">
        <f>IF(ITEM!$B50="","",ITEM!$E50)</f>
      </c>
      <c r="K72" s="6">
        <f>IF(ITEM!$B50="","",$G72*$J72)</f>
      </c>
      <c r="L72" s="2"/>
      <c r="M72" s="2"/>
      <c r="N72" s="2"/>
      <c r="O72" s="2"/>
    </row>
    <row r="73" spans="1:15" ht="13.05" hidden="1" customHeight="1" outlineLevel="2" x14ac:dyDescent="0.45">
      <c r="A73" s="4">
        <f>IF(ITEM!$B51="","",ITEM!$A51)</f>
      </c>
      <c r="B73" s="118">
        <f>IF(ITEM!$B51="","",ITEM!$B51)</f>
      </c>
      <c r="C73" s="119"/>
      <c r="D73" s="13">
        <f>IF(ITEM!$B51="","",ITEM!$D51)</f>
      </c>
      <c r="E73" s="5">
        <f>IF(ITEM!$B51="","",ITEM!$C51)</f>
      </c>
      <c r="F73" s="13" cm="1">
        <f t="array" ref="F73">IF(ITEM!$B51="","",SUMPRODUCT((COLUMN(ITEM!$G51:$J51)-COLUMN(ITEM!$G51)+1&lt;$O$1)*ITEM!$G51:$J51))</f>
      </c>
      <c r="G73" s="13" cm="1">
        <f t="array" ref="G73">IF(ITEM!$B51="","",INDEX(ITEM!$G51:$J51,1,$O$1))</f>
      </c>
      <c r="H73" s="13">
        <f>IF(ITEM!$B51="","",$F73+$G73)</f>
      </c>
      <c r="I73" s="13">
        <f>IF(ITEM!$B51="","",$D73-$H73)</f>
      </c>
      <c r="J73" s="6">
        <f>IF(ITEM!$B51="","",ITEM!$E51)</f>
      </c>
      <c r="K73" s="6">
        <f>IF(ITEM!$B51="","",$G73*$J73)</f>
      </c>
      <c r="L73" s="2"/>
      <c r="M73" s="2"/>
      <c r="N73" s="2"/>
      <c r="O73" s="2"/>
    </row>
    <row r="74" spans="1:15" ht="13.05" hidden="1" customHeight="1" outlineLevel="2" x14ac:dyDescent="0.45">
      <c r="A74" s="4">
        <f>IF(ITEM!$B52="","",ITEM!$A52)</f>
      </c>
      <c r="B74" s="118">
        <f>IF(ITEM!$B52="","",ITEM!$B52)</f>
      </c>
      <c r="C74" s="119"/>
      <c r="D74" s="13">
        <f>IF(ITEM!$B52="","",ITEM!$D52)</f>
      </c>
      <c r="E74" s="5">
        <f>IF(ITEM!$B52="","",ITEM!$C52)</f>
      </c>
      <c r="F74" s="13" cm="1">
        <f t="array" ref="F74">IF(ITEM!$B52="","",SUMPRODUCT((COLUMN(ITEM!$G52:$J52)-COLUMN(ITEM!$G52)+1&lt;$O$1)*ITEM!$G52:$J52))</f>
      </c>
      <c r="G74" s="13" cm="1">
        <f t="array" ref="G74">IF(ITEM!$B52="","",INDEX(ITEM!$G52:$J52,1,$O$1))</f>
      </c>
      <c r="H74" s="13">
        <f>IF(ITEM!$B52="","",$F74+$G74)</f>
      </c>
      <c r="I74" s="13">
        <f>IF(ITEM!$B52="","",$D74-$H74)</f>
      </c>
      <c r="J74" s="6">
        <f>IF(ITEM!$B52="","",ITEM!$E52)</f>
      </c>
      <c r="K74" s="6">
        <f>IF(ITEM!$B52="","",$G74*$J74)</f>
      </c>
      <c r="L74" s="2"/>
      <c r="M74" s="2"/>
      <c r="N74" s="2"/>
      <c r="O74" s="2"/>
    </row>
    <row r="75" spans="1:15" ht="13.05" hidden="1" customHeight="1" outlineLevel="2" x14ac:dyDescent="0.45">
      <c r="A75" s="4">
        <f>IF(ITEM!$B53="","",ITEM!$A53)</f>
      </c>
      <c r="B75" s="118">
        <f>IF(ITEM!$B53="","",ITEM!$B53)</f>
      </c>
      <c r="C75" s="119"/>
      <c r="D75" s="13">
        <f>IF(ITEM!$B53="","",ITEM!$D53)</f>
      </c>
      <c r="E75" s="5">
        <f>IF(ITEM!$B53="","",ITEM!$C53)</f>
      </c>
      <c r="F75" s="13" cm="1">
        <f t="array" ref="F75">IF(ITEM!$B53="","",SUMPRODUCT((COLUMN(ITEM!$G53:$J53)-COLUMN(ITEM!$G53)+1&lt;$O$1)*ITEM!$G53:$J53))</f>
      </c>
      <c r="G75" s="13" cm="1">
        <f t="array" ref="G75">IF(ITEM!$B53="","",INDEX(ITEM!$G53:$J53,1,$O$1))</f>
      </c>
      <c r="H75" s="13">
        <f>IF(ITEM!$B53="","",$F75+$G75)</f>
      </c>
      <c r="I75" s="13">
        <f>IF(ITEM!$B53="","",$D75-$H75)</f>
      </c>
      <c r="J75" s="6">
        <f>IF(ITEM!$B53="","",ITEM!$E53)</f>
      </c>
      <c r="K75" s="6">
        <f>IF(ITEM!$B53="","",$G75*$J75)</f>
      </c>
      <c r="L75" s="2"/>
      <c r="M75" s="2"/>
      <c r="N75" s="2"/>
      <c r="O75" s="2"/>
    </row>
    <row r="76" spans="1:15" ht="13.05" hidden="1" customHeight="1" outlineLevel="2" x14ac:dyDescent="0.45">
      <c r="A76" s="4">
        <f>IF(ITEM!$B54="","",ITEM!$A54)</f>
      </c>
      <c r="B76" s="118">
        <f>IF(ITEM!$B54="","",ITEM!$B54)</f>
      </c>
      <c r="C76" s="119"/>
      <c r="D76" s="13">
        <f>IF(ITEM!$B54="","",ITEM!$D54)</f>
      </c>
      <c r="E76" s="5">
        <f>IF(ITEM!$B54="","",ITEM!$C54)</f>
      </c>
      <c r="F76" s="13" cm="1">
        <f t="array" ref="F76">IF(ITEM!$B54="","",SUMPRODUCT((COLUMN(ITEM!$G54:$J54)-COLUMN(ITEM!$G54)+1&lt;$O$1)*ITEM!$G54:$J54))</f>
      </c>
      <c r="G76" s="13" cm="1">
        <f t="array" ref="G76">IF(ITEM!$B54="","",INDEX(ITEM!$G54:$J54,1,$O$1))</f>
      </c>
      <c r="H76" s="13">
        <f>IF(ITEM!$B54="","",$F76+$G76)</f>
      </c>
      <c r="I76" s="13">
        <f>IF(ITEM!$B54="","",$D76-$H76)</f>
      </c>
      <c r="J76" s="6">
        <f>IF(ITEM!$B54="","",ITEM!$E54)</f>
      </c>
      <c r="K76" s="6">
        <f>IF(ITEM!$B54="","",$G76*$J76)</f>
      </c>
      <c r="L76" s="2"/>
      <c r="M76" s="2"/>
      <c r="N76" s="2"/>
      <c r="O76" s="2"/>
    </row>
    <row r="77" spans="1:15" ht="13.05" hidden="1" customHeight="1" outlineLevel="2" x14ac:dyDescent="0.45">
      <c r="A77" s="4">
        <f>IF(ITEM!$B55="","",ITEM!$A55)</f>
      </c>
      <c r="B77" s="118">
        <f>IF(ITEM!$B55="","",ITEM!$B55)</f>
      </c>
      <c r="C77" s="119"/>
      <c r="D77" s="13">
        <f>IF(ITEM!$B55="","",ITEM!$D55)</f>
      </c>
      <c r="E77" s="5">
        <f>IF(ITEM!$B55="","",ITEM!$C55)</f>
      </c>
      <c r="F77" s="13" cm="1">
        <f t="array" ref="F77">IF(ITEM!$B55="","",SUMPRODUCT((COLUMN(ITEM!$G55:$J55)-COLUMN(ITEM!$G55)+1&lt;$O$1)*ITEM!$G55:$J55))</f>
      </c>
      <c r="G77" s="13" cm="1">
        <f t="array" ref="G77">IF(ITEM!$B55="","",INDEX(ITEM!$G55:$J55,1,$O$1))</f>
      </c>
      <c r="H77" s="13">
        <f>IF(ITEM!$B55="","",$F77+$G77)</f>
      </c>
      <c r="I77" s="13">
        <f>IF(ITEM!$B55="","",$D77-$H77)</f>
      </c>
      <c r="J77" s="6">
        <f>IF(ITEM!$B55="","",ITEM!$E55)</f>
      </c>
      <c r="K77" s="6">
        <f>IF(ITEM!$B55="","",$G77*$J77)</f>
      </c>
      <c r="L77" s="2"/>
      <c r="M77" s="2"/>
      <c r="N77" s="2"/>
      <c r="O77" s="2"/>
    </row>
    <row r="78" spans="1:15" ht="13.05" hidden="1" customHeight="1" outlineLevel="2" x14ac:dyDescent="0.45">
      <c r="A78" s="4">
        <f>IF(ITEM!$B56="","",ITEM!$A56)</f>
      </c>
      <c r="B78" s="118">
        <f>IF(ITEM!$B56="","",ITEM!$B56)</f>
      </c>
      <c r="C78" s="119"/>
      <c r="D78" s="13">
        <f>IF(ITEM!$B56="","",ITEM!$D56)</f>
      </c>
      <c r="E78" s="5">
        <f>IF(ITEM!$B56="","",ITEM!$C56)</f>
      </c>
      <c r="F78" s="13" cm="1">
        <f t="array" ref="F78">IF(ITEM!$B56="","",SUMPRODUCT((COLUMN(ITEM!$G56:$J56)-COLUMN(ITEM!$G56)+1&lt;$O$1)*ITEM!$G56:$J56))</f>
      </c>
      <c r="G78" s="13" cm="1">
        <f t="array" ref="G78">IF(ITEM!$B56="","",INDEX(ITEM!$G56:$J56,1,$O$1))</f>
      </c>
      <c r="H78" s="13">
        <f>IF(ITEM!$B56="","",$F78+$G78)</f>
      </c>
      <c r="I78" s="13">
        <f>IF(ITEM!$B56="","",$D78-$H78)</f>
      </c>
      <c r="J78" s="6">
        <f>IF(ITEM!$B56="","",ITEM!$E56)</f>
      </c>
      <c r="K78" s="6">
        <f>IF(ITEM!$B56="","",$G78*$J78)</f>
      </c>
      <c r="L78" s="2"/>
      <c r="M78" s="2"/>
      <c r="N78" s="2"/>
      <c r="O78" s="2"/>
    </row>
    <row r="79" spans="1:15" ht="13.05" hidden="1" customHeight="1" outlineLevel="2" x14ac:dyDescent="0.45">
      <c r="A79" s="4">
        <f>IF(ITEM!$B57="","",ITEM!$A57)</f>
      </c>
      <c r="B79" s="118">
        <f>IF(ITEM!$B57="","",ITEM!$B57)</f>
      </c>
      <c r="C79" s="119"/>
      <c r="D79" s="13">
        <f>IF(ITEM!$B57="","",ITEM!$D57)</f>
      </c>
      <c r="E79" s="5">
        <f>IF(ITEM!$B57="","",ITEM!$C57)</f>
      </c>
      <c r="F79" s="13" cm="1">
        <f t="array" ref="F79">IF(ITEM!$B57="","",SUMPRODUCT((COLUMN(ITEM!$G57:$J57)-COLUMN(ITEM!$G57)+1&lt;$O$1)*ITEM!$G57:$J57))</f>
      </c>
      <c r="G79" s="13" cm="1">
        <f t="array" ref="G79">IF(ITEM!$B57="","",INDEX(ITEM!$G57:$J57,1,$O$1))</f>
      </c>
      <c r="H79" s="13">
        <f>IF(ITEM!$B57="","",$F79+$G79)</f>
      </c>
      <c r="I79" s="13">
        <f>IF(ITEM!$B57="","",$D79-$H79)</f>
      </c>
      <c r="J79" s="6">
        <f>IF(ITEM!$B57="","",ITEM!$E57)</f>
      </c>
      <c r="K79" s="6">
        <f>IF(ITEM!$B57="","",$G79*$J79)</f>
      </c>
      <c r="L79" s="2"/>
      <c r="M79" s="2"/>
      <c r="N79" s="2"/>
      <c r="O79" s="2"/>
    </row>
    <row r="80" spans="1:15" ht="13.05" hidden="1" customHeight="1" outlineLevel="2" x14ac:dyDescent="0.45">
      <c r="A80" s="4">
        <f>IF(ITEM!$B58="","",ITEM!$A58)</f>
      </c>
      <c r="B80" s="118">
        <f>IF(ITEM!$B58="","",ITEM!$B58)</f>
      </c>
      <c r="C80" s="119"/>
      <c r="D80" s="13">
        <f>IF(ITEM!$B58="","",ITEM!$D58)</f>
      </c>
      <c r="E80" s="5">
        <f>IF(ITEM!$B58="","",ITEM!$C58)</f>
      </c>
      <c r="F80" s="13" cm="1">
        <f t="array" ref="F80">IF(ITEM!$B58="","",SUMPRODUCT((COLUMN(ITEM!$G58:$J58)-COLUMN(ITEM!$G58)+1&lt;$O$1)*ITEM!$G58:$J58))</f>
      </c>
      <c r="G80" s="13" cm="1">
        <f t="array" ref="G80">IF(ITEM!$B58="","",INDEX(ITEM!$G58:$J58,1,$O$1))</f>
      </c>
      <c r="H80" s="13">
        <f>IF(ITEM!$B58="","",$F80+$G80)</f>
      </c>
      <c r="I80" s="13">
        <f>IF(ITEM!$B58="","",$D80-$H80)</f>
      </c>
      <c r="J80" s="6">
        <f>IF(ITEM!$B58="","",ITEM!$E58)</f>
      </c>
      <c r="K80" s="6">
        <f>IF(ITEM!$B58="","",$G80*$J80)</f>
      </c>
      <c r="L80" s="2"/>
      <c r="M80" s="2"/>
      <c r="N80" s="2"/>
      <c r="O80" s="2"/>
    </row>
    <row r="81" spans="1:15" ht="13.05" hidden="1" customHeight="1" outlineLevel="2" x14ac:dyDescent="0.45">
      <c r="A81" s="4">
        <f>IF(ITEM!$B59="","",ITEM!$A59)</f>
      </c>
      <c r="B81" s="118">
        <f>IF(ITEM!$B59="","",ITEM!$B59)</f>
      </c>
      <c r="C81" s="119"/>
      <c r="D81" s="13">
        <f>IF(ITEM!$B59="","",ITEM!$D59)</f>
      </c>
      <c r="E81" s="5">
        <f>IF(ITEM!$B59="","",ITEM!$C59)</f>
      </c>
      <c r="F81" s="13" cm="1">
        <f t="array" ref="F81">IF(ITEM!$B59="","",SUMPRODUCT((COLUMN(ITEM!$G59:$J59)-COLUMN(ITEM!$G59)+1&lt;$O$1)*ITEM!$G59:$J59))</f>
      </c>
      <c r="G81" s="13" cm="1">
        <f t="array" ref="G81">IF(ITEM!$B59="","",INDEX(ITEM!$G59:$J59,1,$O$1))</f>
      </c>
      <c r="H81" s="13">
        <f>IF(ITEM!$B59="","",$F81+$G81)</f>
      </c>
      <c r="I81" s="13">
        <f>IF(ITEM!$B59="","",$D81-$H81)</f>
      </c>
      <c r="J81" s="6">
        <f>IF(ITEM!$B59="","",ITEM!$E59)</f>
      </c>
      <c r="K81" s="6">
        <f>IF(ITEM!$B59="","",$G81*$J81)</f>
      </c>
      <c r="L81" s="2"/>
      <c r="M81" s="2"/>
      <c r="N81" s="2"/>
      <c r="O81" s="2"/>
    </row>
    <row r="82" spans="1:15" ht="13.05" hidden="1" customHeight="1" outlineLevel="2" x14ac:dyDescent="0.45">
      <c r="A82" s="4">
        <f>IF(ITEM!$B60="","",ITEM!$A60)</f>
      </c>
      <c r="B82" s="118">
        <f>IF(ITEM!$B60="","",ITEM!$B60)</f>
      </c>
      <c r="C82" s="119"/>
      <c r="D82" s="13">
        <f>IF(ITEM!$B60="","",ITEM!$D60)</f>
      </c>
      <c r="E82" s="5">
        <f>IF(ITEM!$B60="","",ITEM!$C60)</f>
      </c>
      <c r="F82" s="13" cm="1">
        <f t="array" ref="F82">IF(ITEM!$B60="","",SUMPRODUCT((COLUMN(ITEM!$G60:$J60)-COLUMN(ITEM!$G60)+1&lt;$O$1)*ITEM!$G60:$J60))</f>
      </c>
      <c r="G82" s="13" cm="1">
        <f t="array" ref="G82">IF(ITEM!$B60="","",INDEX(ITEM!$G60:$J60,1,$O$1))</f>
      </c>
      <c r="H82" s="13">
        <f>IF(ITEM!$B60="","",$F82+$G82)</f>
      </c>
      <c r="I82" s="13">
        <f>IF(ITEM!$B60="","",$D82-$H82)</f>
      </c>
      <c r="J82" s="6">
        <f>IF(ITEM!$B60="","",ITEM!$E60)</f>
      </c>
      <c r="K82" s="6">
        <f>IF(ITEM!$B60="","",$G82*$J82)</f>
      </c>
      <c r="L82" s="2"/>
      <c r="M82" s="2"/>
      <c r="N82" s="2"/>
      <c r="O82" s="2"/>
    </row>
    <row r="83" spans="1:15" ht="13.05" hidden="1" customHeight="1" outlineLevel="2" x14ac:dyDescent="0.45">
      <c r="A83" s="4">
        <f>IF(ITEM!$B61="","",ITEM!$A61)</f>
      </c>
      <c r="B83" s="118">
        <f>IF(ITEM!$B61="","",ITEM!$B61)</f>
      </c>
      <c r="C83" s="119"/>
      <c r="D83" s="13">
        <f>IF(ITEM!$B61="","",ITEM!$D61)</f>
      </c>
      <c r="E83" s="5">
        <f>IF(ITEM!$B61="","",ITEM!$C61)</f>
      </c>
      <c r="F83" s="13" cm="1">
        <f t="array" ref="F83">IF(ITEM!$B61="","",SUMPRODUCT((COLUMN(ITEM!$G61:$J61)-COLUMN(ITEM!$G61)+1&lt;$O$1)*ITEM!$G61:$J61))</f>
      </c>
      <c r="G83" s="13" cm="1">
        <f t="array" ref="G83">IF(ITEM!$B61="","",INDEX(ITEM!$G61:$J61,1,$O$1))</f>
      </c>
      <c r="H83" s="13">
        <f>IF(ITEM!$B61="","",$F83+$G83)</f>
      </c>
      <c r="I83" s="13">
        <f>IF(ITEM!$B61="","",$D83-$H83)</f>
      </c>
      <c r="J83" s="6">
        <f>IF(ITEM!$B61="","",ITEM!$E61)</f>
      </c>
      <c r="K83" s="6">
        <f>IF(ITEM!$B61="","",$G83*$J83)</f>
      </c>
      <c r="L83" s="2"/>
      <c r="M83" s="2"/>
      <c r="N83" s="2"/>
      <c r="O83" s="2"/>
    </row>
    <row r="84" spans="1:15" ht="13.05" hidden="1" customHeight="1" outlineLevel="2" x14ac:dyDescent="0.45">
      <c r="A84" s="4">
        <f>IF(ITEM!$B62="","",ITEM!$A62)</f>
      </c>
      <c r="B84" s="118">
        <f>IF(ITEM!$B62="","",ITEM!$B62)</f>
      </c>
      <c r="C84" s="119"/>
      <c r="D84" s="13">
        <f>IF(ITEM!$B62="","",ITEM!$D62)</f>
      </c>
      <c r="E84" s="5">
        <f>IF(ITEM!$B62="","",ITEM!$C62)</f>
      </c>
      <c r="F84" s="13" cm="1">
        <f t="array" ref="F84">IF(ITEM!$B62="","",SUMPRODUCT((COLUMN(ITEM!$G62:$J62)-COLUMN(ITEM!$G62)+1&lt;$O$1)*ITEM!$G62:$J62))</f>
      </c>
      <c r="G84" s="13" cm="1">
        <f t="array" ref="G84">IF(ITEM!$B62="","",INDEX(ITEM!$G62:$J62,1,$O$1))</f>
      </c>
      <c r="H84" s="13">
        <f>IF(ITEM!$B62="","",$F84+$G84)</f>
      </c>
      <c r="I84" s="13">
        <f>IF(ITEM!$B62="","",$D84-$H84)</f>
      </c>
      <c r="J84" s="6">
        <f>IF(ITEM!$B62="","",ITEM!$E62)</f>
      </c>
      <c r="K84" s="6">
        <f>IF(ITEM!$B62="","",$G84*$J84)</f>
      </c>
      <c r="L84" s="2"/>
      <c r="M84" s="2"/>
      <c r="N84" s="2"/>
      <c r="O84" s="2"/>
    </row>
    <row r="85" spans="1:15" ht="13.05" hidden="1" customHeight="1" outlineLevel="2" x14ac:dyDescent="0.45">
      <c r="A85" s="4">
        <f>IF(ITEM!$B63="","",ITEM!$A63)</f>
      </c>
      <c r="B85" s="118">
        <f>IF(ITEM!$B63="","",ITEM!$B63)</f>
      </c>
      <c r="C85" s="119"/>
      <c r="D85" s="13">
        <f>IF(ITEM!$B63="","",ITEM!$D63)</f>
      </c>
      <c r="E85" s="5">
        <f>IF(ITEM!$B63="","",ITEM!$C63)</f>
      </c>
      <c r="F85" s="13" cm="1">
        <f t="array" ref="F85">IF(ITEM!$B63="","",SUMPRODUCT((COLUMN(ITEM!$G63:$J63)-COLUMN(ITEM!$G63)+1&lt;$O$1)*ITEM!$G63:$J63))</f>
      </c>
      <c r="G85" s="13" cm="1">
        <f t="array" ref="G85">IF(ITEM!$B63="","",INDEX(ITEM!$G63:$J63,1,$O$1))</f>
      </c>
      <c r="H85" s="13">
        <f>IF(ITEM!$B63="","",$F85+$G85)</f>
      </c>
      <c r="I85" s="13">
        <f>IF(ITEM!$B63="","",$D85-$H85)</f>
      </c>
      <c r="J85" s="6">
        <f>IF(ITEM!$B63="","",ITEM!$E63)</f>
      </c>
      <c r="K85" s="6">
        <f>IF(ITEM!$B63="","",$G85*$J85)</f>
      </c>
      <c r="L85" s="2"/>
      <c r="M85" s="2"/>
      <c r="N85" s="2"/>
      <c r="O85" s="2"/>
    </row>
    <row r="86" spans="1:15" ht="13.05" hidden="1" customHeight="1" outlineLevel="2" x14ac:dyDescent="0.45">
      <c r="A86" s="4">
        <f>IF(ITEM!$B64="","",ITEM!$A64)</f>
      </c>
      <c r="B86" s="118">
        <f>IF(ITEM!$B64="","",ITEM!$B64)</f>
      </c>
      <c r="C86" s="119"/>
      <c r="D86" s="13">
        <f>IF(ITEM!$B64="","",ITEM!$D64)</f>
      </c>
      <c r="E86" s="5">
        <f>IF(ITEM!$B64="","",ITEM!$C64)</f>
      </c>
      <c r="F86" s="13" cm="1">
        <f t="array" ref="F86">IF(ITEM!$B64="","",SUMPRODUCT((COLUMN(ITEM!$G64:$J64)-COLUMN(ITEM!$G64)+1&lt;$O$1)*ITEM!$G64:$J64))</f>
      </c>
      <c r="G86" s="13" cm="1">
        <f t="array" ref="G86">IF(ITEM!$B64="","",INDEX(ITEM!$G64:$J64,1,$O$1))</f>
      </c>
      <c r="H86" s="13">
        <f>IF(ITEM!$B64="","",$F86+$G86)</f>
      </c>
      <c r="I86" s="13">
        <f>IF(ITEM!$B64="","",$D86-$H86)</f>
      </c>
      <c r="J86" s="6">
        <f>IF(ITEM!$B64="","",ITEM!$E64)</f>
      </c>
      <c r="K86" s="6">
        <f>IF(ITEM!$B64="","",$G86*$J86)</f>
      </c>
      <c r="L86" s="2"/>
      <c r="M86" s="2"/>
      <c r="N86" s="2"/>
      <c r="O86" s="2"/>
    </row>
    <row r="87" spans="1:15" ht="13.05" hidden="1" customHeight="1" outlineLevel="2" x14ac:dyDescent="0.45">
      <c r="A87" s="4">
        <f>IF(ITEM!$B65="","",ITEM!$A65)</f>
      </c>
      <c r="B87" s="118">
        <f>IF(ITEM!$B65="","",ITEM!$B65)</f>
      </c>
      <c r="C87" s="119"/>
      <c r="D87" s="13">
        <f>IF(ITEM!$B65="","",ITEM!$D65)</f>
      </c>
      <c r="E87" s="5">
        <f>IF(ITEM!$B65="","",ITEM!$C65)</f>
      </c>
      <c r="F87" s="13" cm="1">
        <f t="array" ref="F87">IF(ITEM!$B65="","",SUMPRODUCT((COLUMN(ITEM!$G65:$J65)-COLUMN(ITEM!$G65)+1&lt;$O$1)*ITEM!$G65:$J65))</f>
      </c>
      <c r="G87" s="13" cm="1">
        <f t="array" ref="G87">IF(ITEM!$B65="","",INDEX(ITEM!$G65:$J65,1,$O$1))</f>
      </c>
      <c r="H87" s="13">
        <f>IF(ITEM!$B65="","",$F87+$G87)</f>
      </c>
      <c r="I87" s="13">
        <f>IF(ITEM!$B65="","",$D87-$H87)</f>
      </c>
      <c r="J87" s="6">
        <f>IF(ITEM!$B65="","",ITEM!$E65)</f>
      </c>
      <c r="K87" s="6">
        <f>IF(ITEM!$B65="","",$G87*$J87)</f>
      </c>
      <c r="L87" s="2"/>
      <c r="M87" s="2"/>
      <c r="N87" s="2"/>
      <c r="O87" s="2"/>
    </row>
    <row r="88" spans="1:15" ht="13.05" hidden="1" customHeight="1" outlineLevel="2" x14ac:dyDescent="0.45">
      <c r="A88" s="4">
        <f>IF(ITEM!$B66="","",ITEM!$A66)</f>
      </c>
      <c r="B88" s="118">
        <f>IF(ITEM!$B66="","",ITEM!$B66)</f>
      </c>
      <c r="C88" s="119"/>
      <c r="D88" s="13">
        <f>IF(ITEM!$B66="","",ITEM!$D66)</f>
      </c>
      <c r="E88" s="5">
        <f>IF(ITEM!$B66="","",ITEM!$C66)</f>
      </c>
      <c r="F88" s="13" cm="1">
        <f t="array" ref="F88">IF(ITEM!$B66="","",SUMPRODUCT((COLUMN(ITEM!$G66:$J66)-COLUMN(ITEM!$G66)+1&lt;$O$1)*ITEM!$G66:$J66))</f>
      </c>
      <c r="G88" s="13" cm="1">
        <f t="array" ref="G88">IF(ITEM!$B66="","",INDEX(ITEM!$G66:$J66,1,$O$1))</f>
      </c>
      <c r="H88" s="13">
        <f>IF(ITEM!$B66="","",$F88+$G88)</f>
      </c>
      <c r="I88" s="13">
        <f>IF(ITEM!$B66="","",$D88-$H88)</f>
      </c>
      <c r="J88" s="6">
        <f>IF(ITEM!$B66="","",ITEM!$E66)</f>
      </c>
      <c r="K88" s="6">
        <f>IF(ITEM!$B66="","",$G88*$J88)</f>
      </c>
      <c r="L88" s="2"/>
      <c r="M88" s="2"/>
      <c r="N88" s="2"/>
      <c r="O88" s="2"/>
    </row>
    <row r="89" spans="1:15" ht="13.05" hidden="1" customHeight="1" outlineLevel="2" x14ac:dyDescent="0.45">
      <c r="A89" s="4">
        <f>IF(ITEM!$B67="","",ITEM!$A67)</f>
      </c>
      <c r="B89" s="118">
        <f>IF(ITEM!$B67="","",ITEM!$B67)</f>
      </c>
      <c r="C89" s="119"/>
      <c r="D89" s="13">
        <f>IF(ITEM!$B67="","",ITEM!$D67)</f>
      </c>
      <c r="E89" s="5">
        <f>IF(ITEM!$B67="","",ITEM!$C67)</f>
      </c>
      <c r="F89" s="13" cm="1">
        <f t="array" ref="F89">IF(ITEM!$B67="","",SUMPRODUCT((COLUMN(ITEM!$G67:$J67)-COLUMN(ITEM!$G67)+1&lt;$O$1)*ITEM!$G67:$J67))</f>
      </c>
      <c r="G89" s="13" cm="1">
        <f t="array" ref="G89">IF(ITEM!$B67="","",INDEX(ITEM!$G67:$J67,1,$O$1))</f>
      </c>
      <c r="H89" s="13">
        <f>IF(ITEM!$B67="","",$F89+$G89)</f>
      </c>
      <c r="I89" s="13">
        <f>IF(ITEM!$B67="","",$D89-$H89)</f>
      </c>
      <c r="J89" s="6">
        <f>IF(ITEM!$B67="","",ITEM!$E67)</f>
      </c>
      <c r="K89" s="6">
        <f>IF(ITEM!$B67="","",$G89*$J89)</f>
      </c>
      <c r="L89" s="2"/>
      <c r="M89" s="2"/>
      <c r="N89" s="2"/>
      <c r="O89" s="2"/>
    </row>
    <row r="90" spans="1:15" ht="13.05" hidden="1" customHeight="1" outlineLevel="2" x14ac:dyDescent="0.45">
      <c r="A90" s="4">
        <f>IF(ITEM!$B68="","",ITEM!$A68)</f>
      </c>
      <c r="B90" s="118">
        <f>IF(ITEM!$B68="","",ITEM!$B68)</f>
      </c>
      <c r="C90" s="119"/>
      <c r="D90" s="13">
        <f>IF(ITEM!$B68="","",ITEM!$D68)</f>
      </c>
      <c r="E90" s="5">
        <f>IF(ITEM!$B68="","",ITEM!$C68)</f>
      </c>
      <c r="F90" s="13" cm="1">
        <f t="array" ref="F90">IF(ITEM!$B68="","",SUMPRODUCT((COLUMN(ITEM!$G68:$J68)-COLUMN(ITEM!$G68)+1&lt;$O$1)*ITEM!$G68:$J68))</f>
      </c>
      <c r="G90" s="13" cm="1">
        <f t="array" ref="G90">IF(ITEM!$B68="","",INDEX(ITEM!$G68:$J68,1,$O$1))</f>
      </c>
      <c r="H90" s="13">
        <f>IF(ITEM!$B68="","",$F90+$G90)</f>
      </c>
      <c r="I90" s="13">
        <f>IF(ITEM!$B68="","",$D90-$H90)</f>
      </c>
      <c r="J90" s="6">
        <f>IF(ITEM!$B68="","",ITEM!$E68)</f>
      </c>
      <c r="K90" s="6">
        <f>IF(ITEM!$B68="","",$G90*$J90)</f>
      </c>
      <c r="L90" s="2"/>
      <c r="M90" s="2"/>
      <c r="N90" s="2"/>
      <c r="O90" s="2"/>
    </row>
    <row r="91" spans="1:15" ht="13.05" hidden="1" customHeight="1" outlineLevel="2" x14ac:dyDescent="0.45">
      <c r="A91" s="4">
        <f>IF(ITEM!$B69="","",ITEM!$A69)</f>
      </c>
      <c r="B91" s="118">
        <f>IF(ITEM!$B69="","",ITEM!$B69)</f>
      </c>
      <c r="C91" s="119"/>
      <c r="D91" s="13">
        <f>IF(ITEM!$B69="","",ITEM!$D69)</f>
      </c>
      <c r="E91" s="5">
        <f>IF(ITEM!$B69="","",ITEM!$C69)</f>
      </c>
      <c r="F91" s="13" cm="1">
        <f t="array" ref="F91">IF(ITEM!$B69="","",SUMPRODUCT((COLUMN(ITEM!$G69:$J69)-COLUMN(ITEM!$G69)+1&lt;$O$1)*ITEM!$G69:$J69))</f>
      </c>
      <c r="G91" s="13" cm="1">
        <f t="array" ref="G91">IF(ITEM!$B69="","",INDEX(ITEM!$G69:$J69,1,$O$1))</f>
      </c>
      <c r="H91" s="13">
        <f>IF(ITEM!$B69="","",$F91+$G91)</f>
      </c>
      <c r="I91" s="13">
        <f>IF(ITEM!$B69="","",$D91-$H91)</f>
      </c>
      <c r="J91" s="6">
        <f>IF(ITEM!$B69="","",ITEM!$E69)</f>
      </c>
      <c r="K91" s="6">
        <f>IF(ITEM!$B69="","",$G91*$J91)</f>
      </c>
      <c r="L91" s="2"/>
      <c r="M91" s="2"/>
      <c r="N91" s="2"/>
      <c r="O91" s="2"/>
    </row>
    <row r="92" spans="1:15" ht="13.05" hidden="1" customHeight="1" outlineLevel="2" x14ac:dyDescent="0.45">
      <c r="A92" s="4">
        <f>IF(ITEM!$B70="","",ITEM!$A70)</f>
      </c>
      <c r="B92" s="118">
        <f>IF(ITEM!$B70="","",ITEM!$B70)</f>
      </c>
      <c r="C92" s="119"/>
      <c r="D92" s="13">
        <f>IF(ITEM!$B70="","",ITEM!$D70)</f>
      </c>
      <c r="E92" s="5">
        <f>IF(ITEM!$B70="","",ITEM!$C70)</f>
      </c>
      <c r="F92" s="13" cm="1">
        <f t="array" ref="F92">IF(ITEM!$B70="","",SUMPRODUCT((COLUMN(ITEM!$G70:$J70)-COLUMN(ITEM!$G70)+1&lt;$O$1)*ITEM!$G70:$J70))</f>
      </c>
      <c r="G92" s="13" cm="1">
        <f t="array" ref="G92">IF(ITEM!$B70="","",INDEX(ITEM!$G70:$J70,1,$O$1))</f>
      </c>
      <c r="H92" s="13">
        <f>IF(ITEM!$B70="","",$F92+$G92)</f>
      </c>
      <c r="I92" s="13">
        <f>IF(ITEM!$B70="","",$D92-$H92)</f>
      </c>
      <c r="J92" s="6">
        <f>IF(ITEM!$B70="","",ITEM!$E70)</f>
      </c>
      <c r="K92" s="6">
        <f>IF(ITEM!$B70="","",$G92*$J92)</f>
      </c>
      <c r="L92" s="2"/>
      <c r="M92" s="2"/>
      <c r="N92" s="2"/>
      <c r="O92" s="2"/>
    </row>
    <row r="93" spans="1:15" ht="13.05" hidden="1" customHeight="1" outlineLevel="2" x14ac:dyDescent="0.45">
      <c r="A93" s="4">
        <f>IF(ITEM!$B71="","",ITEM!$A71)</f>
      </c>
      <c r="B93" s="118">
        <f>IF(ITEM!$B71="","",ITEM!$B71)</f>
      </c>
      <c r="C93" s="119"/>
      <c r="D93" s="13">
        <f>IF(ITEM!$B71="","",ITEM!$D71)</f>
      </c>
      <c r="E93" s="5">
        <f>IF(ITEM!$B71="","",ITEM!$C71)</f>
      </c>
      <c r="F93" s="13" cm="1">
        <f t="array" ref="F93">IF(ITEM!$B71="","",SUMPRODUCT((COLUMN(ITEM!$G71:$J71)-COLUMN(ITEM!$G71)+1&lt;$O$1)*ITEM!$G71:$J71))</f>
      </c>
      <c r="G93" s="13" cm="1">
        <f t="array" ref="G93">IF(ITEM!$B71="","",INDEX(ITEM!$G71:$J71,1,$O$1))</f>
      </c>
      <c r="H93" s="13">
        <f>IF(ITEM!$B71="","",$F93+$G93)</f>
      </c>
      <c r="I93" s="13">
        <f>IF(ITEM!$B71="","",$D93-$H93)</f>
      </c>
      <c r="J93" s="6">
        <f>IF(ITEM!$B71="","",ITEM!$E71)</f>
      </c>
      <c r="K93" s="6">
        <f>IF(ITEM!$B71="","",$G93*$J93)</f>
      </c>
      <c r="L93" s="2"/>
      <c r="M93" s="2"/>
      <c r="N93" s="2"/>
      <c r="O93" s="2"/>
    </row>
    <row r="94" spans="1:15" ht="13.05" hidden="1" customHeight="1" outlineLevel="2" x14ac:dyDescent="0.45">
      <c r="A94" s="4">
        <f>IF(ITEM!$B72="","",ITEM!$A72)</f>
      </c>
      <c r="B94" s="118">
        <f>IF(ITEM!$B72="","",ITEM!$B72)</f>
      </c>
      <c r="C94" s="119"/>
      <c r="D94" s="13">
        <f>IF(ITEM!$B72="","",ITEM!$D72)</f>
      </c>
      <c r="E94" s="5">
        <f>IF(ITEM!$B72="","",ITEM!$C72)</f>
      </c>
      <c r="F94" s="13" cm="1">
        <f t="array" ref="F94">IF(ITEM!$B72="","",SUMPRODUCT((COLUMN(ITEM!$G72:$J72)-COLUMN(ITEM!$G72)+1&lt;$O$1)*ITEM!$G72:$J72))</f>
      </c>
      <c r="G94" s="13" cm="1">
        <f t="array" ref="G94">IF(ITEM!$B72="","",INDEX(ITEM!$G72:$J72,1,$O$1))</f>
      </c>
      <c r="H94" s="13">
        <f>IF(ITEM!$B72="","",$F94+$G94)</f>
      </c>
      <c r="I94" s="13">
        <f>IF(ITEM!$B72="","",$D94-$H94)</f>
      </c>
      <c r="J94" s="6">
        <f>IF(ITEM!$B72="","",ITEM!$E72)</f>
      </c>
      <c r="K94" s="6">
        <f>IF(ITEM!$B72="","",$G94*$J94)</f>
      </c>
      <c r="L94" s="2"/>
      <c r="M94" s="2"/>
      <c r="N94" s="2"/>
      <c r="O94" s="2"/>
    </row>
    <row r="95" spans="1:15" ht="13.05" hidden="1" customHeight="1" outlineLevel="2" x14ac:dyDescent="0.45">
      <c r="A95" s="4">
        <f>IF(ITEM!$B73="","",ITEM!$A73)</f>
      </c>
      <c r="B95" s="118">
        <f>IF(ITEM!$B73="","",ITEM!$B73)</f>
      </c>
      <c r="C95" s="119"/>
      <c r="D95" s="13">
        <f>IF(ITEM!$B73="","",ITEM!$D73)</f>
      </c>
      <c r="E95" s="5">
        <f>IF(ITEM!$B73="","",ITEM!$C73)</f>
      </c>
      <c r="F95" s="13" cm="1">
        <f t="array" ref="F95">IF(ITEM!$B73="","",SUMPRODUCT((COLUMN(ITEM!$G73:$J73)-COLUMN(ITEM!$G73)+1&lt;$O$1)*ITEM!$G73:$J73))</f>
      </c>
      <c r="G95" s="13" cm="1">
        <f t="array" ref="G95">IF(ITEM!$B73="","",INDEX(ITEM!$G73:$J73,1,$O$1))</f>
      </c>
      <c r="H95" s="13">
        <f>IF(ITEM!$B73="","",$F95+$G95)</f>
      </c>
      <c r="I95" s="13">
        <f>IF(ITEM!$B73="","",$D95-$H95)</f>
      </c>
      <c r="J95" s="6">
        <f>IF(ITEM!$B73="","",ITEM!$E73)</f>
      </c>
      <c r="K95" s="6">
        <f>IF(ITEM!$B73="","",$G95*$J95)</f>
      </c>
      <c r="L95" s="2"/>
      <c r="M95" s="2"/>
      <c r="N95" s="2"/>
      <c r="O95" s="2"/>
    </row>
    <row r="96" spans="1:15" ht="13.05" hidden="1" customHeight="1" outlineLevel="2" x14ac:dyDescent="0.45">
      <c r="A96" s="4">
        <f>IF(ITEM!$B74="","",ITEM!$A74)</f>
      </c>
      <c r="B96" s="118">
        <f>IF(ITEM!$B74="","",ITEM!$B74)</f>
      </c>
      <c r="C96" s="119"/>
      <c r="D96" s="13">
        <f>IF(ITEM!$B74="","",ITEM!$D74)</f>
      </c>
      <c r="E96" s="5">
        <f>IF(ITEM!$B74="","",ITEM!$C74)</f>
      </c>
      <c r="F96" s="13" cm="1">
        <f t="array" ref="F96">IF(ITEM!$B74="","",SUMPRODUCT((COLUMN(ITEM!$G74:$J74)-COLUMN(ITEM!$G74)+1&lt;$O$1)*ITEM!$G74:$J74))</f>
      </c>
      <c r="G96" s="13" cm="1">
        <f t="array" ref="G96">IF(ITEM!$B74="","",INDEX(ITEM!$G74:$J74,1,$O$1))</f>
      </c>
      <c r="H96" s="13">
        <f>IF(ITEM!$B74="","",$F96+$G96)</f>
      </c>
      <c r="I96" s="13">
        <f>IF(ITEM!$B74="","",$D96-$H96)</f>
      </c>
      <c r="J96" s="6">
        <f>IF(ITEM!$B74="","",ITEM!$E74)</f>
      </c>
      <c r="K96" s="6">
        <f>IF(ITEM!$B74="","",$G96*$J96)</f>
      </c>
      <c r="L96" s="2"/>
      <c r="M96" s="2"/>
      <c r="N96" s="2"/>
      <c r="O96" s="2"/>
    </row>
    <row r="97" spans="1:15" ht="13.05" hidden="1" customHeight="1" outlineLevel="2" x14ac:dyDescent="0.45">
      <c r="A97" s="4">
        <f>IF(ITEM!$B75="","",ITEM!$A75)</f>
      </c>
      <c r="B97" s="118">
        <f>IF(ITEM!$B75="","",ITEM!$B75)</f>
      </c>
      <c r="C97" s="119"/>
      <c r="D97" s="13">
        <f>IF(ITEM!$B75="","",ITEM!$D75)</f>
      </c>
      <c r="E97" s="5">
        <f>IF(ITEM!$B75="","",ITEM!$C75)</f>
      </c>
      <c r="F97" s="13" cm="1">
        <f t="array" ref="F97">IF(ITEM!$B75="","",SUMPRODUCT((COLUMN(ITEM!$G75:$J75)-COLUMN(ITEM!$G75)+1&lt;$O$1)*ITEM!$G75:$J75))</f>
      </c>
      <c r="G97" s="13" cm="1">
        <f t="array" ref="G97">IF(ITEM!$B75="","",INDEX(ITEM!$G75:$J75,1,$O$1))</f>
      </c>
      <c r="H97" s="13">
        <f>IF(ITEM!$B75="","",$F97+$G97)</f>
      </c>
      <c r="I97" s="13">
        <f>IF(ITEM!$B75="","",$D97-$H97)</f>
      </c>
      <c r="J97" s="6">
        <f>IF(ITEM!$B75="","",ITEM!$E75)</f>
      </c>
      <c r="K97" s="6">
        <f>IF(ITEM!$B75="","",$G97*$J97)</f>
      </c>
      <c r="L97" s="2"/>
      <c r="M97" s="2"/>
      <c r="N97" s="2"/>
      <c r="O97" s="2"/>
    </row>
    <row r="98" spans="1:15" ht="13.05" hidden="1" customHeight="1" outlineLevel="2" x14ac:dyDescent="0.45">
      <c r="A98" s="4">
        <f>IF(ITEM!$B76="","",ITEM!$A76)</f>
      </c>
      <c r="B98" s="118">
        <f>IF(ITEM!$B76="","",ITEM!$B76)</f>
      </c>
      <c r="C98" s="119"/>
      <c r="D98" s="13">
        <f>IF(ITEM!$B76="","",ITEM!$D76)</f>
      </c>
      <c r="E98" s="5">
        <f>IF(ITEM!$B76="","",ITEM!$C76)</f>
      </c>
      <c r="F98" s="13" cm="1">
        <f t="array" ref="F98">IF(ITEM!$B76="","",SUMPRODUCT((COLUMN(ITEM!$G76:$J76)-COLUMN(ITEM!$G76)+1&lt;$O$1)*ITEM!$G76:$J76))</f>
      </c>
      <c r="G98" s="13" cm="1">
        <f t="array" ref="G98">IF(ITEM!$B76="","",INDEX(ITEM!$G76:$J76,1,$O$1))</f>
      </c>
      <c r="H98" s="13">
        <f>IF(ITEM!$B76="","",$F98+$G98)</f>
      </c>
      <c r="I98" s="13">
        <f>IF(ITEM!$B76="","",$D98-$H98)</f>
      </c>
      <c r="J98" s="6">
        <f>IF(ITEM!$B76="","",ITEM!$E76)</f>
      </c>
      <c r="K98" s="6">
        <f>IF(ITEM!$B76="","",$G98*$J98)</f>
      </c>
      <c r="L98" s="2"/>
      <c r="M98" s="2"/>
      <c r="N98" s="2"/>
      <c r="O98" s="2"/>
    </row>
    <row r="99" spans="1:15" ht="13.05" hidden="1" customHeight="1" outlineLevel="2" x14ac:dyDescent="0.45">
      <c r="A99" s="4">
        <f>IF(ITEM!$B77="","",ITEM!$A77)</f>
      </c>
      <c r="B99" s="118">
        <f>IF(ITEM!$B77="","",ITEM!$B77)</f>
      </c>
      <c r="C99" s="119"/>
      <c r="D99" s="13">
        <f>IF(ITEM!$B77="","",ITEM!$D77)</f>
      </c>
      <c r="E99" s="5">
        <f>IF(ITEM!$B77="","",ITEM!$C77)</f>
      </c>
      <c r="F99" s="13" cm="1">
        <f t="array" ref="F99">IF(ITEM!$B77="","",SUMPRODUCT((COLUMN(ITEM!$G77:$J77)-COLUMN(ITEM!$G77)+1&lt;$O$1)*ITEM!$G77:$J77))</f>
      </c>
      <c r="G99" s="13" cm="1">
        <f t="array" ref="G99">IF(ITEM!$B77="","",INDEX(ITEM!$G77:$J77,1,$O$1))</f>
      </c>
      <c r="H99" s="13">
        <f>IF(ITEM!$B77="","",$F99+$G99)</f>
      </c>
      <c r="I99" s="13">
        <f>IF(ITEM!$B77="","",$D99-$H99)</f>
      </c>
      <c r="J99" s="6">
        <f>IF(ITEM!$B77="","",ITEM!$E77)</f>
      </c>
      <c r="K99" s="6">
        <f>IF(ITEM!$B77="","",$G99*$J99)</f>
      </c>
      <c r="L99" s="2"/>
      <c r="M99" s="2"/>
      <c r="N99" s="2"/>
      <c r="O99" s="2"/>
    </row>
    <row r="100" spans="1:15" ht="13.05" hidden="1" customHeight="1" outlineLevel="2" x14ac:dyDescent="0.45">
      <c r="A100" s="4">
        <f>IF(ITEM!$B78="","",ITEM!$A78)</f>
      </c>
      <c r="B100" s="118">
        <f>IF(ITEM!$B78="","",ITEM!$B78)</f>
      </c>
      <c r="C100" s="119"/>
      <c r="D100" s="13">
        <f>IF(ITEM!$B78="","",ITEM!$D78)</f>
      </c>
      <c r="E100" s="5">
        <f>IF(ITEM!$B78="","",ITEM!$C78)</f>
      </c>
      <c r="F100" s="13" cm="1">
        <f t="array" ref="F100">IF(ITEM!$B78="","",SUMPRODUCT((COLUMN(ITEM!$G78:$J78)-COLUMN(ITEM!$G78)+1&lt;$O$1)*ITEM!$G78:$J78))</f>
      </c>
      <c r="G100" s="13" cm="1">
        <f t="array" ref="G100">IF(ITEM!$B78="","",INDEX(ITEM!$G78:$J78,1,$O$1))</f>
      </c>
      <c r="H100" s="13">
        <f>IF(ITEM!$B78="","",$F100+$G100)</f>
      </c>
      <c r="I100" s="13">
        <f>IF(ITEM!$B78="","",$D100-$H100)</f>
      </c>
      <c r="J100" s="6">
        <f>IF(ITEM!$B78="","",ITEM!$E78)</f>
      </c>
      <c r="K100" s="6">
        <f>IF(ITEM!$B78="","",$G100*$J100)</f>
      </c>
      <c r="L100" s="2"/>
      <c r="M100" s="2"/>
      <c r="N100" s="2"/>
      <c r="O100" s="2"/>
    </row>
    <row r="101" spans="1:15" ht="13.05" hidden="1" customHeight="1" outlineLevel="2" x14ac:dyDescent="0.45">
      <c r="A101" s="4">
        <f>IF(ITEM!$B79="","",ITEM!$A79)</f>
      </c>
      <c r="B101" s="118">
        <f>IF(ITEM!$B79="","",ITEM!$B79)</f>
      </c>
      <c r="C101" s="119"/>
      <c r="D101" s="13">
        <f>IF(ITEM!$B79="","",ITEM!$D79)</f>
      </c>
      <c r="E101" s="5">
        <f>IF(ITEM!$B79="","",ITEM!$C79)</f>
      </c>
      <c r="F101" s="13" cm="1">
        <f t="array" ref="F101">IF(ITEM!$B79="","",SUMPRODUCT((COLUMN(ITEM!$G79:$J79)-COLUMN(ITEM!$G79)+1&lt;$O$1)*ITEM!$G79:$J79))</f>
      </c>
      <c r="G101" s="13" cm="1">
        <f t="array" ref="G101">IF(ITEM!$B79="","",INDEX(ITEM!$G79:$J79,1,$O$1))</f>
      </c>
      <c r="H101" s="13">
        <f>IF(ITEM!$B79="","",$F101+$G101)</f>
      </c>
      <c r="I101" s="13">
        <f>IF(ITEM!$B79="","",$D101-$H101)</f>
      </c>
      <c r="J101" s="6">
        <f>IF(ITEM!$B79="","",ITEM!$E79)</f>
      </c>
      <c r="K101" s="6">
        <f>IF(ITEM!$B79="","",$G101*$J101)</f>
      </c>
      <c r="L101" s="2"/>
      <c r="M101" s="2"/>
      <c r="N101" s="2"/>
      <c r="O101" s="2"/>
    </row>
    <row r="102" spans="1:15" ht="13.05" hidden="1" customHeight="1" outlineLevel="2" x14ac:dyDescent="0.45">
      <c r="A102" s="4">
        <f>IF(ITEM!$B80="","",ITEM!$A80)</f>
      </c>
      <c r="B102" s="118">
        <f>IF(ITEM!$B80="","",ITEM!$B80)</f>
      </c>
      <c r="C102" s="119"/>
      <c r="D102" s="13">
        <f>IF(ITEM!$B80="","",ITEM!$D80)</f>
      </c>
      <c r="E102" s="5">
        <f>IF(ITEM!$B80="","",ITEM!$C80)</f>
      </c>
      <c r="F102" s="13" cm="1">
        <f t="array" ref="F102">IF(ITEM!$B80="","",SUMPRODUCT((COLUMN(ITEM!$G80:$J80)-COLUMN(ITEM!$G80)+1&lt;$O$1)*ITEM!$G80:$J80))</f>
      </c>
      <c r="G102" s="13" cm="1">
        <f t="array" ref="G102">IF(ITEM!$B80="","",INDEX(ITEM!$G80:$J80,1,$O$1))</f>
      </c>
      <c r="H102" s="13">
        <f>IF(ITEM!$B80="","",$F102+$G102)</f>
      </c>
      <c r="I102" s="13">
        <f>IF(ITEM!$B80="","",$D102-$H102)</f>
      </c>
      <c r="J102" s="6">
        <f>IF(ITEM!$B80="","",ITEM!$E80)</f>
      </c>
      <c r="K102" s="6">
        <f>IF(ITEM!$B80="","",$G102*$J102)</f>
      </c>
      <c r="L102" s="2"/>
      <c r="M102" s="2"/>
      <c r="N102" s="2"/>
      <c r="O102" s="2"/>
    </row>
    <row r="103" spans="1:15" ht="13.05" hidden="1" customHeight="1" outlineLevel="2" x14ac:dyDescent="0.45">
      <c r="A103" s="4">
        <f>IF(ITEM!$B81="","",ITEM!$A81)</f>
      </c>
      <c r="B103" s="118">
        <f>IF(ITEM!$B81="","",ITEM!$B81)</f>
      </c>
      <c r="C103" s="119"/>
      <c r="D103" s="13">
        <f>IF(ITEM!$B81="","",ITEM!$D81)</f>
      </c>
      <c r="E103" s="5">
        <f>IF(ITEM!$B81="","",ITEM!$C81)</f>
      </c>
      <c r="F103" s="13" cm="1">
        <f t="array" ref="F103">IF(ITEM!$B81="","",SUMPRODUCT((COLUMN(ITEM!$G81:$J81)-COLUMN(ITEM!$G81)+1&lt;$O$1)*ITEM!$G81:$J81))</f>
      </c>
      <c r="G103" s="13" cm="1">
        <f t="array" ref="G103">IF(ITEM!$B81="","",INDEX(ITEM!$G81:$J81,1,$O$1))</f>
      </c>
      <c r="H103" s="13">
        <f>IF(ITEM!$B81="","",$F103+$G103)</f>
      </c>
      <c r="I103" s="13">
        <f>IF(ITEM!$B81="","",$D103-$H103)</f>
      </c>
      <c r="J103" s="6">
        <f>IF(ITEM!$B81="","",ITEM!$E81)</f>
      </c>
      <c r="K103" s="6">
        <f>IF(ITEM!$B81="","",$G103*$J103)</f>
      </c>
      <c r="L103" s="2"/>
      <c r="M103" s="2"/>
      <c r="N103" s="2"/>
      <c r="O103" s="2"/>
    </row>
    <row r="104" spans="1:15" ht="13.05" hidden="1" customHeight="1" outlineLevel="2" x14ac:dyDescent="0.45">
      <c r="A104" s="4">
        <f>IF(ITEM!$B82="","",ITEM!$A82)</f>
      </c>
      <c r="B104" s="118">
        <f>IF(ITEM!$B82="","",ITEM!$B82)</f>
      </c>
      <c r="C104" s="119"/>
      <c r="D104" s="13">
        <f>IF(ITEM!$B82="","",ITEM!$D82)</f>
      </c>
      <c r="E104" s="5">
        <f>IF(ITEM!$B82="","",ITEM!$C82)</f>
      </c>
      <c r="F104" s="13" cm="1">
        <f t="array" ref="F104">IF(ITEM!$B82="","",SUMPRODUCT((COLUMN(ITEM!$G82:$J82)-COLUMN(ITEM!$G82)+1&lt;$O$1)*ITEM!$G82:$J82))</f>
      </c>
      <c r="G104" s="13" cm="1">
        <f t="array" ref="G104">IF(ITEM!$B82="","",INDEX(ITEM!$G82:$J82,1,$O$1))</f>
      </c>
      <c r="H104" s="13">
        <f>IF(ITEM!$B82="","",$F104+$G104)</f>
      </c>
      <c r="I104" s="13">
        <f>IF(ITEM!$B82="","",$D104-$H104)</f>
      </c>
      <c r="J104" s="6">
        <f>IF(ITEM!$B82="","",ITEM!$E82)</f>
      </c>
      <c r="K104" s="6">
        <f>IF(ITEM!$B82="","",$G104*$J104)</f>
      </c>
      <c r="L104" s="2"/>
      <c r="M104" s="2"/>
      <c r="N104" s="2"/>
      <c r="O104" s="2"/>
    </row>
    <row r="105" spans="1:15" ht="13.05" hidden="1" customHeight="1" outlineLevel="2" x14ac:dyDescent="0.45">
      <c r="A105" s="4">
        <f>IF(ITEM!$B83="","",ITEM!$A83)</f>
      </c>
      <c r="B105" s="118">
        <f>IF(ITEM!$B83="","",ITEM!$B83)</f>
      </c>
      <c r="C105" s="119"/>
      <c r="D105" s="13">
        <f>IF(ITEM!$B83="","",ITEM!$D83)</f>
      </c>
      <c r="E105" s="5">
        <f>IF(ITEM!$B83="","",ITEM!$C83)</f>
      </c>
      <c r="F105" s="13" cm="1">
        <f t="array" ref="F105">IF(ITEM!$B83="","",SUMPRODUCT((COLUMN(ITEM!$G83:$J83)-COLUMN(ITEM!$G83)+1&lt;$O$1)*ITEM!$G83:$J83))</f>
      </c>
      <c r="G105" s="13" cm="1">
        <f t="array" ref="G105">IF(ITEM!$B83="","",INDEX(ITEM!$G83:$J83,1,$O$1))</f>
      </c>
      <c r="H105" s="13">
        <f>IF(ITEM!$B83="","",$F105+$G105)</f>
      </c>
      <c r="I105" s="13">
        <f>IF(ITEM!$B83="","",$D105-$H105)</f>
      </c>
      <c r="J105" s="6">
        <f>IF(ITEM!$B83="","",ITEM!$E83)</f>
      </c>
      <c r="K105" s="6">
        <f>IF(ITEM!$B83="","",$G105*$J105)</f>
      </c>
      <c r="L105" s="2"/>
      <c r="M105" s="2"/>
      <c r="N105" s="2"/>
      <c r="O105" s="2"/>
    </row>
    <row r="106" spans="1:15" ht="13.05" hidden="1" customHeight="1" outlineLevel="2" x14ac:dyDescent="0.45">
      <c r="A106" s="4">
        <f>IF(ITEM!$B84="","",ITEM!$A84)</f>
      </c>
      <c r="B106" s="118">
        <f>IF(ITEM!$B84="","",ITEM!$B84)</f>
      </c>
      <c r="C106" s="119"/>
      <c r="D106" s="13">
        <f>IF(ITEM!$B84="","",ITEM!$D84)</f>
      </c>
      <c r="E106" s="5">
        <f>IF(ITEM!$B84="","",ITEM!$C84)</f>
      </c>
      <c r="F106" s="13" cm="1">
        <f t="array" ref="F106">IF(ITEM!$B84="","",SUMPRODUCT((COLUMN(ITEM!$G84:$J84)-COLUMN(ITEM!$G84)+1&lt;$O$1)*ITEM!$G84:$J84))</f>
      </c>
      <c r="G106" s="13" cm="1">
        <f t="array" ref="G106">IF(ITEM!$B84="","",INDEX(ITEM!$G84:$J84,1,$O$1))</f>
      </c>
      <c r="H106" s="13">
        <f>IF(ITEM!$B84="","",$F106+$G106)</f>
      </c>
      <c r="I106" s="13">
        <f>IF(ITEM!$B84="","",$D106-$H106)</f>
      </c>
      <c r="J106" s="6">
        <f>IF(ITEM!$B84="","",ITEM!$E84)</f>
      </c>
      <c r="K106" s="6">
        <f>IF(ITEM!$B84="","",$G106*$J106)</f>
      </c>
      <c r="L106" s="2"/>
      <c r="M106" s="2"/>
      <c r="N106" s="2"/>
      <c r="O106" s="2"/>
    </row>
    <row r="107" spans="1:15" ht="13.05" hidden="1" customHeight="1" outlineLevel="2" x14ac:dyDescent="0.45">
      <c r="A107" s="4">
        <f>IF(ITEM!$B85="","",ITEM!$A85)</f>
      </c>
      <c r="B107" s="118">
        <f>IF(ITEM!$B85="","",ITEM!$B85)</f>
      </c>
      <c r="C107" s="119"/>
      <c r="D107" s="13">
        <f>IF(ITEM!$B85="","",ITEM!$D85)</f>
      </c>
      <c r="E107" s="5">
        <f>IF(ITEM!$B85="","",ITEM!$C85)</f>
      </c>
      <c r="F107" s="13" cm="1">
        <f t="array" ref="F107">IF(ITEM!$B85="","",SUMPRODUCT((COLUMN(ITEM!$G85:$J85)-COLUMN(ITEM!$G85)+1&lt;$O$1)*ITEM!$G85:$J85))</f>
      </c>
      <c r="G107" s="13" cm="1">
        <f t="array" ref="G107">IF(ITEM!$B85="","",INDEX(ITEM!$G85:$J85,1,$O$1))</f>
      </c>
      <c r="H107" s="13">
        <f>IF(ITEM!$B85="","",$F107+$G107)</f>
      </c>
      <c r="I107" s="13">
        <f>IF(ITEM!$B85="","",$D107-$H107)</f>
      </c>
      <c r="J107" s="6">
        <f>IF(ITEM!$B85="","",ITEM!$E85)</f>
      </c>
      <c r="K107" s="6">
        <f>IF(ITEM!$B85="","",$G107*$J107)</f>
      </c>
      <c r="L107" s="2"/>
      <c r="M107" s="2"/>
      <c r="N107" s="2"/>
      <c r="O107" s="2"/>
    </row>
    <row r="108" spans="1:15" ht="13.05" hidden="1" customHeight="1" outlineLevel="2" x14ac:dyDescent="0.45">
      <c r="A108" s="4">
        <f>IF(ITEM!$B86="","",ITEM!$A86)</f>
      </c>
      <c r="B108" s="118">
        <f>IF(ITEM!$B86="","",ITEM!$B86)</f>
      </c>
      <c r="C108" s="119"/>
      <c r="D108" s="13">
        <f>IF(ITEM!$B86="","",ITEM!$D86)</f>
      </c>
      <c r="E108" s="5">
        <f>IF(ITEM!$B86="","",ITEM!$C86)</f>
      </c>
      <c r="F108" s="13" cm="1">
        <f t="array" ref="F108">IF(ITEM!$B86="","",SUMPRODUCT((COLUMN(ITEM!$G86:$J86)-COLUMN(ITEM!$G86)+1&lt;$O$1)*ITEM!$G86:$J86))</f>
      </c>
      <c r="G108" s="13" cm="1">
        <f t="array" ref="G108">IF(ITEM!$B86="","",INDEX(ITEM!$G86:$J86,1,$O$1))</f>
      </c>
      <c r="H108" s="13">
        <f>IF(ITEM!$B86="","",$F108+$G108)</f>
      </c>
      <c r="I108" s="13">
        <f>IF(ITEM!$B86="","",$D108-$H108)</f>
      </c>
      <c r="J108" s="6">
        <f>IF(ITEM!$B86="","",ITEM!$E86)</f>
      </c>
      <c r="K108" s="6">
        <f>IF(ITEM!$B86="","",$G108*$J108)</f>
      </c>
      <c r="L108" s="2"/>
      <c r="M108" s="2"/>
      <c r="N108" s="2"/>
      <c r="O108" s="2"/>
    </row>
    <row r="109" spans="1:15" ht="13.05" hidden="1" customHeight="1" outlineLevel="2" x14ac:dyDescent="0.45">
      <c r="A109" s="4">
        <f>IF(ITEM!$B87="","",ITEM!$A87)</f>
      </c>
      <c r="B109" s="118">
        <f>IF(ITEM!$B87="","",ITEM!$B87)</f>
      </c>
      <c r="C109" s="119"/>
      <c r="D109" s="13">
        <f>IF(ITEM!$B87="","",ITEM!$D87)</f>
      </c>
      <c r="E109" s="5">
        <f>IF(ITEM!$B87="","",ITEM!$C87)</f>
      </c>
      <c r="F109" s="13" cm="1">
        <f t="array" ref="F109">IF(ITEM!$B87="","",SUMPRODUCT((COLUMN(ITEM!$G87:$J87)-COLUMN(ITEM!$G87)+1&lt;$O$1)*ITEM!$G87:$J87))</f>
      </c>
      <c r="G109" s="13" cm="1">
        <f t="array" ref="G109">IF(ITEM!$B87="","",INDEX(ITEM!$G87:$J87,1,$O$1))</f>
      </c>
      <c r="H109" s="13">
        <f>IF(ITEM!$B87="","",$F109+$G109)</f>
      </c>
      <c r="I109" s="13">
        <f>IF(ITEM!$B87="","",$D109-$H109)</f>
      </c>
      <c r="J109" s="6">
        <f>IF(ITEM!$B87="","",ITEM!$E87)</f>
      </c>
      <c r="K109" s="6">
        <f>IF(ITEM!$B87="","",$G109*$J109)</f>
      </c>
      <c r="L109" s="2"/>
      <c r="M109" s="2"/>
      <c r="N109" s="2"/>
      <c r="O109" s="2"/>
    </row>
    <row r="110" spans="1:15" ht="13.05" hidden="1" customHeight="1" outlineLevel="2" x14ac:dyDescent="0.45">
      <c r="A110" s="4">
        <f>IF(ITEM!$B88="","",ITEM!$A88)</f>
      </c>
      <c r="B110" s="118">
        <f>IF(ITEM!$B88="","",ITEM!$B88)</f>
      </c>
      <c r="C110" s="119"/>
      <c r="D110" s="13">
        <f>IF(ITEM!$B88="","",ITEM!$D88)</f>
      </c>
      <c r="E110" s="5">
        <f>IF(ITEM!$B88="","",ITEM!$C88)</f>
      </c>
      <c r="F110" s="13" cm="1">
        <f t="array" ref="F110">IF(ITEM!$B88="","",SUMPRODUCT((COLUMN(ITEM!$G88:$J88)-COLUMN(ITEM!$G88)+1&lt;$O$1)*ITEM!$G88:$J88))</f>
      </c>
      <c r="G110" s="13" cm="1">
        <f t="array" ref="G110">IF(ITEM!$B88="","",INDEX(ITEM!$G88:$J88,1,$O$1))</f>
      </c>
      <c r="H110" s="13">
        <f>IF(ITEM!$B88="","",$F110+$G110)</f>
      </c>
      <c r="I110" s="13">
        <f>IF(ITEM!$B88="","",$D110-$H110)</f>
      </c>
      <c r="J110" s="6">
        <f>IF(ITEM!$B88="","",ITEM!$E88)</f>
      </c>
      <c r="K110" s="6">
        <f>IF(ITEM!$B88="","",$G110*$J110)</f>
      </c>
      <c r="L110" s="2"/>
      <c r="M110" s="2"/>
      <c r="N110" s="2"/>
      <c r="O110" s="2"/>
    </row>
    <row r="111" spans="1:15" ht="13.05" hidden="1" customHeight="1" outlineLevel="2" x14ac:dyDescent="0.45">
      <c r="A111" s="4">
        <f>IF(ITEM!$B89="","",ITEM!$A89)</f>
      </c>
      <c r="B111" s="118">
        <f>IF(ITEM!$B89="","",ITEM!$B89)</f>
      </c>
      <c r="C111" s="119"/>
      <c r="D111" s="13">
        <f>IF(ITEM!$B89="","",ITEM!$D89)</f>
      </c>
      <c r="E111" s="5">
        <f>IF(ITEM!$B89="","",ITEM!$C89)</f>
      </c>
      <c r="F111" s="13" cm="1">
        <f t="array" ref="F111">IF(ITEM!$B89="","",SUMPRODUCT((COLUMN(ITEM!$G89:$J89)-COLUMN(ITEM!$G89)+1&lt;$O$1)*ITEM!$G89:$J89))</f>
      </c>
      <c r="G111" s="13" cm="1">
        <f t="array" ref="G111">IF(ITEM!$B89="","",INDEX(ITEM!$G89:$J89,1,$O$1))</f>
      </c>
      <c r="H111" s="13">
        <f>IF(ITEM!$B89="","",$F111+$G111)</f>
      </c>
      <c r="I111" s="13">
        <f>IF(ITEM!$B89="","",$D111-$H111)</f>
      </c>
      <c r="J111" s="6">
        <f>IF(ITEM!$B89="","",ITEM!$E89)</f>
      </c>
      <c r="K111" s="6">
        <f>IF(ITEM!$B89="","",$G111*$J111)</f>
      </c>
      <c r="L111" s="2"/>
      <c r="M111" s="2"/>
      <c r="N111" s="2"/>
      <c r="O111" s="2"/>
    </row>
    <row r="112" spans="1:15" ht="13.05" hidden="1" customHeight="1" outlineLevel="2" x14ac:dyDescent="0.45">
      <c r="A112" s="4">
        <f>IF(ITEM!$B90="","",ITEM!$A90)</f>
      </c>
      <c r="B112" s="118">
        <f>IF(ITEM!$B90="","",ITEM!$B90)</f>
      </c>
      <c r="C112" s="119"/>
      <c r="D112" s="13">
        <f>IF(ITEM!$B90="","",ITEM!$D90)</f>
      </c>
      <c r="E112" s="5">
        <f>IF(ITEM!$B90="","",ITEM!$C90)</f>
      </c>
      <c r="F112" s="13" cm="1">
        <f t="array" ref="F112">IF(ITEM!$B90="","",SUMPRODUCT((COLUMN(ITEM!$G90:$J90)-COLUMN(ITEM!$G90)+1&lt;$O$1)*ITEM!$G90:$J90))</f>
      </c>
      <c r="G112" s="13" cm="1">
        <f t="array" ref="G112">IF(ITEM!$B90="","",INDEX(ITEM!$G90:$J90,1,$O$1))</f>
      </c>
      <c r="H112" s="13">
        <f>IF(ITEM!$B90="","",$F112+$G112)</f>
      </c>
      <c r="I112" s="13">
        <f>IF(ITEM!$B90="","",$D112-$H112)</f>
      </c>
      <c r="J112" s="6">
        <f>IF(ITEM!$B90="","",ITEM!$E90)</f>
      </c>
      <c r="K112" s="6">
        <f>IF(ITEM!$B90="","",$G112*$J112)</f>
      </c>
      <c r="L112" s="2"/>
      <c r="M112" s="2"/>
      <c r="N112" s="2"/>
      <c r="O112" s="2"/>
    </row>
    <row r="113" spans="1:15" ht="13.05" hidden="1" customHeight="1" outlineLevel="2" x14ac:dyDescent="0.45">
      <c r="A113" s="4">
        <f>IF(ITEM!$B91="","",ITEM!$A91)</f>
      </c>
      <c r="B113" s="118">
        <f>IF(ITEM!$B91="","",ITEM!$B91)</f>
      </c>
      <c r="C113" s="119"/>
      <c r="D113" s="13">
        <f>IF(ITEM!$B91="","",ITEM!$D91)</f>
      </c>
      <c r="E113" s="5">
        <f>IF(ITEM!$B91="","",ITEM!$C91)</f>
      </c>
      <c r="F113" s="13" cm="1">
        <f t="array" ref="F113">IF(ITEM!$B91="","",SUMPRODUCT((COLUMN(ITEM!$G91:$J91)-COLUMN(ITEM!$G91)+1&lt;$O$1)*ITEM!$G91:$J91))</f>
      </c>
      <c r="G113" s="13" cm="1">
        <f t="array" ref="G113">IF(ITEM!$B91="","",INDEX(ITEM!$G91:$J91,1,$O$1))</f>
      </c>
      <c r="H113" s="13">
        <f>IF(ITEM!$B91="","",$F113+$G113)</f>
      </c>
      <c r="I113" s="13">
        <f>IF(ITEM!$B91="","",$D113-$H113)</f>
      </c>
      <c r="J113" s="6">
        <f>IF(ITEM!$B91="","",ITEM!$E91)</f>
      </c>
      <c r="K113" s="6">
        <f>IF(ITEM!$B91="","",$G113*$J113)</f>
      </c>
      <c r="L113" s="2"/>
      <c r="M113" s="2"/>
      <c r="N113" s="2"/>
      <c r="O113" s="2"/>
    </row>
    <row r="114" spans="1:15" ht="13.05" hidden="1" customHeight="1" outlineLevel="2" x14ac:dyDescent="0.45">
      <c r="A114" s="4">
        <f>IF(ITEM!$B92="","",ITEM!$A92)</f>
      </c>
      <c r="B114" s="118">
        <f>IF(ITEM!$B92="","",ITEM!$B92)</f>
      </c>
      <c r="C114" s="119"/>
      <c r="D114" s="13">
        <f>IF(ITEM!$B92="","",ITEM!$D92)</f>
      </c>
      <c r="E114" s="5">
        <f>IF(ITEM!$B92="","",ITEM!$C92)</f>
      </c>
      <c r="F114" s="13" cm="1">
        <f t="array" ref="F114">IF(ITEM!$B92="","",SUMPRODUCT((COLUMN(ITEM!$G92:$J92)-COLUMN(ITEM!$G92)+1&lt;$O$1)*ITEM!$G92:$J92))</f>
      </c>
      <c r="G114" s="13" cm="1">
        <f t="array" ref="G114">IF(ITEM!$B92="","",INDEX(ITEM!$G92:$J92,1,$O$1))</f>
      </c>
      <c r="H114" s="13">
        <f>IF(ITEM!$B92="","",$F114+$G114)</f>
      </c>
      <c r="I114" s="13">
        <f>IF(ITEM!$B92="","",$D114-$H114)</f>
      </c>
      <c r="J114" s="6">
        <f>IF(ITEM!$B92="","",ITEM!$E92)</f>
      </c>
      <c r="K114" s="6">
        <f>IF(ITEM!$B92="","",$G114*$J114)</f>
      </c>
      <c r="L114" s="2"/>
      <c r="M114" s="2"/>
      <c r="N114" s="2"/>
      <c r="O114" s="2"/>
    </row>
    <row r="115" spans="1:15" ht="13.05" hidden="1" customHeight="1" outlineLevel="2" x14ac:dyDescent="0.45">
      <c r="A115" s="4">
        <f>IF(ITEM!$B93="","",ITEM!$A93)</f>
      </c>
      <c r="B115" s="118">
        <f>IF(ITEM!$B93="","",ITEM!$B93)</f>
      </c>
      <c r="C115" s="119"/>
      <c r="D115" s="13">
        <f>IF(ITEM!$B93="","",ITEM!$D93)</f>
      </c>
      <c r="E115" s="5">
        <f>IF(ITEM!$B93="","",ITEM!$C93)</f>
      </c>
      <c r="F115" s="13" cm="1">
        <f t="array" ref="F115">IF(ITEM!$B93="","",SUMPRODUCT((COLUMN(ITEM!$G93:$J93)-COLUMN(ITEM!$G93)+1&lt;$O$1)*ITEM!$G93:$J93))</f>
      </c>
      <c r="G115" s="13" cm="1">
        <f t="array" ref="G115">IF(ITEM!$B93="","",INDEX(ITEM!$G93:$J93,1,$O$1))</f>
      </c>
      <c r="H115" s="13">
        <f>IF(ITEM!$B93="","",$F115+$G115)</f>
      </c>
      <c r="I115" s="13">
        <f>IF(ITEM!$B93="","",$D115-$H115)</f>
      </c>
      <c r="J115" s="6">
        <f>IF(ITEM!$B93="","",ITEM!$E93)</f>
      </c>
      <c r="K115" s="6">
        <f>IF(ITEM!$B93="","",$G115*$J115)</f>
      </c>
      <c r="L115" s="2"/>
      <c r="M115" s="2"/>
      <c r="N115" s="2"/>
      <c r="O115" s="2"/>
    </row>
    <row r="116" spans="1:15" ht="13.05" hidden="1" customHeight="1" outlineLevel="2" x14ac:dyDescent="0.45">
      <c r="A116" s="4">
        <f>IF(ITEM!$B94="","",ITEM!$A94)</f>
      </c>
      <c r="B116" s="118">
        <f>IF(ITEM!$B94="","",ITEM!$B94)</f>
      </c>
      <c r="C116" s="119"/>
      <c r="D116" s="13">
        <f>IF(ITEM!$B94="","",ITEM!$D94)</f>
      </c>
      <c r="E116" s="5">
        <f>IF(ITEM!$B94="","",ITEM!$C94)</f>
      </c>
      <c r="F116" s="13" cm="1">
        <f t="array" ref="F116">IF(ITEM!$B94="","",SUMPRODUCT((COLUMN(ITEM!$G94:$J94)-COLUMN(ITEM!$G94)+1&lt;$O$1)*ITEM!$G94:$J94))</f>
      </c>
      <c r="G116" s="13" cm="1">
        <f t="array" ref="G116">IF(ITEM!$B94="","",INDEX(ITEM!$G94:$J94,1,$O$1))</f>
      </c>
      <c r="H116" s="13">
        <f>IF(ITEM!$B94="","",$F116+$G116)</f>
      </c>
      <c r="I116" s="13">
        <f>IF(ITEM!$B94="","",$D116-$H116)</f>
      </c>
      <c r="J116" s="6">
        <f>IF(ITEM!$B94="","",ITEM!$E94)</f>
      </c>
      <c r="K116" s="6">
        <f>IF(ITEM!$B94="","",$G116*$J116)</f>
      </c>
      <c r="L116" s="2"/>
      <c r="M116" s="2"/>
      <c r="N116" s="2"/>
      <c r="O116" s="2"/>
    </row>
    <row r="117" spans="1:15" ht="13.05" hidden="1" customHeight="1" outlineLevel="2" x14ac:dyDescent="0.45">
      <c r="A117" s="4">
        <f>IF(ITEM!$B95="","",ITEM!$A95)</f>
      </c>
      <c r="B117" s="118">
        <f>IF(ITEM!$B95="","",ITEM!$B95)</f>
      </c>
      <c r="C117" s="119"/>
      <c r="D117" s="13">
        <f>IF(ITEM!$B95="","",ITEM!$D95)</f>
      </c>
      <c r="E117" s="5">
        <f>IF(ITEM!$B95="","",ITEM!$C95)</f>
      </c>
      <c r="F117" s="13" cm="1">
        <f t="array" ref="F117">IF(ITEM!$B95="","",SUMPRODUCT((COLUMN(ITEM!$G95:$J95)-COLUMN(ITEM!$G95)+1&lt;$O$1)*ITEM!$G95:$J95))</f>
      </c>
      <c r="G117" s="13" cm="1">
        <f t="array" ref="G117">IF(ITEM!$B95="","",INDEX(ITEM!$G95:$J95,1,$O$1))</f>
      </c>
      <c r="H117" s="13">
        <f>IF(ITEM!$B95="","",$F117+$G117)</f>
      </c>
      <c r="I117" s="13">
        <f>IF(ITEM!$B95="","",$D117-$H117)</f>
      </c>
      <c r="J117" s="6">
        <f>IF(ITEM!$B95="","",ITEM!$E95)</f>
      </c>
      <c r="K117" s="6">
        <f>IF(ITEM!$B95="","",$G117*$J117)</f>
      </c>
      <c r="L117" s="2"/>
      <c r="M117" s="2"/>
      <c r="N117" s="2"/>
      <c r="O117" s="2"/>
    </row>
    <row r="118" spans="1:15" ht="13.05" hidden="1" customHeight="1" outlineLevel="2" x14ac:dyDescent="0.45">
      <c r="A118" s="4">
        <f>IF(ITEM!$B96="","",ITEM!$A96)</f>
      </c>
      <c r="B118" s="118">
        <f>IF(ITEM!$B96="","",ITEM!$B96)</f>
      </c>
      <c r="C118" s="119"/>
      <c r="D118" s="13">
        <f>IF(ITEM!$B96="","",ITEM!$D96)</f>
      </c>
      <c r="E118" s="5">
        <f>IF(ITEM!$B96="","",ITEM!$C96)</f>
      </c>
      <c r="F118" s="13" cm="1">
        <f t="array" ref="F118">IF(ITEM!$B96="","",SUMPRODUCT((COLUMN(ITEM!$G96:$J96)-COLUMN(ITEM!$G96)+1&lt;$O$1)*ITEM!$G96:$J96))</f>
      </c>
      <c r="G118" s="13" cm="1">
        <f t="array" ref="G118">IF(ITEM!$B96="","",INDEX(ITEM!$G96:$J96,1,$O$1))</f>
      </c>
      <c r="H118" s="13">
        <f>IF(ITEM!$B96="","",$F118+$G118)</f>
      </c>
      <c r="I118" s="13">
        <f>IF(ITEM!$B96="","",$D118-$H118)</f>
      </c>
      <c r="J118" s="6">
        <f>IF(ITEM!$B96="","",ITEM!$E96)</f>
      </c>
      <c r="K118" s="6">
        <f>IF(ITEM!$B96="","",$G118*$J118)</f>
      </c>
      <c r="L118" s="2"/>
      <c r="M118" s="2"/>
      <c r="N118" s="2"/>
      <c r="O118" s="2"/>
    </row>
    <row r="119" spans="1:15" ht="13.05" hidden="1" customHeight="1" outlineLevel="2" x14ac:dyDescent="0.45">
      <c r="A119" s="4">
        <f>IF(ITEM!$B97="","",ITEM!$A97)</f>
      </c>
      <c r="B119" s="118">
        <f>IF(ITEM!$B97="","",ITEM!$B97)</f>
      </c>
      <c r="C119" s="119"/>
      <c r="D119" s="13">
        <f>IF(ITEM!$B97="","",ITEM!$D97)</f>
      </c>
      <c r="E119" s="5">
        <f>IF(ITEM!$B97="","",ITEM!$C97)</f>
      </c>
      <c r="F119" s="13" cm="1">
        <f t="array" ref="F119">IF(ITEM!$B97="","",SUMPRODUCT((COLUMN(ITEM!$G97:$J97)-COLUMN(ITEM!$G97)+1&lt;$O$1)*ITEM!$G97:$J97))</f>
      </c>
      <c r="G119" s="13" cm="1">
        <f t="array" ref="G119">IF(ITEM!$B97="","",INDEX(ITEM!$G97:$J97,1,$O$1))</f>
      </c>
      <c r="H119" s="13">
        <f>IF(ITEM!$B97="","",$F119+$G119)</f>
      </c>
      <c r="I119" s="13">
        <f>IF(ITEM!$B97="","",$D119-$H119)</f>
      </c>
      <c r="J119" s="6">
        <f>IF(ITEM!$B97="","",ITEM!$E97)</f>
      </c>
      <c r="K119" s="6">
        <f>IF(ITEM!$B97="","",$G119*$J119)</f>
      </c>
      <c r="L119" s="2"/>
      <c r="M119" s="2"/>
      <c r="N119" s="2"/>
      <c r="O119" s="2"/>
    </row>
    <row r="120" spans="1:15" ht="13.05" hidden="1" customHeight="1" outlineLevel="2" x14ac:dyDescent="0.45">
      <c r="A120" s="4">
        <f>IF(ITEM!$B98="","",ITEM!$A98)</f>
      </c>
      <c r="B120" s="118">
        <f>IF(ITEM!$B98="","",ITEM!$B98)</f>
      </c>
      <c r="C120" s="119"/>
      <c r="D120" s="13">
        <f>IF(ITEM!$B98="","",ITEM!$D98)</f>
      </c>
      <c r="E120" s="5">
        <f>IF(ITEM!$B98="","",ITEM!$C98)</f>
      </c>
      <c r="F120" s="13" cm="1">
        <f t="array" ref="F120">IF(ITEM!$B98="","",SUMPRODUCT((COLUMN(ITEM!$G98:$J98)-COLUMN(ITEM!$G98)+1&lt;$O$1)*ITEM!$G98:$J98))</f>
      </c>
      <c r="G120" s="13" cm="1">
        <f t="array" ref="G120">IF(ITEM!$B98="","",INDEX(ITEM!$G98:$J98,1,$O$1))</f>
      </c>
      <c r="H120" s="13">
        <f>IF(ITEM!$B98="","",$F120+$G120)</f>
      </c>
      <c r="I120" s="13">
        <f>IF(ITEM!$B98="","",$D120-$H120)</f>
      </c>
      <c r="J120" s="6">
        <f>IF(ITEM!$B98="","",ITEM!$E98)</f>
      </c>
      <c r="K120" s="6">
        <f>IF(ITEM!$B98="","",$G120*$J120)</f>
      </c>
      <c r="L120" s="2"/>
      <c r="M120" s="2"/>
      <c r="N120" s="2"/>
      <c r="O120" s="2"/>
    </row>
    <row r="121" spans="1:15" ht="13.05" hidden="1" customHeight="1" outlineLevel="2" x14ac:dyDescent="0.45">
      <c r="A121" s="4">
        <f>IF(ITEM!$B99="","",ITEM!$A99)</f>
      </c>
      <c r="B121" s="118">
        <f>IF(ITEM!$B99="","",ITEM!$B99)</f>
      </c>
      <c r="C121" s="119"/>
      <c r="D121" s="13">
        <f>IF(ITEM!$B99="","",ITEM!$D99)</f>
      </c>
      <c r="E121" s="5">
        <f>IF(ITEM!$B99="","",ITEM!$C99)</f>
      </c>
      <c r="F121" s="13" cm="1">
        <f t="array" ref="F121">IF(ITEM!$B99="","",SUMPRODUCT((COLUMN(ITEM!$G99:$J99)-COLUMN(ITEM!$G99)+1&lt;$O$1)*ITEM!$G99:$J99))</f>
      </c>
      <c r="G121" s="13" cm="1">
        <f t="array" ref="G121">IF(ITEM!$B99="","",INDEX(ITEM!$G99:$J99,1,$O$1))</f>
      </c>
      <c r="H121" s="13">
        <f>IF(ITEM!$B99="","",$F121+$G121)</f>
      </c>
      <c r="I121" s="13">
        <f>IF(ITEM!$B99="","",$D121-$H121)</f>
      </c>
      <c r="J121" s="6">
        <f>IF(ITEM!$B99="","",ITEM!$E99)</f>
      </c>
      <c r="K121" s="6">
        <f>IF(ITEM!$B99="","",$G121*$J121)</f>
      </c>
      <c r="L121" s="2"/>
      <c r="M121" s="2"/>
      <c r="N121" s="2"/>
      <c r="O121" s="2"/>
    </row>
    <row r="122" spans="1:15" ht="13.05" hidden="1" customHeight="1" outlineLevel="2" x14ac:dyDescent="0.45">
      <c r="A122" s="4">
        <f>IF(ITEM!$B100="","",ITEM!$A100)</f>
      </c>
      <c r="B122" s="118">
        <f>IF(ITEM!$B100="","",ITEM!$B100)</f>
      </c>
      <c r="C122" s="119"/>
      <c r="D122" s="13">
        <f>IF(ITEM!$B100="","",ITEM!$D100)</f>
      </c>
      <c r="E122" s="5">
        <f>IF(ITEM!$B100="","",ITEM!$C100)</f>
      </c>
      <c r="F122" s="13" cm="1">
        <f t="array" ref="F122">IF(ITEM!$B100="","",SUMPRODUCT((COLUMN(ITEM!$G100:$J100)-COLUMN(ITEM!$G100)+1&lt;$O$1)*ITEM!$G100:$J100))</f>
      </c>
      <c r="G122" s="13" cm="1">
        <f t="array" ref="G122">IF(ITEM!$B100="","",INDEX(ITEM!$G100:$J100,1,$O$1))</f>
      </c>
      <c r="H122" s="13">
        <f>IF(ITEM!$B100="","",$F122+$G122)</f>
      </c>
      <c r="I122" s="13">
        <f>IF(ITEM!$B100="","",$D122-$H122)</f>
      </c>
      <c r="J122" s="6">
        <f>IF(ITEM!$B100="","",ITEM!$E100)</f>
      </c>
      <c r="K122" s="6">
        <f>IF(ITEM!$B100="","",$G122*$J122)</f>
      </c>
      <c r="L122" s="2"/>
      <c r="M122" s="2"/>
      <c r="N122" s="2"/>
      <c r="O122" s="2"/>
    </row>
    <row r="123" spans="1:15" ht="13.05" hidden="1" customHeight="1" outlineLevel="2" x14ac:dyDescent="0.45">
      <c r="A123" s="4">
        <f>IF(ITEM!$B101="","",ITEM!$A101)</f>
      </c>
      <c r="B123" s="118">
        <f>IF(ITEM!$B101="","",ITEM!$B101)</f>
      </c>
      <c r="C123" s="119"/>
      <c r="D123" s="13">
        <f>IF(ITEM!$B101="","",ITEM!$D101)</f>
      </c>
      <c r="E123" s="5">
        <f>IF(ITEM!$B101="","",ITEM!$C101)</f>
      </c>
      <c r="F123" s="13" cm="1">
        <f t="array" ref="F123">IF(ITEM!$B101="","",SUMPRODUCT((COLUMN(ITEM!$G101:$J101)-COLUMN(ITEM!$G101)+1&lt;$O$1)*ITEM!$G101:$J101))</f>
      </c>
      <c r="G123" s="13" cm="1">
        <f t="array" ref="G123">IF(ITEM!$B101="","",INDEX(ITEM!$G101:$J101,1,$O$1))</f>
      </c>
      <c r="H123" s="13">
        <f>IF(ITEM!$B101="","",$F123+$G123)</f>
      </c>
      <c r="I123" s="13">
        <f>IF(ITEM!$B101="","",$D123-$H123)</f>
      </c>
      <c r="J123" s="6">
        <f>IF(ITEM!$B101="","",ITEM!$E101)</f>
      </c>
      <c r="K123" s="6">
        <f>IF(ITEM!$B101="","",$G123*$J123)</f>
      </c>
      <c r="L123" s="2"/>
      <c r="M123" s="2"/>
      <c r="N123" s="2"/>
      <c r="O123" s="2"/>
    </row>
    <row r="124" spans="1:15" ht="13.05" hidden="1" customHeight="1" outlineLevel="2" x14ac:dyDescent="0.45">
      <c r="A124" s="4">
        <f>IF(ITEM!$B102="","",ITEM!$A102)</f>
      </c>
      <c r="B124" s="118">
        <f>IF(ITEM!$B102="","",ITEM!$B102)</f>
      </c>
      <c r="C124" s="119"/>
      <c r="D124" s="13">
        <f>IF(ITEM!$B102="","",ITEM!$D102)</f>
      </c>
      <c r="E124" s="5">
        <f>IF(ITEM!$B102="","",ITEM!$C102)</f>
      </c>
      <c r="F124" s="13" cm="1">
        <f t="array" ref="F124">IF(ITEM!$B102="","",SUMPRODUCT((COLUMN(ITEM!$G102:$J102)-COLUMN(ITEM!$G102)+1&lt;$O$1)*ITEM!$G102:$J102))</f>
      </c>
      <c r="G124" s="13" cm="1">
        <f t="array" ref="G124">IF(ITEM!$B102="","",INDEX(ITEM!$G102:$J102,1,$O$1))</f>
      </c>
      <c r="H124" s="13">
        <f>IF(ITEM!$B102="","",$F124+$G124)</f>
      </c>
      <c r="I124" s="13">
        <f>IF(ITEM!$B102="","",$D124-$H124)</f>
      </c>
      <c r="J124" s="6">
        <f>IF(ITEM!$B102="","",ITEM!$E102)</f>
      </c>
      <c r="K124" s="6">
        <f>IF(ITEM!$B102="","",$G124*$J124)</f>
      </c>
      <c r="L124" s="2"/>
      <c r="M124" s="2"/>
      <c r="N124" s="2"/>
      <c r="O124" s="2"/>
    </row>
    <row r="125" spans="1:15" ht="13.05" hidden="1" customHeight="1" outlineLevel="2" x14ac:dyDescent="0.45">
      <c r="A125" s="4">
        <f>IF(ITEM!$B103="","",ITEM!$A103)</f>
      </c>
      <c r="B125" s="118">
        <f>IF(ITEM!$B103="","",ITEM!$B103)</f>
      </c>
      <c r="C125" s="119"/>
      <c r="D125" s="13">
        <f>IF(ITEM!$B103="","",ITEM!$D103)</f>
      </c>
      <c r="E125" s="5">
        <f>IF(ITEM!$B103="","",ITEM!$C103)</f>
      </c>
      <c r="F125" s="13" cm="1">
        <f t="array" ref="F125">IF(ITEM!$B103="","",SUMPRODUCT((COLUMN(ITEM!$G103:$J103)-COLUMN(ITEM!$G103)+1&lt;$O$1)*ITEM!$G103:$J103))</f>
      </c>
      <c r="G125" s="13" cm="1">
        <f t="array" ref="G125">IF(ITEM!$B103="","",INDEX(ITEM!$G103:$J103,1,$O$1))</f>
      </c>
      <c r="H125" s="13">
        <f>IF(ITEM!$B103="","",$F125+$G125)</f>
      </c>
      <c r="I125" s="13">
        <f>IF(ITEM!$B103="","",$D125-$H125)</f>
      </c>
      <c r="J125" s="6">
        <f>IF(ITEM!$B103="","",ITEM!$E103)</f>
      </c>
      <c r="K125" s="6">
        <f>IF(ITEM!$B103="","",$G125*$J125)</f>
      </c>
      <c r="L125" s="2"/>
      <c r="M125" s="2"/>
      <c r="N125" s="2"/>
      <c r="O125" s="2"/>
    </row>
    <row r="126" spans="1:15" ht="13.05" customHeight="1" x14ac:dyDescent="0.45">
      <c r="A126" s="165" t="s">
        <v>103</v>
      </c>
      <c r="B126" s="166"/>
      <c r="C126" s="166"/>
      <c r="D126" s="166"/>
      <c r="E126" s="166"/>
      <c r="F126" s="166"/>
      <c r="G126" s="166"/>
      <c r="H126" s="166"/>
      <c r="I126" s="166"/>
      <c r="J126" s="167"/>
      <c r="K126" s="7">
        <f>SUM(K26:K125)</f>
      </c>
      <c r="L126" s="2"/>
      <c r="M126" s="2"/>
      <c r="N126" s="2"/>
      <c r="O126" s="2"/>
    </row>
    <row r="127" spans="1:15" ht="13.05" customHeight="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2"/>
      <c r="N127" s="2"/>
      <c r="O127" s="2"/>
    </row>
    <row r="128" spans="1:15" ht="13.05" customHeight="1" x14ac:dyDescent="0.45">
      <c r="A128" s="153" t="s">
        <v>156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2"/>
      <c r="M128" s="2"/>
      <c r="N128" s="2"/>
      <c r="O128" s="2"/>
    </row>
    <row r="129" spans="1:15" ht="13.05" customHeight="1" x14ac:dyDescent="0.45">
      <c r="A129" s="26">
        <v>1</v>
      </c>
      <c r="B129" s="151" t="s">
        <v>157</v>
      </c>
      <c r="C129" s="121"/>
      <c r="D129" s="121"/>
      <c r="E129" s="121"/>
      <c r="F129" s="121"/>
      <c r="G129" s="19" t="s">
        <v>158</v>
      </c>
      <c r="H129" s="28">
        <f>IF(ITEM!$C$107=0,0,SUMPRODUCT($H$26:$H$125,$J$26:$J$125)/ITEM!$C$107)</f>
      </c>
      <c r="I129" s="19" t="s">
        <v>159</v>
      </c>
      <c r="J129" s="19"/>
      <c r="K129" s="15">
        <f>ROUND(H129*ITEM!$C$107,0)</f>
      </c>
      <c r="L129" s="2"/>
      <c r="M129" s="2"/>
      <c r="N129" s="2"/>
      <c r="O129" s="2"/>
    </row>
    <row r="130" spans="1:15" ht="13.05" customHeight="1" x14ac:dyDescent="0.45">
      <c r="A130" s="26">
        <v>2</v>
      </c>
      <c r="B130" s="151" t="s">
        <v>160</v>
      </c>
      <c r="C130" s="121"/>
      <c r="D130" s="121"/>
      <c r="E130" s="121"/>
      <c r="F130" s="121"/>
      <c r="G130" s="19" t="s">
        <v>158</v>
      </c>
      <c r="H130" s="28">
        <f>IF(ITEM!$C$107=0,0,SUMPRODUCT($F$26:$F$125,$J$26:$J$125)/ITEM!$C$107)</f>
      </c>
      <c r="I130" s="19" t="s">
        <v>159</v>
      </c>
      <c r="J130" s="19"/>
      <c r="K130" s="15">
        <f>ROUND(H130*ITEM!$C$107,0)</f>
      </c>
      <c r="L130" s="2"/>
      <c r="M130" s="2"/>
      <c r="N130" s="2"/>
      <c r="O130" s="2"/>
    </row>
    <row r="131" spans="1:15" ht="13.05" customHeight="1" x14ac:dyDescent="0.45">
      <c r="A131" s="26">
        <v>3</v>
      </c>
      <c r="B131" s="151" t="s">
        <v>161</v>
      </c>
      <c r="C131" s="121"/>
      <c r="D131" s="121"/>
      <c r="E131" s="121"/>
      <c r="F131" s="121"/>
      <c r="G131" s="19" t="s">
        <v>158</v>
      </c>
      <c r="H131" s="28">
        <f>H129-H130</f>
      </c>
      <c r="I131" s="19" t="s">
        <v>159</v>
      </c>
      <c r="J131" s="19"/>
      <c r="K131" s="15">
        <f>K129-K130</f>
      </c>
      <c r="L131" s="2"/>
      <c r="M131" s="2"/>
      <c r="N131" s="2"/>
      <c r="O131" s="2"/>
    </row>
    <row r="132" spans="1:15" ht="13.05" customHeight="1" x14ac:dyDescent="0.45">
      <c r="A132" s="26">
        <v>4</v>
      </c>
      <c r="B132" s="151" t="s">
        <v>162</v>
      </c>
      <c r="C132" s="121"/>
      <c r="D132" s="121"/>
      <c r="E132" s="121"/>
      <c r="F132" s="121"/>
      <c r="G132" s="19"/>
      <c r="H132" s="28"/>
      <c r="I132" s="19"/>
      <c r="J132" s="19"/>
      <c r="K132" s="15"/>
      <c r="L132" s="2"/>
      <c r="M132" s="2"/>
      <c r="N132" s="2"/>
      <c r="O132" s="2"/>
    </row>
    <row r="133" spans="1:15" ht="13.05" customHeight="1" x14ac:dyDescent="0.45">
      <c r="A133" s="26"/>
      <c r="B133" s="151" t="s">
        <v>163</v>
      </c>
      <c r="C133" s="121"/>
      <c r="D133" s="121"/>
      <c r="E133" s="121"/>
      <c r="F133" s="121"/>
      <c r="G133" s="19" t="s">
        <v>158</v>
      </c>
      <c r="H133" s="28">
        <f>INPUT!$B$47</f>
      </c>
      <c r="I133" s="19" t="s">
        <v>159</v>
      </c>
      <c r="J133" s="19" t="s">
        <v>164</v>
      </c>
      <c r="K133" s="15">
        <f>-ROUND(H133*K131,0)</f>
      </c>
      <c r="L133" s="2"/>
      <c r="M133" s="2"/>
      <c r="N133" s="2"/>
      <c r="O133" s="2"/>
    </row>
    <row r="134" spans="1:15" ht="13.05" customHeight="1" x14ac:dyDescent="0.45">
      <c r="A134" s="26"/>
      <c r="B134" s="151" t="s">
        <v>165</v>
      </c>
      <c r="C134" s="121"/>
      <c r="D134" s="121"/>
      <c r="E134" s="121"/>
      <c r="F134" s="121"/>
      <c r="G134" s="19" t="s">
        <v>158</v>
      </c>
      <c r="H134" s="28">
        <f>INPUT!$B$46</f>
      </c>
      <c r="I134" s="19" t="s">
        <v>159</v>
      </c>
      <c r="J134" s="19" t="s">
        <v>164</v>
      </c>
      <c r="K134" s="15">
        <f>-ROUND(H134*K131,0)</f>
      </c>
      <c r="L134" s="2"/>
      <c r="M134" s="2"/>
      <c r="N134" s="2"/>
      <c r="O134" s="2"/>
    </row>
    <row r="135" spans="1:15" ht="13.05" customHeight="1" thickBot="1" x14ac:dyDescent="0.5">
      <c r="A135" s="27">
        <v>5</v>
      </c>
      <c r="B135" s="172" t="s">
        <v>166</v>
      </c>
      <c r="C135" s="121"/>
      <c r="D135" s="121"/>
      <c r="E135" s="121"/>
      <c r="F135" s="121"/>
      <c r="G135" s="19" t="s">
        <v>158</v>
      </c>
      <c r="H135" s="19"/>
      <c r="I135" s="19" t="s">
        <v>159</v>
      </c>
      <c r="J135" s="19"/>
      <c r="K135" s="16">
        <f>K131+K133+K134</f>
      </c>
      <c r="L135" s="2"/>
      <c r="M135" s="2"/>
      <c r="N135" s="2"/>
      <c r="O135" s="2"/>
    </row>
    <row r="136" spans="1:15" ht="13.05" customHeight="1" thickTop="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2"/>
      <c r="N136" s="2"/>
      <c r="O136" s="2"/>
    </row>
    <row r="137" spans="1:15" ht="13.05" customHeight="1" x14ac:dyDescent="0.45">
      <c r="A137" s="8"/>
      <c r="B137" s="53" t="s">
        <v>105</v>
      </c>
      <c r="C137" s="152">
        <f>": "&amp;$O$14</f>
      </c>
      <c r="D137" s="121"/>
      <c r="E137" s="121"/>
      <c r="F137" s="121"/>
      <c r="G137" s="121"/>
      <c r="H137" s="121"/>
      <c r="I137" s="121"/>
      <c r="J137" s="121"/>
      <c r="K137" s="121"/>
      <c r="L137" s="2"/>
      <c r="M137" s="2"/>
      <c r="N137" s="2"/>
      <c r="O137" s="2"/>
    </row>
    <row r="138" spans="1:15" ht="13.05" customHeight="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2"/>
      <c r="N138" s="2"/>
      <c r="O138" s="2"/>
    </row>
    <row r="139" spans="1:15" ht="13.05" customHeight="1" x14ac:dyDescent="0.45">
      <c r="A139" s="153" t="s">
        <v>167</v>
      </c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2"/>
      <c r="M139" s="2"/>
      <c r="N139" s="2"/>
      <c r="O139" s="2"/>
    </row>
    <row r="140" spans="1:15" ht="13.05" customHeight="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</row>
    <row r="141" spans="1:15" ht="13.05" customHeight="1" x14ac:dyDescent="0.45">
      <c r="A141" s="3"/>
      <c r="B141" s="125">
        <f>"Mengetahui,"</f>
      </c>
      <c r="C141" s="121"/>
      <c r="D141" s="121"/>
      <c r="E141" s="121"/>
      <c r="F141" s="162" t="s">
        <v>168</v>
      </c>
      <c r="G141" s="162"/>
      <c r="H141" s="162"/>
      <c r="I141" s="162" t="s">
        <v>169</v>
      </c>
      <c r="J141" s="162"/>
      <c r="K141" s="162"/>
      <c r="L141" s="2"/>
      <c r="M141" s="2"/>
      <c r="N141" s="2"/>
      <c r="O141" s="2"/>
    </row>
    <row r="142" spans="1:15" ht="13.05" customHeight="1" x14ac:dyDescent="0.45">
      <c r="A142" s="3"/>
      <c r="B142" s="122">
        <f>UPPER(INPUT!$B$6)</f>
      </c>
      <c r="C142" s="121"/>
      <c r="D142" s="121"/>
      <c r="E142" s="121"/>
      <c r="F142" s="174">
        <f>UPPER(INPUT!$B$6)</f>
      </c>
      <c r="G142" s="161"/>
      <c r="H142" s="161"/>
      <c r="I142" s="161">
        <f>UPPER(INPUT!$B$24)</f>
      </c>
      <c r="J142" s="161"/>
      <c r="K142" s="161"/>
      <c r="L142" s="2"/>
      <c r="M142" s="2"/>
      <c r="N142" s="2"/>
      <c r="O142" s="2"/>
    </row>
    <row r="143" spans="1:15" ht="30" customHeight="1" x14ac:dyDescent="0.45">
      <c r="A143" s="3"/>
      <c r="B143" s="3"/>
      <c r="C143" s="10"/>
      <c r="D143" s="3"/>
      <c r="E143" s="3"/>
      <c r="F143" s="10"/>
      <c r="G143" s="3"/>
      <c r="H143" s="3"/>
      <c r="I143" s="10"/>
      <c r="J143" s="3"/>
      <c r="K143" s="3"/>
      <c r="L143" s="2"/>
      <c r="M143" s="2"/>
      <c r="N143" s="2"/>
      <c r="O143" s="2"/>
    </row>
    <row r="144" spans="1:15" ht="30" customHeight="1" x14ac:dyDescent="0.45">
      <c r="A144" s="3"/>
      <c r="B144" s="3"/>
      <c r="C144" s="10"/>
      <c r="D144" s="3"/>
      <c r="E144" s="3"/>
      <c r="F144" s="10"/>
      <c r="G144" s="3"/>
      <c r="H144" s="3"/>
      <c r="I144" s="10"/>
      <c r="J144" s="3"/>
      <c r="K144" s="3"/>
      <c r="L144" s="2"/>
      <c r="M144" s="2"/>
      <c r="N144" s="2"/>
      <c r="O144" s="2"/>
    </row>
    <row r="145" spans="1:15" ht="30" customHeight="1" x14ac:dyDescent="0.45">
      <c r="A145" s="3"/>
      <c r="B145" s="3"/>
      <c r="C145" s="10"/>
      <c r="D145" s="3"/>
      <c r="E145" s="3"/>
      <c r="F145" s="10"/>
      <c r="G145" s="3"/>
      <c r="H145" s="3"/>
      <c r="I145" s="10"/>
      <c r="J145" s="3"/>
      <c r="K145" s="3"/>
      <c r="L145" s="2"/>
      <c r="M145" s="2"/>
      <c r="N145" s="2"/>
      <c r="O145" s="2"/>
    </row>
    <row r="146" spans="1:15" ht="13.05" customHeight="1" x14ac:dyDescent="0.45">
      <c r="A146" s="3"/>
      <c r="B146" s="123">
        <f>INPUT!$B$9</f>
      </c>
      <c r="C146" s="121"/>
      <c r="D146" s="121"/>
      <c r="E146" s="121"/>
      <c r="F146" s="168">
        <f>INPUT!$B$12</f>
      </c>
      <c r="G146" s="168"/>
      <c r="H146" s="168"/>
      <c r="I146" s="168">
        <f>INPUT!$B$23</f>
      </c>
      <c r="J146" s="168"/>
      <c r="K146" s="168"/>
      <c r="L146" s="2"/>
      <c r="M146" s="2"/>
      <c r="N146" s="2"/>
      <c r="O146" s="2"/>
    </row>
    <row r="147" spans="1:15" ht="13.05" customHeight="1" x14ac:dyDescent="0.45">
      <c r="A147" s="3"/>
      <c r="B147" s="125">
        <f>INPUT!$B$11</f>
      </c>
      <c r="C147" s="121"/>
      <c r="D147" s="121"/>
      <c r="E147" s="121"/>
      <c r="F147" s="173">
        <f>INPUT!$B$13</f>
      </c>
      <c r="G147" s="162"/>
      <c r="H147" s="162"/>
      <c r="I147" s="162" t="s">
        <v>120</v>
      </c>
      <c r="J147" s="162"/>
      <c r="K147" s="162"/>
      <c r="L147" s="2"/>
      <c r="M147" s="2"/>
      <c r="N147" s="2"/>
      <c r="O147" s="2"/>
    </row>
    <row r="148" spans="1:15" ht="13.05" customHeight="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2"/>
      <c r="N148" s="2"/>
      <c r="O148" s="2"/>
    </row>
    <row r="149" spans="1:15" ht="13.05" customHeight="1" x14ac:dyDescent="0.45">
      <c r="A149" s="8" t="s">
        <v>121</v>
      </c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2"/>
      <c r="M149" s="2"/>
      <c r="N149" s="2"/>
      <c r="O149" s="2"/>
    </row>
    <row r="150" spans="1:15" ht="13.05" customHeight="1" x14ac:dyDescent="0.45">
      <c r="A150" s="3" t="s">
        <v>170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2"/>
      <c r="N150" s="2"/>
      <c r="O150" s="2"/>
    </row>
  </sheetData>
  <mergeCells count="146">
    <mergeCell ref="B65:C65"/>
    <mergeCell ref="B66:C66"/>
    <mergeCell ref="B67:C67"/>
    <mergeCell ref="B68:C68"/>
    <mergeCell ref="B69:C69"/>
    <mergeCell ref="F147:H147"/>
    <mergeCell ref="I147:K147"/>
    <mergeCell ref="F142:H142"/>
    <mergeCell ref="I142:K142"/>
    <mergeCell ref="F146:H146"/>
    <mergeCell ref="I146:K146"/>
    <mergeCell ref="B142:E142"/>
    <mergeCell ref="B146:E146"/>
    <mergeCell ref="B147:E147"/>
    <mergeCell ref="B70:C70"/>
    <mergeCell ref="B71:C71"/>
    <mergeCell ref="B72:C72"/>
    <mergeCell ref="B73:C73"/>
    <mergeCell ref="F141:H141"/>
    <mergeCell ref="I141:K141"/>
    <mergeCell ref="A126:J126"/>
    <mergeCell ref="A128:K128"/>
    <mergeCell ref="B133:F133"/>
    <mergeCell ref="B134:F134"/>
    <mergeCell ref="B135:F135"/>
    <mergeCell ref="C137:K137"/>
    <mergeCell ref="B141:E141"/>
    <mergeCell ref="A139:K139"/>
    <mergeCell ref="C13:K13"/>
    <mergeCell ref="C17:K17"/>
    <mergeCell ref="A15:K15"/>
    <mergeCell ref="A21:K21"/>
    <mergeCell ref="A23:A24"/>
    <mergeCell ref="D23:D24"/>
    <mergeCell ref="E23:E24"/>
    <mergeCell ref="F23:I23"/>
    <mergeCell ref="J23:J24"/>
    <mergeCell ref="K23:K24"/>
    <mergeCell ref="C18:K18"/>
    <mergeCell ref="C19:K19"/>
    <mergeCell ref="B23:C24"/>
    <mergeCell ref="B30:C30"/>
    <mergeCell ref="B31:C31"/>
    <mergeCell ref="B32:C32"/>
    <mergeCell ref="B33:C33"/>
    <mergeCell ref="B34:C34"/>
    <mergeCell ref="B25:C25"/>
    <mergeCell ref="B26:C26"/>
    <mergeCell ref="A1:K1"/>
    <mergeCell ref="A2:K2"/>
    <mergeCell ref="A3:K3"/>
    <mergeCell ref="A5:K5"/>
    <mergeCell ref="A6:K6"/>
    <mergeCell ref="A8:K8"/>
    <mergeCell ref="C10:K10"/>
    <mergeCell ref="C11:K11"/>
    <mergeCell ref="C12:K12"/>
    <mergeCell ref="B27:C27"/>
    <mergeCell ref="B28:C28"/>
    <mergeCell ref="B29:C2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45:C45"/>
    <mergeCell ref="B129:F129"/>
    <mergeCell ref="B130:F130"/>
    <mergeCell ref="B131:F131"/>
    <mergeCell ref="B132:F132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124:C124"/>
    <mergeCell ref="B125:C125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</mergeCells>
  <printOptions horizontalCentered="1"/>
  <pageMargins left="0.34722222222222221" right="0.34722222222222221" top="0.3888888888888889" bottom="0.3888888888888889" header="0.16666666666666666" footer="0.16666666666666666"/>
  <pageSetup paperSize="9" scale="76" orientation="portrait" r:id="rId1"/>
  <headerFooter>
    <oddFooter>&amp;RHal &amp;P dari &amp;N&amp;L&amp;Z&amp;F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C38B-7BC7-48B5-86E0-8182B9F9908F}">
  <sheetPr>
    <tabColor rgb="FF1F3864"/>
    <pageSetUpPr fitToPage="1"/>
  </sheetPr>
  <dimension ref="A1:N60"/>
  <sheetViews>
    <sheetView showGridLines="0" showRowColHeaders="0" zoomScale="70" zoomScaleNormal="70" workbookViewId="0">
      <selection activeCell="B9" sqref="B9:E9"/>
    </sheetView>
  </sheetViews>
  <sheetFormatPr defaultRowHeight="14.25" x14ac:dyDescent="0.45"/>
  <cols>
    <col min="1" max="1" width="4.265625" customWidth="1"/>
    <col min="2" max="5" width="12.46484375" customWidth="1"/>
    <col min="6" max="6" width="9.796875" customWidth="1"/>
    <col min="7" max="7" width="3.9296875" customWidth="1"/>
    <col min="8" max="8" width="4.265625" customWidth="1"/>
    <col min="9" max="9" width="15.1328125" customWidth="1"/>
    <col min="10" max="10" width="6.06640625" customWidth="1"/>
    <col min="11" max="11" width="16.33203125" customWidth="1"/>
    <col min="12" max="12" width="18.6640625" customWidth="1"/>
  </cols>
  <sheetData>
    <row r="1" spans="1:14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90" t="s">
        <v>123</v>
      </c>
      <c r="N1" s="91">
        <v>1</v>
      </c>
    </row>
    <row r="2" spans="1:14" ht="16.05" customHeight="1" x14ac:dyDescent="0.4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90" t="s">
        <v>124</v>
      </c>
      <c r="N2" s="92" cm="1">
        <f t="array" ref="N2">IF(IFERROR(INDEX(INPUT!$B$55:$B$58,$N$1),0)=0,"",INDEX(INPUT!$B$55:$B$58,$N$1))</f>
      </c>
    </row>
    <row r="3" spans="1:14" ht="8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90" t="s">
        <v>125</v>
      </c>
      <c r="N3" s="92">
        <f>IF($N$2="","",TEXT($N$2,"dddd"))</f>
      </c>
    </row>
    <row r="4" spans="1:14" ht="20" customHeight="1" x14ac:dyDescent="0.5">
      <c r="A4" s="140" t="s">
        <v>171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90" t="s">
        <v>126</v>
      </c>
      <c r="N4" s="92">
        <f>IF($N$2="","",IF(DAY($N$2)&lt;20,VLOOKUP(DAY($N$2),HELPER!$A$3:$B$22,2,0),IF(DAY($N$2)&lt;30,TRIM("Dua Puluh "&amp;VLOOKUP(DAY($N$2)-20,HELPER!$A$3:$B$22,2,0)),TRIM("Tiga Puluh "&amp;VLOOKUP(DAY($N$2)-30,HELPER!$A$3:$B$22,2,0)))))</f>
      </c>
    </row>
    <row r="5" spans="1:14" ht="16.05" customHeight="1" x14ac:dyDescent="0.45">
      <c r="A5" s="122" cm="1">
        <f t="array" ref="A5">IF($N$2="","","Nomor : "&amp;INDEX(INPUT!$D$55:$D$58,$N$1))</f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90" t="s">
        <v>128</v>
      </c>
      <c r="N5" s="92">
        <f>IF($N$2="","",TEXT($N$2,"mmmm"))</f>
      </c>
    </row>
    <row r="6" spans="1:14" ht="13.05" customHeight="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90" t="s">
        <v>129</v>
      </c>
      <c r="N6" s="92">
        <f>IF($N$2="","",TRIM(IF(INT(YEAR($N$2)/1000)=1,"Seribu ",IF(INT(YEAR($N$2)/1000)=0,"",IF(INT(INT(YEAR($N$2)/1000)/100)=0,"",IF(INT(INT(YEAR($N$2)/1000)/100)=1,"Seratus ",VLOOKUP(INT(INT(YEAR($N$2)/1000)/100),HELPER!$A$3:$B$22,2,0)&amp;" Ratus "))&amp;IF(MOD(INT(YEAR($N$2)/1000),100)=0,"",IF(MOD(INT(YEAR($N$2)/1000),100)&lt;20,VLOOKUP(MOD(INT(YEAR($N$2)/1000),100),HELPER!$A$3:$B$22,2,0),VLOOKUP(INT(MOD(INT(YEAR($N$2)/1000),100)/10),HELPER!$A$3:$B$22,2,0)&amp;" Puluh "&amp;IF(MOD(INT(YEAR($N$2)/1000),10)=0,"",VLOOKUP(MOD(INT(YEAR($N$2)/1000),10),HELPER!$A$3:$B$22,2,0)))))&amp;" Ribu ")&amp;IF(MOD(YEAR($N$2),1000)=0,"",IF(INT(MOD(YEAR($N$2),1000)/100)=0,"",IF(INT(MOD(YEAR($N$2),1000)/100)=1,"Seratus ",VLOOKUP(INT(MOD(YEAR($N$2),1000)/100),HELPER!$A$3:$B$22,2,0)&amp;" Ratus "))&amp;IF(MOD(MOD(YEAR($N$2),1000),100)=0,"",IF(MOD(MOD(YEAR($N$2),1000),100)&lt;20,VLOOKUP(MOD(MOD(YEAR($N$2),1000),100),HELPER!$A$3:$B$22,2,0),VLOOKUP(INT(MOD(MOD(YEAR($N$2),1000),100)/10),HELPER!$A$3:$B$22,2,0)&amp;" Puluh "&amp;IF(MOD(MOD(YEAR($N$2),1000),10)=0,"",VLOOKUP(MOD(MOD(YEAR($N$2),1000),10),HELPER!$A$3:$B$22,2,0)))))))</f>
      </c>
    </row>
    <row r="7" spans="1:14" ht="13.05" customHeight="1" x14ac:dyDescent="0.45">
      <c r="A7" s="153">
        <f>IF($N$7="","",$N$7&amp;", kami yang bertanda tangan dibawah ini :")</f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90" t="s">
        <v>130</v>
      </c>
      <c r="N7" s="92">
        <f>IF($N$2="","","Pada hari ini "&amp;$N$3&amp;", tanggal "&amp;$N$4&amp;" bulan "&amp;$N$5&amp;" tahun "&amp;$N$6&amp;" ("&amp;TEXT($N$2,"dd/mm/yyyy")&amp;")")</f>
      </c>
    </row>
    <row r="8" spans="1:14" ht="13.05" customHeight="1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90"/>
      <c r="N8" s="92"/>
    </row>
    <row r="9" spans="1:14" ht="18" customHeight="1" x14ac:dyDescent="0.45">
      <c r="A9" s="3" t="s">
        <v>132</v>
      </c>
      <c r="B9" s="175">
        <f>INPUT!$B$19</f>
      </c>
      <c r="C9" s="153"/>
      <c r="D9" s="153"/>
      <c r="E9" s="153"/>
      <c r="F9" s="3" t="s">
        <v>158</v>
      </c>
      <c r="G9" s="176">
        <f>"Selaku "&amp;INPUT!$B$20&amp;", Proyek Pekerjaan "&amp;INPUT!$B$5&amp;" - Jakarta, dalam hal ini bertindak untuk dan atas nama "&amp;INPUT!$B$6&amp;" "&amp;INPUT!$B$7&amp;" yang berkedudukan di "&amp;INPUT!$B$8&amp;", (untuk selanjutnya disebut "&amp;_xlfn.UNICHAR(8220)&amp;"Pihak Pertama"&amp;_xlfn.UNICHAR(8221)&amp;")"</f>
      </c>
      <c r="H9" s="176"/>
      <c r="I9" s="176"/>
      <c r="J9" s="176"/>
      <c r="K9" s="176"/>
      <c r="L9" s="176"/>
      <c r="M9" s="90" t="s">
        <v>172</v>
      </c>
      <c r="N9" s="92">
        <f>$L$47</f>
      </c>
    </row>
    <row r="10" spans="1:14" ht="18" customHeight="1" x14ac:dyDescent="0.45">
      <c r="A10" s="3"/>
      <c r="B10" s="3"/>
      <c r="C10" s="3"/>
      <c r="D10" s="3"/>
      <c r="E10" s="3"/>
      <c r="F10" s="3"/>
      <c r="G10" s="176"/>
      <c r="H10" s="176"/>
      <c r="I10" s="176"/>
      <c r="J10" s="176"/>
      <c r="K10" s="176"/>
      <c r="L10" s="176"/>
      <c r="M10" s="90" t="s">
        <v>134</v>
      </c>
      <c r="N10" s="92">
        <f>INT(ROUND($N$9,0)/1000000000)</f>
      </c>
    </row>
    <row r="11" spans="1:14" ht="18" customHeight="1" x14ac:dyDescent="0.45">
      <c r="A11" s="3"/>
      <c r="B11" s="3"/>
      <c r="C11" s="3"/>
      <c r="D11" s="3"/>
      <c r="E11" s="3"/>
      <c r="F11" s="3"/>
      <c r="G11" s="176"/>
      <c r="H11" s="176"/>
      <c r="I11" s="176"/>
      <c r="J11" s="176"/>
      <c r="K11" s="176"/>
      <c r="L11" s="176"/>
      <c r="M11" s="90" t="s">
        <v>135</v>
      </c>
      <c r="N11" s="92">
        <f>MOD(INT(ROUND($N$9,0)/1000000),1000)</f>
      </c>
    </row>
    <row r="12" spans="1:14" ht="13.0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90" t="s">
        <v>138</v>
      </c>
      <c r="N12" s="92">
        <f>MOD(INT(ROUND($N$9,0)/1000),1000)</f>
      </c>
    </row>
    <row r="13" spans="1:14" ht="14" customHeight="1" x14ac:dyDescent="0.45">
      <c r="A13" s="3" t="s">
        <v>136</v>
      </c>
      <c r="B13" s="175">
        <f>INPUT!$B$23</f>
      </c>
      <c r="C13" s="153"/>
      <c r="D13" s="153"/>
      <c r="E13" s="153"/>
      <c r="F13" s="3" t="s">
        <v>158</v>
      </c>
      <c r="G13" s="176">
        <f>"Selaku Direktur "&amp;UPPER(INPUT!$B$24)&amp;", dalam hal ini bertindak untuk dan atas nama "&amp;UPPER(INPUT!$B$24)&amp;" yang berkedudukan di "&amp;INPUT!$B$25&amp;", (untuk selanjutnya disebut "&amp;_xlfn.UNICHAR(8220)&amp;"Pihak Kedua"&amp;_xlfn.UNICHAR(8221)&amp;")."</f>
      </c>
      <c r="H13" s="176"/>
      <c r="I13" s="176"/>
      <c r="J13" s="176"/>
      <c r="K13" s="176"/>
      <c r="L13" s="176"/>
      <c r="M13" s="90" t="s">
        <v>139</v>
      </c>
      <c r="N13" s="92">
        <f>MOD(ROUND($N$9,0),1000)</f>
      </c>
    </row>
    <row r="14" spans="1:14" ht="14" customHeight="1" x14ac:dyDescent="0.45">
      <c r="A14" s="3"/>
      <c r="B14" s="3"/>
      <c r="C14" s="3"/>
      <c r="D14" s="3"/>
      <c r="E14" s="3"/>
      <c r="F14" s="3"/>
      <c r="G14" s="176"/>
      <c r="H14" s="176"/>
      <c r="I14" s="176"/>
      <c r="J14" s="176"/>
      <c r="K14" s="176"/>
      <c r="L14" s="176"/>
      <c r="M14" s="90" t="s">
        <v>105</v>
      </c>
      <c r="N14" s="92">
        <f>IF(ROUND($N$9,0)=0,"== Nol Rupiah ==","== "&amp;TRIM(IF($N$10=0,"",IF($N$10=0,"",IF(INT($N$10/100)=0,"",IF(INT($N$10/100)=1,"Seratus ",VLOOKUP(INT($N$10/100),HELPER!$A$3:$B$22,2,0)&amp;" Ratus "))&amp;IF(MOD($N$10,100)=0,"",IF(MOD($N$10,100)&lt;20,VLOOKUP(MOD($N$10,100),HELPER!$A$3:$B$22,2,0),VLOOKUP(INT(MOD($N$10,100)/10),HELPER!$A$3:$B$22,2,0)&amp;" Puluh "&amp;IF(MOD($N$10,10)=0,"",VLOOKUP(MOD($N$10,10),HELPER!$A$3:$B$22,2,0)))))&amp;" Miliar ")&amp;IF($N$11=0,"",IF($N$11=1,"Satu Juta ",IF($N$11=0,"",IF(INT($N$11/100)=0,"",IF(INT($N$11/100)=1,"Seratus ",VLOOKUP(INT($N$11/100),HELPER!$A$3:$B$22,2,0)&amp;" Ratus "))&amp;IF(MOD($N$11,100)=0,"",IF(MOD($N$11,100)&lt;20,VLOOKUP(MOD($N$11,100),HELPER!$A$3:$B$22,2,0),VLOOKUP(INT(MOD($N$11,100)/10),HELPER!$A$3:$B$22,2,0)&amp;" Puluh "&amp;IF(MOD($N$11,10)=0,"",VLOOKUP(MOD($N$11,10),HELPER!$A$3:$B$22,2,0)))))&amp;" Juta "))&amp;IF($N$12=0,"",IF($N$12=1,"Seribu ",IF($N$12=0,"",IF(INT($N$12/100)=0,"",IF(INT($N$12/100)=1,"Seratus ",VLOOKUP(INT($N$12/100),HELPER!$A$3:$B$22,2,0)&amp;" Ratus "))&amp;IF(MOD($N$12,100)=0,"",IF(MOD($N$12,100)&lt;20,VLOOKUP(MOD($N$12,100),HELPER!$A$3:$B$22,2,0),VLOOKUP(INT(MOD($N$12,100)/10),HELPER!$A$3:$B$22,2,0)&amp;" Puluh "&amp;IF(MOD($N$12,10)=0,"",VLOOKUP(MOD($N$12,10),HELPER!$A$3:$B$22,2,0)))))&amp;" Ribu "))&amp;IF($N$13=0,"",IF(INT($N$13/100)=0,"",IF(INT($N$13/100)=1,"Seratus ",VLOOKUP(INT($N$13/100),HELPER!$A$3:$B$22,2,0)&amp;" Ratus "))&amp;IF(MOD($N$13,100)=0,"",IF(MOD($N$13,100)&lt;20,VLOOKUP(MOD($N$13,100),HELPER!$A$3:$B$22,2,0),VLOOKUP(INT(MOD($N$13,100)/10),HELPER!$A$3:$B$22,2,0)&amp;" Puluh "&amp;IF(MOD($N$13,10)=0,"",VLOOKUP(MOD($N$13,10),HELPER!$A$3:$B$22,2,0))))))&amp;" Rupiah ==")</f>
      </c>
    </row>
    <row r="15" spans="1:14" ht="14" customHeight="1" x14ac:dyDescent="0.45">
      <c r="A15" s="3"/>
      <c r="B15" s="3"/>
      <c r="C15" s="3"/>
      <c r="D15" s="3"/>
      <c r="E15" s="3"/>
      <c r="F15" s="3"/>
      <c r="G15" s="176"/>
      <c r="H15" s="176"/>
      <c r="I15" s="176"/>
      <c r="J15" s="176"/>
      <c r="K15" s="176"/>
      <c r="L15" s="176"/>
      <c r="M15" s="90"/>
      <c r="N15" s="92"/>
    </row>
    <row r="16" spans="1:14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90" t="s">
        <v>157</v>
      </c>
      <c r="N16" s="94" cm="1">
        <f t="array" ref="N16">IF(ITEM!$C$107=0,0,SUMPRODUCT((ROW($N$20:$N$23)-ROW($N$20)+1&lt;=$N$1)*$N$20:$N$23)/ITEM!$C$107)</f>
      </c>
    </row>
    <row r="17" spans="1:14" ht="21" customHeight="1" x14ac:dyDescent="0.45">
      <c r="A17" s="177">
        <f>"Menerangkan bahwa kedua belah pihak telah melakukan pemeriksaan atas pengadaan material "&amp;$N$31&amp;" sesuai lampiran pada Proyek Pekerjaan "&amp;INPUT!$B$5&amp;" berdasarkan :"</f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90" t="s">
        <v>160</v>
      </c>
      <c r="N17" s="94" cm="1">
        <f t="array" ref="N17">IF(ITEM!$C$107=0,0,SUMPRODUCT((ROW($N$20:$N$23)-ROW($N$20)+1&lt;$N$1)*$N$20:$N$23)/ITEM!$C$107)</f>
      </c>
    </row>
    <row r="18" spans="1:14" ht="21" customHeight="1" x14ac:dyDescent="0.4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90" t="s">
        <v>173</v>
      </c>
      <c r="N18" s="94">
        <f>$N$16-$N$17</f>
      </c>
    </row>
    <row r="19" spans="1:14" ht="13.05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0"/>
      <c r="N19" s="92"/>
    </row>
    <row r="20" spans="1:14" ht="13.05" customHeight="1" x14ac:dyDescent="0.45">
      <c r="A20" s="10">
        <v>1</v>
      </c>
      <c r="B20" s="130" t="s">
        <v>141</v>
      </c>
      <c r="C20" s="178"/>
      <c r="D20" s="130">
        <f>": "&amp;INPUT!$B$35&amp;" Tanggal, "&amp;TEXT(INPUT!$B$36,"dd mmmm yyyy")</f>
      </c>
      <c r="E20" s="121"/>
      <c r="F20" s="121"/>
      <c r="G20" s="121"/>
      <c r="H20" s="121"/>
      <c r="I20" s="121"/>
      <c r="J20" s="121"/>
      <c r="K20" s="121"/>
      <c r="L20" s="121"/>
      <c r="M20" s="90" t="s">
        <v>174</v>
      </c>
      <c r="N20" s="92">
        <f>SUMPRODUCT(INDEX(ITEM!$G$4:$J$103,0,1),ITEM!$E$4:$E$103)</f>
      </c>
    </row>
    <row r="21" spans="1:14" ht="13.05" customHeight="1" x14ac:dyDescent="0.45">
      <c r="A21" s="10">
        <v>2</v>
      </c>
      <c r="B21" s="130" t="s">
        <v>175</v>
      </c>
      <c r="C21" s="178"/>
      <c r="D21" s="130">
        <f>": "&amp;TEXT(INPUT!$B$36,"dd mmmm yyyy")&amp;" s/d "&amp;TEXT(INPUT!$B$37,"dd mmmm yyyy")</f>
      </c>
      <c r="E21" s="121"/>
      <c r="F21" s="121"/>
      <c r="G21" s="121"/>
      <c r="H21" s="121"/>
      <c r="I21" s="121"/>
      <c r="J21" s="121"/>
      <c r="K21" s="121"/>
      <c r="L21" s="121"/>
      <c r="M21" s="90" t="s">
        <v>176</v>
      </c>
      <c r="N21" s="92">
        <f>SUMPRODUCT(INDEX(ITEM!$G$4:$J$103,0,2),ITEM!$E$4:$E$103)</f>
      </c>
    </row>
    <row r="22" spans="1:14" ht="13.05" customHeight="1" x14ac:dyDescent="0.45">
      <c r="A22" s="10">
        <v>3</v>
      </c>
      <c r="B22" s="130" t="s">
        <v>142</v>
      </c>
      <c r="C22" s="178"/>
      <c r="D22" s="130">
        <f>": Rp "&amp;HELPER!$H$28&amp;" (Exclude PPN)"</f>
      </c>
      <c r="E22" s="121"/>
      <c r="F22" s="121"/>
      <c r="G22" s="121"/>
      <c r="H22" s="121"/>
      <c r="I22" s="121"/>
      <c r="J22" s="121"/>
      <c r="K22" s="121"/>
      <c r="L22" s="121"/>
      <c r="M22" s="90" t="s">
        <v>177</v>
      </c>
      <c r="N22" s="92">
        <f>SUMPRODUCT(INDEX(ITEM!$G$4:$J$103,0,3),ITEM!$E$4:$E$103)</f>
      </c>
    </row>
    <row r="23" spans="1:14" ht="13.05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90" t="s">
        <v>178</v>
      </c>
      <c r="N23" s="92">
        <f>SUMPRODUCT(INDEX(ITEM!$G$4:$J$103,0,4),ITEM!$E$4:$E$103)</f>
      </c>
    </row>
    <row r="24" spans="1:14" ht="14" customHeight="1" x14ac:dyDescent="0.45">
      <c r="A24" s="177" cm="1">
        <f t="array" ref="A24">IF($N$2="","","Menyatakan bahwa prestasi Pihak Kedua s/d tanggal "&amp;TEXT($N$2,"dd mmmm yyyy")&amp;" telah mencapai "&amp;TEXT($N$16,"0.00%")&amp;" sesuai dengan Berita Acara Penerimaan Material Nomor : "&amp;INDEX(INPUT!$C$55:$C$58,$N$1)&amp;" pada tanggal "&amp;TEXT($N$2,"dd mmmm yyyy")&amp;". Maka Pihak Kedua berhak menerima pembayaran dengan perincian sebagai berikut :")</f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2"/>
      <c r="N24" s="2"/>
    </row>
    <row r="25" spans="1:14" ht="14" customHeight="1" x14ac:dyDescent="0.4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2"/>
      <c r="N25" s="2"/>
    </row>
    <row r="26" spans="1:14" ht="13.05" customHeigh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90" t="s">
        <v>179</v>
      </c>
      <c r="N26" s="2"/>
    </row>
    <row r="27" spans="1:14" ht="13.05" customHeight="1" x14ac:dyDescent="0.45">
      <c r="A27" s="3" t="s">
        <v>180</v>
      </c>
      <c r="B27" s="175" t="s">
        <v>181</v>
      </c>
      <c r="C27" s="153"/>
      <c r="D27" s="153"/>
      <c r="E27" s="153"/>
      <c r="F27" s="3"/>
      <c r="G27" s="3"/>
      <c r="H27" s="3"/>
      <c r="I27" s="3"/>
      <c r="J27" s="3"/>
      <c r="K27" s="3"/>
      <c r="L27" s="3"/>
      <c r="M27" s="90" t="s">
        <v>182</v>
      </c>
      <c r="N27" s="92">
        <f>COUNT(INDEX(ITEM!$O$4:$R$103,0,$N$1))</f>
      </c>
    </row>
    <row r="28" spans="1:14" ht="13.05" customHeight="1" x14ac:dyDescent="0.45">
      <c r="A28" s="3"/>
      <c r="B28" s="153" t="s">
        <v>183</v>
      </c>
      <c r="C28" s="153"/>
      <c r="D28" s="153"/>
      <c r="E28" s="3" t="s">
        <v>159</v>
      </c>
      <c r="F28" s="14">
        <f>$N$16</f>
      </c>
      <c r="G28" s="3" t="s">
        <v>184</v>
      </c>
      <c r="H28" s="3" t="s">
        <v>185</v>
      </c>
      <c r="I28" s="17">
        <f>ITEM!$C$107</f>
      </c>
      <c r="J28" s="11" t="s">
        <v>186</v>
      </c>
      <c r="K28" s="17">
        <f>ROUND(F28*I28,0)</f>
      </c>
      <c r="L28" s="3"/>
      <c r="M28" s="90" t="s">
        <v>187</v>
      </c>
      <c r="N28" s="92">
        <f>IFERROR(INDEX(ITEM!$B$4:$B$103,MATCH(LARGE(INDEX(ITEM!$O$4:$R$103,0,$N$1),1),INDEX(ITEM!$O$4:$R$103,0,$N$1),0)),"")</f>
      </c>
    </row>
    <row r="29" spans="1:14" ht="13.05" customHeight="1" x14ac:dyDescent="0.45">
      <c r="A29" s="3"/>
      <c r="B29" s="153" t="s">
        <v>188</v>
      </c>
      <c r="C29" s="153"/>
      <c r="D29" s="153"/>
      <c r="E29" s="3" t="s">
        <v>159</v>
      </c>
      <c r="F29" s="14">
        <f>$N$17</f>
      </c>
      <c r="G29" s="3" t="s">
        <v>184</v>
      </c>
      <c r="H29" s="3" t="s">
        <v>185</v>
      </c>
      <c r="I29" s="17">
        <f>ITEM!$C$107</f>
      </c>
      <c r="J29" s="11" t="s">
        <v>186</v>
      </c>
      <c r="K29" s="17">
        <f>ROUND(F29*I29,0)</f>
      </c>
      <c r="L29" s="3"/>
      <c r="M29" s="90" t="s">
        <v>189</v>
      </c>
      <c r="N29" s="92">
        <f>IFERROR(INDEX(ITEM!$B$4:$B$103,MATCH(LARGE(INDEX(ITEM!$O$4:$R$103,0,$N$1),2),INDEX(ITEM!$O$4:$R$103,0,$N$1),0)),"")</f>
      </c>
    </row>
    <row r="30" spans="1:14" ht="13.05" customHeight="1" x14ac:dyDescent="0.45">
      <c r="A30" s="3"/>
      <c r="B30" s="153" t="s">
        <v>190</v>
      </c>
      <c r="C30" s="153"/>
      <c r="D30" s="153"/>
      <c r="E30" s="3" t="s">
        <v>159</v>
      </c>
      <c r="F30" s="14">
        <f>$N$18</f>
      </c>
      <c r="G30" s="3" t="s">
        <v>184</v>
      </c>
      <c r="H30" s="3" t="s">
        <v>185</v>
      </c>
      <c r="I30" s="17">
        <f>ITEM!$C$107</f>
      </c>
      <c r="J30" s="11" t="s">
        <v>186</v>
      </c>
      <c r="K30" s="17">
        <f>K28-K29</f>
      </c>
      <c r="L30" s="3"/>
      <c r="M30" s="90" t="s">
        <v>191</v>
      </c>
      <c r="N30" s="92">
        <f>IFERROR(INDEX(ITEM!$B$4:$B$103,MATCH(LARGE(INDEX(ITEM!$O$4:$R$103,0,$N$1),3),INDEX(ITEM!$O$4:$R$103,0,$N$1),0)),"")</f>
      </c>
    </row>
    <row r="31" spans="1:14" ht="13.05" customHeight="1" x14ac:dyDescent="0.45">
      <c r="A31" s="3"/>
      <c r="B31" s="3"/>
      <c r="C31" s="3"/>
      <c r="D31" s="3"/>
      <c r="E31" s="3"/>
      <c r="F31" s="14"/>
      <c r="G31" s="3"/>
      <c r="H31" s="3"/>
      <c r="I31" s="15"/>
      <c r="J31" s="3"/>
      <c r="K31" s="31" t="s">
        <v>185</v>
      </c>
      <c r="L31" s="18">
        <f>K30</f>
      </c>
      <c r="M31" s="90" t="s">
        <v>192</v>
      </c>
      <c r="N31" s="92">
        <f>IF($N$27=0,"-",_xlfn.TEXTJOIN(", ",TRUE,$N$28:$N$30)&amp;IF($N$27&gt;3,", dll.",""))</f>
      </c>
    </row>
    <row r="32" spans="1:14" ht="13.05" customHeight="1" x14ac:dyDescent="0.45">
      <c r="A32" s="3" t="s">
        <v>193</v>
      </c>
      <c r="B32" s="175" t="s">
        <v>194</v>
      </c>
      <c r="C32" s="153"/>
      <c r="D32" s="153"/>
      <c r="E32" s="153"/>
      <c r="F32" s="14"/>
      <c r="G32" s="3"/>
      <c r="H32" s="3"/>
      <c r="I32" s="15"/>
      <c r="J32" s="3"/>
      <c r="K32" s="15"/>
      <c r="L32" s="15"/>
      <c r="M32" s="2"/>
      <c r="N32" s="2"/>
    </row>
    <row r="33" spans="1:14" ht="13.05" customHeight="1" x14ac:dyDescent="0.45">
      <c r="A33" s="3"/>
      <c r="B33" s="153" t="s">
        <v>195</v>
      </c>
      <c r="C33" s="153"/>
      <c r="D33" s="153"/>
      <c r="E33" s="3" t="s">
        <v>159</v>
      </c>
      <c r="F33" s="14">
        <f>INPUT!$B$46</f>
      </c>
      <c r="G33" s="3" t="s">
        <v>184</v>
      </c>
      <c r="H33" s="3" t="s">
        <v>185</v>
      </c>
      <c r="I33" s="17">
        <f>$K$28</f>
      </c>
      <c r="J33" s="11" t="s">
        <v>186</v>
      </c>
      <c r="K33" s="17">
        <f>ROUND(F33*I33,0)</f>
      </c>
      <c r="L33" s="15"/>
      <c r="M33" s="2"/>
      <c r="N33" s="2"/>
    </row>
    <row r="34" spans="1:14" ht="13.05" customHeight="1" x14ac:dyDescent="0.45">
      <c r="A34" s="3"/>
      <c r="B34" s="153" t="s">
        <v>196</v>
      </c>
      <c r="C34" s="153"/>
      <c r="D34" s="153"/>
      <c r="E34" s="3" t="s">
        <v>159</v>
      </c>
      <c r="F34" s="14">
        <f>INPUT!$B$46*$N$17</f>
      </c>
      <c r="G34" s="3" t="s">
        <v>184</v>
      </c>
      <c r="H34" s="3" t="s">
        <v>185</v>
      </c>
      <c r="I34" s="17">
        <f>$K$29</f>
      </c>
      <c r="J34" s="11" t="s">
        <v>186</v>
      </c>
      <c r="K34" s="17">
        <f>ROUND(F34*I34,0)</f>
      </c>
      <c r="L34" s="15"/>
      <c r="M34" s="2"/>
      <c r="N34" s="2"/>
    </row>
    <row r="35" spans="1:14" ht="13.05" customHeight="1" x14ac:dyDescent="0.45">
      <c r="A35" s="3"/>
      <c r="B35" s="153" t="s">
        <v>197</v>
      </c>
      <c r="C35" s="153"/>
      <c r="D35" s="153"/>
      <c r="E35" s="3" t="s">
        <v>159</v>
      </c>
      <c r="F35" s="14">
        <f>F33-F34</f>
      </c>
      <c r="G35" s="3" t="s">
        <v>184</v>
      </c>
      <c r="H35" s="3" t="s">
        <v>185</v>
      </c>
      <c r="I35" s="17">
        <f>$K$30</f>
      </c>
      <c r="J35" s="11" t="s">
        <v>186</v>
      </c>
      <c r="K35" s="17">
        <f>K33-K34</f>
      </c>
      <c r="L35" s="15"/>
      <c r="M35" s="2"/>
      <c r="N35" s="2"/>
    </row>
    <row r="36" spans="1:14" ht="13.05" customHeight="1" x14ac:dyDescent="0.45">
      <c r="A36" s="3"/>
      <c r="B36" s="3"/>
      <c r="C36" s="3"/>
      <c r="D36" s="3"/>
      <c r="E36" s="3"/>
      <c r="F36" s="14"/>
      <c r="G36" s="3"/>
      <c r="H36" s="3"/>
      <c r="I36" s="15"/>
      <c r="J36" s="3"/>
      <c r="K36" s="31" t="s">
        <v>185</v>
      </c>
      <c r="L36" s="18">
        <f>K35</f>
      </c>
      <c r="M36" s="2"/>
      <c r="N36" s="2"/>
    </row>
    <row r="37" spans="1:14" ht="13.05" customHeight="1" x14ac:dyDescent="0.45">
      <c r="A37" s="3" t="s">
        <v>198</v>
      </c>
      <c r="B37" s="175" t="s">
        <v>199</v>
      </c>
      <c r="C37" s="153"/>
      <c r="D37" s="153"/>
      <c r="E37" s="153"/>
      <c r="F37" s="14"/>
      <c r="G37" s="3"/>
      <c r="H37" s="3"/>
      <c r="I37" s="15"/>
      <c r="J37" s="3"/>
      <c r="K37" s="15"/>
      <c r="L37" s="15"/>
      <c r="M37" s="2"/>
      <c r="N37" s="2"/>
    </row>
    <row r="38" spans="1:14" ht="13.05" customHeight="1" x14ac:dyDescent="0.45">
      <c r="A38" s="3"/>
      <c r="B38" s="153" t="s">
        <v>200</v>
      </c>
      <c r="C38" s="153"/>
      <c r="D38" s="153"/>
      <c r="E38" s="3" t="s">
        <v>159</v>
      </c>
      <c r="F38" s="14">
        <f>INPUT!$B$47</f>
      </c>
      <c r="G38" s="3" t="s">
        <v>184</v>
      </c>
      <c r="H38" s="3" t="s">
        <v>185</v>
      </c>
      <c r="I38" s="17">
        <f>$K$28</f>
      </c>
      <c r="J38" s="11" t="s">
        <v>186</v>
      </c>
      <c r="K38" s="17">
        <f>ROUND(F38*I38,0)</f>
      </c>
      <c r="L38" s="15"/>
      <c r="M38" s="2"/>
      <c r="N38" s="2"/>
    </row>
    <row r="39" spans="1:14" ht="13.05" customHeight="1" x14ac:dyDescent="0.45">
      <c r="A39" s="3"/>
      <c r="B39" s="153" t="s">
        <v>201</v>
      </c>
      <c r="C39" s="153"/>
      <c r="D39" s="153"/>
      <c r="E39" s="3" t="s">
        <v>159</v>
      </c>
      <c r="F39" s="14">
        <f>INPUT!$B$47*$N$17</f>
      </c>
      <c r="G39" s="3" t="s">
        <v>184</v>
      </c>
      <c r="H39" s="3" t="s">
        <v>185</v>
      </c>
      <c r="I39" s="17">
        <f>$K$29</f>
      </c>
      <c r="J39" s="11" t="s">
        <v>186</v>
      </c>
      <c r="K39" s="17">
        <f>ROUND(F39*I39,0)</f>
      </c>
      <c r="L39" s="15"/>
      <c r="M39" s="2"/>
      <c r="N39" s="2"/>
    </row>
    <row r="40" spans="1:14" ht="13.05" customHeight="1" x14ac:dyDescent="0.45">
      <c r="A40" s="3"/>
      <c r="B40" s="153" t="s">
        <v>202</v>
      </c>
      <c r="C40" s="153"/>
      <c r="D40" s="153"/>
      <c r="E40" s="3" t="s">
        <v>159</v>
      </c>
      <c r="F40" s="14">
        <f>F38-F39</f>
      </c>
      <c r="G40" s="3" t="s">
        <v>184</v>
      </c>
      <c r="H40" s="3" t="s">
        <v>185</v>
      </c>
      <c r="I40" s="17">
        <f>$K$30</f>
      </c>
      <c r="J40" s="11" t="s">
        <v>186</v>
      </c>
      <c r="K40" s="17">
        <f>K38-K39</f>
      </c>
      <c r="L40" s="15"/>
      <c r="M40" s="2"/>
      <c r="N40" s="2"/>
    </row>
    <row r="41" spans="1:14" ht="13.05" customHeight="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29" t="s">
        <v>185</v>
      </c>
      <c r="L41" s="18">
        <f>K40</f>
      </c>
      <c r="M41" s="2"/>
      <c r="N41" s="2"/>
    </row>
    <row r="42" spans="1:14" ht="13.05" customHeight="1" thickBo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5"/>
      <c r="M42" s="2"/>
      <c r="N42" s="2"/>
    </row>
    <row r="43" spans="1:14" ht="13.05" customHeight="1" thickBot="1" x14ac:dyDescent="0.5">
      <c r="A43" s="3"/>
      <c r="B43" s="179" t="s">
        <v>203</v>
      </c>
      <c r="C43" s="179"/>
      <c r="D43" s="179"/>
      <c r="E43" s="179"/>
      <c r="F43" s="179"/>
      <c r="G43" s="179"/>
      <c r="H43" s="179"/>
      <c r="I43" s="179"/>
      <c r="J43" s="179"/>
      <c r="K43" s="34" t="s">
        <v>185</v>
      </c>
      <c r="L43" s="35">
        <f>L31-L36-L41</f>
      </c>
      <c r="M43" s="2"/>
      <c r="N43" s="2"/>
    </row>
    <row r="44" spans="1:14" ht="13.05" customHeight="1" thickBot="1" x14ac:dyDescent="0.5">
      <c r="A44" s="3"/>
      <c r="B44" s="33"/>
      <c r="C44" s="36"/>
      <c r="D44" s="36"/>
      <c r="E44" s="36"/>
      <c r="F44" s="36"/>
      <c r="G44" s="36"/>
      <c r="H44" s="36"/>
      <c r="I44" s="36"/>
      <c r="J44" s="36"/>
      <c r="K44" s="36"/>
      <c r="L44" s="37"/>
      <c r="M44" s="2"/>
      <c r="N44" s="2"/>
    </row>
    <row r="45" spans="1:14" ht="13.05" customHeight="1" thickBot="1" x14ac:dyDescent="0.5">
      <c r="A45" s="3"/>
      <c r="B45" s="179" t="s">
        <v>204</v>
      </c>
      <c r="C45" s="179"/>
      <c r="D45" s="179"/>
      <c r="E45" s="179"/>
      <c r="F45" s="179"/>
      <c r="G45" s="179"/>
      <c r="H45" s="179"/>
      <c r="I45" s="179"/>
      <c r="J45" s="179"/>
      <c r="K45" s="34" t="s">
        <v>185</v>
      </c>
      <c r="L45" s="35">
        <f>ROUND(L43*INPUT!$B$45,0)</f>
      </c>
      <c r="M45" s="2"/>
      <c r="N45" s="2"/>
    </row>
    <row r="46" spans="1:14" ht="13.05" customHeight="1" thickBot="1" x14ac:dyDescent="0.5">
      <c r="A46" s="3"/>
      <c r="B46" s="33"/>
      <c r="C46" s="36"/>
      <c r="D46" s="36"/>
      <c r="E46" s="36"/>
      <c r="F46" s="36"/>
      <c r="G46" s="36"/>
      <c r="H46" s="36"/>
      <c r="I46" s="36"/>
      <c r="J46" s="36"/>
      <c r="K46" s="36"/>
      <c r="L46" s="37"/>
      <c r="M46" s="2"/>
      <c r="N46" s="2"/>
    </row>
    <row r="47" spans="1:14" ht="13.05" customHeight="1" thickBot="1" x14ac:dyDescent="0.5">
      <c r="A47" s="3"/>
      <c r="B47" s="179" t="s">
        <v>104</v>
      </c>
      <c r="C47" s="179"/>
      <c r="D47" s="179"/>
      <c r="E47" s="179"/>
      <c r="F47" s="179"/>
      <c r="G47" s="179"/>
      <c r="H47" s="179"/>
      <c r="I47" s="179"/>
      <c r="J47" s="179"/>
      <c r="K47" s="34" t="s">
        <v>185</v>
      </c>
      <c r="L47" s="35">
        <f>L43+L45</f>
      </c>
      <c r="M47" s="2"/>
      <c r="N47" s="2"/>
    </row>
    <row r="48" spans="1:14" ht="13.05" customHeight="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2"/>
      <c r="N48" s="2"/>
    </row>
    <row r="49" spans="1:14" ht="20" customHeight="1" x14ac:dyDescent="0.45">
      <c r="A49" s="180" t="s">
        <v>105</v>
      </c>
      <c r="B49" s="121"/>
      <c r="C49" s="181">
        <f>": "&amp;$N$14</f>
      </c>
      <c r="D49" s="121"/>
      <c r="E49" s="121"/>
      <c r="F49" s="121"/>
      <c r="G49" s="121"/>
      <c r="H49" s="121"/>
      <c r="I49" s="121"/>
      <c r="J49" s="121"/>
      <c r="K49" s="121"/>
      <c r="L49" s="121"/>
      <c r="M49" s="2"/>
      <c r="N49" s="2"/>
    </row>
    <row r="50" spans="1:14" ht="13.05" customHeight="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2"/>
      <c r="N50" s="2"/>
    </row>
    <row r="51" spans="1:14" ht="13.05" customHeight="1" x14ac:dyDescent="0.45">
      <c r="A51" s="153" t="s">
        <v>205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2"/>
      <c r="N51" s="2"/>
    </row>
    <row r="52" spans="1:14" ht="13.05" customHeight="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2"/>
      <c r="N52" s="2"/>
    </row>
    <row r="53" spans="1:14" ht="13.05" customHeight="1" x14ac:dyDescent="0.45">
      <c r="A53" s="3"/>
      <c r="B53" s="3"/>
      <c r="C53" s="161" t="s">
        <v>206</v>
      </c>
      <c r="D53" s="161"/>
      <c r="E53" s="161"/>
      <c r="F53" s="161"/>
      <c r="G53" s="3"/>
      <c r="H53" s="3"/>
      <c r="I53" s="161" t="s">
        <v>207</v>
      </c>
      <c r="J53" s="161"/>
      <c r="K53" s="161"/>
      <c r="L53" s="161"/>
      <c r="M53" s="2"/>
      <c r="N53" s="2"/>
    </row>
    <row r="54" spans="1:14" ht="13.05" customHeight="1" x14ac:dyDescent="0.45">
      <c r="A54" s="3"/>
      <c r="B54" s="3"/>
      <c r="C54" s="161">
        <f>UPPER(INPUT!$B$24)</f>
      </c>
      <c r="D54" s="161"/>
      <c r="E54" s="161"/>
      <c r="F54" s="161"/>
      <c r="G54" s="3"/>
      <c r="H54" s="3"/>
      <c r="I54" s="161">
        <f>UPPER(INPUT!$B$6)</f>
      </c>
      <c r="J54" s="161"/>
      <c r="K54" s="161"/>
      <c r="L54" s="161"/>
      <c r="M54" s="2"/>
      <c r="N54" s="2"/>
    </row>
    <row r="55" spans="1:14" ht="30" customHeight="1" x14ac:dyDescent="0.45">
      <c r="A55" s="3"/>
      <c r="B55" s="3"/>
      <c r="C55" s="10"/>
      <c r="D55" s="3"/>
      <c r="E55" s="3"/>
      <c r="F55" s="3"/>
      <c r="G55" s="3"/>
      <c r="H55" s="3"/>
      <c r="I55" s="10"/>
      <c r="J55" s="3"/>
      <c r="K55" s="3"/>
      <c r="L55" s="3"/>
      <c r="M55" s="2"/>
      <c r="N55" s="2"/>
    </row>
    <row r="56" spans="1:14" ht="30" customHeight="1" x14ac:dyDescent="0.45">
      <c r="A56" s="3"/>
      <c r="B56" s="3"/>
      <c r="C56" s="10"/>
      <c r="D56" s="3"/>
      <c r="E56" s="3"/>
      <c r="F56" s="3"/>
      <c r="G56" s="3"/>
      <c r="H56" s="3"/>
      <c r="I56" s="10"/>
      <c r="J56" s="3"/>
      <c r="K56" s="3"/>
      <c r="L56" s="3"/>
      <c r="M56" s="2"/>
      <c r="N56" s="2"/>
    </row>
    <row r="57" spans="1:14" ht="30" customHeight="1" x14ac:dyDescent="0.45">
      <c r="A57" s="3"/>
      <c r="B57" s="3"/>
      <c r="C57" s="10"/>
      <c r="D57" s="3"/>
      <c r="E57" s="3"/>
      <c r="F57" s="3"/>
      <c r="G57" s="3"/>
      <c r="H57" s="3"/>
      <c r="I57" s="10"/>
      <c r="J57" s="3"/>
      <c r="K57" s="3"/>
      <c r="L57" s="3"/>
      <c r="M57" s="2"/>
      <c r="N57" s="2"/>
    </row>
    <row r="58" spans="1:14" ht="13.05" customHeight="1" x14ac:dyDescent="0.45">
      <c r="A58" s="3"/>
      <c r="B58" s="3"/>
      <c r="C58" s="168">
        <f>INPUT!$B$23</f>
      </c>
      <c r="D58" s="168"/>
      <c r="E58" s="168"/>
      <c r="F58" s="168"/>
      <c r="G58" s="3"/>
      <c r="H58" s="3"/>
      <c r="I58" s="168">
        <f>INPUT!$B$19</f>
      </c>
      <c r="J58" s="168"/>
      <c r="K58" s="168"/>
      <c r="L58" s="168"/>
      <c r="M58" s="2"/>
      <c r="N58" s="2"/>
    </row>
    <row r="59" spans="1:14" ht="13.05" customHeight="1" x14ac:dyDescent="0.45">
      <c r="A59" s="3"/>
      <c r="B59" s="3"/>
      <c r="C59" s="162" t="s">
        <v>120</v>
      </c>
      <c r="D59" s="162"/>
      <c r="E59" s="162"/>
      <c r="F59" s="162"/>
      <c r="G59" s="3"/>
      <c r="H59" s="3"/>
      <c r="I59" s="162">
        <f>INPUT!$B$20</f>
      </c>
      <c r="J59" s="162"/>
      <c r="K59" s="162"/>
      <c r="L59" s="162"/>
      <c r="M59" s="2"/>
      <c r="N59" s="2"/>
    </row>
    <row r="60" spans="1:14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43">
    <mergeCell ref="C54:F54"/>
    <mergeCell ref="C58:F58"/>
    <mergeCell ref="C59:F59"/>
    <mergeCell ref="I53:L53"/>
    <mergeCell ref="I54:L54"/>
    <mergeCell ref="I58:L58"/>
    <mergeCell ref="I59:L59"/>
    <mergeCell ref="B38:D38"/>
    <mergeCell ref="B39:D39"/>
    <mergeCell ref="B40:D40"/>
    <mergeCell ref="A51:L51"/>
    <mergeCell ref="C53:F53"/>
    <mergeCell ref="B43:J43"/>
    <mergeCell ref="B45:J45"/>
    <mergeCell ref="B47:J47"/>
    <mergeCell ref="A49:B49"/>
    <mergeCell ref="C49:L49"/>
    <mergeCell ref="B37:E37"/>
    <mergeCell ref="B28:D28"/>
    <mergeCell ref="B29:D29"/>
    <mergeCell ref="B30:D30"/>
    <mergeCell ref="B33:D33"/>
    <mergeCell ref="B34:D34"/>
    <mergeCell ref="B35:D35"/>
    <mergeCell ref="B27:E27"/>
    <mergeCell ref="B32:E32"/>
    <mergeCell ref="A24:L25"/>
    <mergeCell ref="B22:C22"/>
    <mergeCell ref="D22:L22"/>
    <mergeCell ref="A17:L18"/>
    <mergeCell ref="B20:C20"/>
    <mergeCell ref="D20:L20"/>
    <mergeCell ref="B21:C21"/>
    <mergeCell ref="D21:L21"/>
    <mergeCell ref="B13:E13"/>
    <mergeCell ref="G9:L11"/>
    <mergeCell ref="G13:L15"/>
    <mergeCell ref="A1:L1"/>
    <mergeCell ref="A2:L2"/>
    <mergeCell ref="A4:L4"/>
    <mergeCell ref="A5:L5"/>
    <mergeCell ref="A7:L7"/>
    <mergeCell ref="B9:E9"/>
  </mergeCells>
  <printOptions horizontalCentered="1"/>
  <pageMargins left="0.34722222222222221" right="0.34722222222222221" top="0.3888888888888889" bottom="0.3888888888888889" header="0.16666666666666666" footer="0.16666666666666666"/>
  <pageSetup paperSize="9" scale="75" orientation="portrait" r:id="rId1"/>
  <headerFooter>
    <oddFooter>&amp;RHal &amp;P dari &amp;N&amp;L&amp;Z&amp;F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48ED-3D4C-4280-B327-04741B53689B}">
  <sheetPr>
    <tabColor rgb="FF1F3864"/>
    <pageSetUpPr fitToPage="1"/>
  </sheetPr>
  <dimension ref="A1:N60"/>
  <sheetViews>
    <sheetView showGridLines="0" showRowColHeaders="0" topLeftCell="A16" zoomScale="80" zoomScaleNormal="80" workbookViewId="0">
      <selection activeCell="C49" sqref="C49:L49"/>
    </sheetView>
  </sheetViews>
  <sheetFormatPr defaultRowHeight="14.25" x14ac:dyDescent="0.45"/>
  <cols>
    <col min="1" max="1" width="4.265625" customWidth="1"/>
    <col min="2" max="5" width="12.46484375" customWidth="1"/>
    <col min="6" max="6" width="9.796875" customWidth="1"/>
    <col min="7" max="7" width="3.9296875" customWidth="1"/>
    <col min="8" max="8" width="4.265625" customWidth="1"/>
    <col min="9" max="9" width="15.1328125" customWidth="1"/>
    <col min="10" max="10" width="6.06640625" customWidth="1"/>
    <col min="11" max="11" width="16.33203125" customWidth="1"/>
    <col min="12" max="12" width="18.6640625" customWidth="1"/>
  </cols>
  <sheetData>
    <row r="1" spans="1:14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90" t="s">
        <v>123</v>
      </c>
      <c r="N1" s="91">
        <v>2</v>
      </c>
    </row>
    <row r="2" spans="1:14" ht="16.05" customHeight="1" x14ac:dyDescent="0.4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90" t="s">
        <v>124</v>
      </c>
      <c r="N2" s="92" cm="1">
        <f t="array" ref="N2">IF(IFERROR(INDEX(INPUT!$B$55:$B$58,$N$1),0)=0,"",INDEX(INPUT!$B$55:$B$58,$N$1))</f>
      </c>
    </row>
    <row r="3" spans="1:14" ht="8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90" t="s">
        <v>125</v>
      </c>
      <c r="N3" s="92">
        <f>IF($N$2="","",TEXT($N$2,"dddd"))</f>
      </c>
    </row>
    <row r="4" spans="1:14" ht="20" customHeight="1" x14ac:dyDescent="0.5">
      <c r="A4" s="140" t="s">
        <v>171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90" t="s">
        <v>126</v>
      </c>
      <c r="N4" s="92">
        <f>IF($N$2="","",IF(DAY($N$2)&lt;20,VLOOKUP(DAY($N$2),HELPER!$A$3:$B$22,2,0),IF(DAY($N$2)&lt;30,TRIM("Dua Puluh "&amp;VLOOKUP(DAY($N$2)-20,HELPER!$A$3:$B$22,2,0)),TRIM("Tiga Puluh "&amp;VLOOKUP(DAY($N$2)-30,HELPER!$A$3:$B$22,2,0)))))</f>
      </c>
    </row>
    <row r="5" spans="1:14" ht="16.05" customHeight="1" x14ac:dyDescent="0.45">
      <c r="A5" s="122" cm="1">
        <f t="array" ref="A5">IF($N$2="","","Nomor : "&amp;INDEX(INPUT!$D$55:$D$58,$N$1))</f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90" t="s">
        <v>128</v>
      </c>
      <c r="N5" s="92">
        <f>IF($N$2="","",TEXT($N$2,"mmmm"))</f>
      </c>
    </row>
    <row r="6" spans="1:14" ht="13.05" customHeight="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90" t="s">
        <v>129</v>
      </c>
      <c r="N6" s="92">
        <f>IF($N$2="","",TRIM(IF(INT(YEAR($N$2)/1000)=1,"Seribu ",IF(INT(YEAR($N$2)/1000)=0,"",IF(INT(INT(YEAR($N$2)/1000)/100)=0,"",IF(INT(INT(YEAR($N$2)/1000)/100)=1,"Seratus ",VLOOKUP(INT(INT(YEAR($N$2)/1000)/100),HELPER!$A$3:$B$22,2,0)&amp;" Ratus "))&amp;IF(MOD(INT(YEAR($N$2)/1000),100)=0,"",IF(MOD(INT(YEAR($N$2)/1000),100)&lt;20,VLOOKUP(MOD(INT(YEAR($N$2)/1000),100),HELPER!$A$3:$B$22,2,0),VLOOKUP(INT(MOD(INT(YEAR($N$2)/1000),100)/10),HELPER!$A$3:$B$22,2,0)&amp;" Puluh "&amp;IF(MOD(INT(YEAR($N$2)/1000),10)=0,"",VLOOKUP(MOD(INT(YEAR($N$2)/1000),10),HELPER!$A$3:$B$22,2,0)))))&amp;" Ribu ")&amp;IF(MOD(YEAR($N$2),1000)=0,"",IF(INT(MOD(YEAR($N$2),1000)/100)=0,"",IF(INT(MOD(YEAR($N$2),1000)/100)=1,"Seratus ",VLOOKUP(INT(MOD(YEAR($N$2),1000)/100),HELPER!$A$3:$B$22,2,0)&amp;" Ratus "))&amp;IF(MOD(MOD(YEAR($N$2),1000),100)=0,"",IF(MOD(MOD(YEAR($N$2),1000),100)&lt;20,VLOOKUP(MOD(MOD(YEAR($N$2),1000),100),HELPER!$A$3:$B$22,2,0),VLOOKUP(INT(MOD(MOD(YEAR($N$2),1000),100)/10),HELPER!$A$3:$B$22,2,0)&amp;" Puluh "&amp;IF(MOD(MOD(YEAR($N$2),1000),10)=0,"",VLOOKUP(MOD(MOD(YEAR($N$2),1000),10),HELPER!$A$3:$B$22,2,0)))))))</f>
      </c>
    </row>
    <row r="7" spans="1:14" ht="13.05" customHeight="1" x14ac:dyDescent="0.45">
      <c r="A7" s="153">
        <f>IF($N$7="","",$N$7&amp;", kami yang bertanda tangan dibawah ini :")</f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90" t="s">
        <v>130</v>
      </c>
      <c r="N7" s="92">
        <f>IF($N$2="","","Pada hari ini "&amp;$N$3&amp;", tanggal "&amp;$N$4&amp;" bulan "&amp;$N$5&amp;" tahun "&amp;$N$6&amp;" ("&amp;TEXT($N$2,"dd/mm/yyyy")&amp;")")</f>
      </c>
    </row>
    <row r="8" spans="1:14" ht="13.05" customHeight="1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90"/>
      <c r="N8" s="92"/>
    </row>
    <row r="9" spans="1:14" ht="18" customHeight="1" x14ac:dyDescent="0.45">
      <c r="A9" s="3" t="s">
        <v>132</v>
      </c>
      <c r="B9" s="175">
        <f>INPUT!$B$19</f>
      </c>
      <c r="C9" s="153"/>
      <c r="D9" s="153"/>
      <c r="E9" s="153"/>
      <c r="F9" s="3" t="s">
        <v>158</v>
      </c>
      <c r="G9" s="176">
        <f>"Selaku "&amp;INPUT!$B$20&amp;", Proyek Pekerjaan "&amp;INPUT!$B$5&amp;" - Jakarta, dalam hal ini bertindak untuk dan atas nama "&amp;INPUT!$B$6&amp;" "&amp;INPUT!$B$7&amp;" yang berkedudukan di "&amp;INPUT!$B$8&amp;", (untuk selanjutnya disebut "&amp;_xlfn.UNICHAR(8220)&amp;"Pihak Pertama"&amp;_xlfn.UNICHAR(8221)&amp;")"</f>
      </c>
      <c r="H9" s="176"/>
      <c r="I9" s="176"/>
      <c r="J9" s="176"/>
      <c r="K9" s="176"/>
      <c r="L9" s="176"/>
      <c r="M9" s="90" t="s">
        <v>172</v>
      </c>
      <c r="N9" s="92">
        <f>$L$47</f>
      </c>
    </row>
    <row r="10" spans="1:14" ht="18" customHeight="1" x14ac:dyDescent="0.45">
      <c r="A10" s="3"/>
      <c r="B10" s="3"/>
      <c r="C10" s="3"/>
      <c r="D10" s="3"/>
      <c r="E10" s="3"/>
      <c r="F10" s="3"/>
      <c r="G10" s="176"/>
      <c r="H10" s="176"/>
      <c r="I10" s="176"/>
      <c r="J10" s="176"/>
      <c r="K10" s="176"/>
      <c r="L10" s="176"/>
      <c r="M10" s="90" t="s">
        <v>134</v>
      </c>
      <c r="N10" s="92">
        <f>INT(ROUND($N$9,0)/1000000000)</f>
      </c>
    </row>
    <row r="11" spans="1:14" ht="18" customHeight="1" x14ac:dyDescent="0.45">
      <c r="A11" s="3"/>
      <c r="B11" s="3"/>
      <c r="C11" s="3"/>
      <c r="D11" s="3"/>
      <c r="E11" s="3"/>
      <c r="F11" s="3"/>
      <c r="G11" s="176"/>
      <c r="H11" s="176"/>
      <c r="I11" s="176"/>
      <c r="J11" s="176"/>
      <c r="K11" s="176"/>
      <c r="L11" s="176"/>
      <c r="M11" s="90" t="s">
        <v>135</v>
      </c>
      <c r="N11" s="92">
        <f>MOD(INT(ROUND($N$9,0)/1000000),1000)</f>
      </c>
    </row>
    <row r="12" spans="1:14" ht="13.0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90" t="s">
        <v>138</v>
      </c>
      <c r="N12" s="92">
        <f>MOD(INT(ROUND($N$9,0)/1000),1000)</f>
      </c>
    </row>
    <row r="13" spans="1:14" ht="14" customHeight="1" x14ac:dyDescent="0.45">
      <c r="A13" s="3" t="s">
        <v>136</v>
      </c>
      <c r="B13" s="175">
        <f>INPUT!$B$23</f>
      </c>
      <c r="C13" s="153"/>
      <c r="D13" s="153"/>
      <c r="E13" s="153"/>
      <c r="F13" s="3" t="s">
        <v>158</v>
      </c>
      <c r="G13" s="176">
        <f>"Selaku Direktur "&amp;UPPER(INPUT!$B$24)&amp;", dalam hal ini bertindak untuk dan atas nama "&amp;UPPER(INPUT!$B$24)&amp;" yang berkedudukan di "&amp;INPUT!$B$25&amp;", (untuk selanjutnya disebut "&amp;_xlfn.UNICHAR(8220)&amp;"Pihak Kedua"&amp;_xlfn.UNICHAR(8221)&amp;")."</f>
      </c>
      <c r="H13" s="176"/>
      <c r="I13" s="176"/>
      <c r="J13" s="176"/>
      <c r="K13" s="176"/>
      <c r="L13" s="176"/>
      <c r="M13" s="90" t="s">
        <v>139</v>
      </c>
      <c r="N13" s="92">
        <f>MOD(ROUND($N$9,0),1000)</f>
      </c>
    </row>
    <row r="14" spans="1:14" ht="14" customHeight="1" x14ac:dyDescent="0.45">
      <c r="A14" s="3"/>
      <c r="B14" s="3"/>
      <c r="C14" s="3"/>
      <c r="D14" s="3"/>
      <c r="E14" s="3"/>
      <c r="F14" s="3"/>
      <c r="G14" s="176"/>
      <c r="H14" s="176"/>
      <c r="I14" s="176"/>
      <c r="J14" s="176"/>
      <c r="K14" s="176"/>
      <c r="L14" s="176"/>
      <c r="M14" s="90" t="s">
        <v>105</v>
      </c>
      <c r="N14" s="92">
        <f>IF(ROUND($N$9,0)=0,"== Nol Rupiah ==","== "&amp;TRIM(IF($N$10=0,"",IF($N$10=0,"",IF(INT($N$10/100)=0,"",IF(INT($N$10/100)=1,"Seratus ",VLOOKUP(INT($N$10/100),HELPER!$A$3:$B$22,2,0)&amp;" Ratus "))&amp;IF(MOD($N$10,100)=0,"",IF(MOD($N$10,100)&lt;20,VLOOKUP(MOD($N$10,100),HELPER!$A$3:$B$22,2,0),VLOOKUP(INT(MOD($N$10,100)/10),HELPER!$A$3:$B$22,2,0)&amp;" Puluh "&amp;IF(MOD($N$10,10)=0,"",VLOOKUP(MOD($N$10,10),HELPER!$A$3:$B$22,2,0)))))&amp;" Miliar ")&amp;IF($N$11=0,"",IF($N$11=1,"Satu Juta ",IF($N$11=0,"",IF(INT($N$11/100)=0,"",IF(INT($N$11/100)=1,"Seratus ",VLOOKUP(INT($N$11/100),HELPER!$A$3:$B$22,2,0)&amp;" Ratus "))&amp;IF(MOD($N$11,100)=0,"",IF(MOD($N$11,100)&lt;20,VLOOKUP(MOD($N$11,100),HELPER!$A$3:$B$22,2,0),VLOOKUP(INT(MOD($N$11,100)/10),HELPER!$A$3:$B$22,2,0)&amp;" Puluh "&amp;IF(MOD($N$11,10)=0,"",VLOOKUP(MOD($N$11,10),HELPER!$A$3:$B$22,2,0)))))&amp;" Juta "))&amp;IF($N$12=0,"",IF($N$12=1,"Seribu ",IF($N$12=0,"",IF(INT($N$12/100)=0,"",IF(INT($N$12/100)=1,"Seratus ",VLOOKUP(INT($N$12/100),HELPER!$A$3:$B$22,2,0)&amp;" Ratus "))&amp;IF(MOD($N$12,100)=0,"",IF(MOD($N$12,100)&lt;20,VLOOKUP(MOD($N$12,100),HELPER!$A$3:$B$22,2,0),VLOOKUP(INT(MOD($N$12,100)/10),HELPER!$A$3:$B$22,2,0)&amp;" Puluh "&amp;IF(MOD($N$12,10)=0,"",VLOOKUP(MOD($N$12,10),HELPER!$A$3:$B$22,2,0)))))&amp;" Ribu "))&amp;IF($N$13=0,"",IF(INT($N$13/100)=0,"",IF(INT($N$13/100)=1,"Seratus ",VLOOKUP(INT($N$13/100),HELPER!$A$3:$B$22,2,0)&amp;" Ratus "))&amp;IF(MOD($N$13,100)=0,"",IF(MOD($N$13,100)&lt;20,VLOOKUP(MOD($N$13,100),HELPER!$A$3:$B$22,2,0),VLOOKUP(INT(MOD($N$13,100)/10),HELPER!$A$3:$B$22,2,0)&amp;" Puluh "&amp;IF(MOD($N$13,10)=0,"",VLOOKUP(MOD($N$13,10),HELPER!$A$3:$B$22,2,0))))))&amp;" Rupiah ==")</f>
      </c>
    </row>
    <row r="15" spans="1:14" ht="14" customHeight="1" x14ac:dyDescent="0.45">
      <c r="A15" s="3"/>
      <c r="B15" s="3"/>
      <c r="C15" s="3"/>
      <c r="D15" s="3"/>
      <c r="E15" s="3"/>
      <c r="F15" s="3"/>
      <c r="G15" s="176"/>
      <c r="H15" s="176"/>
      <c r="I15" s="176"/>
      <c r="J15" s="176"/>
      <c r="K15" s="176"/>
      <c r="L15" s="176"/>
      <c r="M15" s="90"/>
      <c r="N15" s="92"/>
    </row>
    <row r="16" spans="1:14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90" t="s">
        <v>157</v>
      </c>
      <c r="N16" s="94" cm="1">
        <f t="array" ref="N16">IF(ITEM!$C$107=0,0,SUMPRODUCT((ROW($N$20:$N$23)-ROW($N$20)+1&lt;=$N$1)*$N$20:$N$23)/ITEM!$C$107)</f>
      </c>
    </row>
    <row r="17" spans="1:14" ht="21" customHeight="1" x14ac:dyDescent="0.45">
      <c r="A17" s="177">
        <f>"Menerangkan bahwa kedua belah pihak telah melakukan pemeriksaan atas pengadaan material "&amp;$N$31&amp;" sesuai lampiran pada Proyek Pekerjaan "&amp;INPUT!$B$5&amp;" berdasarkan :"</f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90" t="s">
        <v>160</v>
      </c>
      <c r="N17" s="94" cm="1">
        <f t="array" ref="N17">IF(ITEM!$C$107=0,0,SUMPRODUCT((ROW($N$20:$N$23)-ROW($N$20)+1&lt;$N$1)*$N$20:$N$23)/ITEM!$C$107)</f>
      </c>
    </row>
    <row r="18" spans="1:14" ht="21" customHeight="1" x14ac:dyDescent="0.4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90" t="s">
        <v>173</v>
      </c>
      <c r="N18" s="94">
        <f>$N$16-$N$17</f>
      </c>
    </row>
    <row r="19" spans="1:14" ht="13.05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0"/>
      <c r="N19" s="92"/>
    </row>
    <row r="20" spans="1:14" ht="13.05" customHeight="1" x14ac:dyDescent="0.45">
      <c r="A20" s="10">
        <v>1</v>
      </c>
      <c r="B20" s="130" t="s">
        <v>141</v>
      </c>
      <c r="C20" s="178"/>
      <c r="D20" s="130">
        <f>": "&amp;INPUT!$B$35&amp;" Tanggal, "&amp;TEXT(INPUT!$B$36,"dd mmmm yyyy")</f>
      </c>
      <c r="E20" s="121"/>
      <c r="F20" s="121"/>
      <c r="G20" s="121"/>
      <c r="H20" s="121"/>
      <c r="I20" s="121"/>
      <c r="J20" s="121"/>
      <c r="K20" s="121"/>
      <c r="L20" s="121"/>
      <c r="M20" s="90" t="s">
        <v>174</v>
      </c>
      <c r="N20" s="92">
        <f>SUMPRODUCT(INDEX(ITEM!$G$4:$J$103,0,1),ITEM!$E$4:$E$103)</f>
      </c>
    </row>
    <row r="21" spans="1:14" ht="13.05" customHeight="1" x14ac:dyDescent="0.45">
      <c r="A21" s="10">
        <v>2</v>
      </c>
      <c r="B21" s="130" t="s">
        <v>175</v>
      </c>
      <c r="C21" s="178"/>
      <c r="D21" s="130">
        <f>": "&amp;TEXT(INPUT!$B$36,"dd mmmm yyyy")&amp;" s/d "&amp;TEXT(INPUT!$B$37,"dd mmmm yyyy")</f>
      </c>
      <c r="E21" s="121"/>
      <c r="F21" s="121"/>
      <c r="G21" s="121"/>
      <c r="H21" s="121"/>
      <c r="I21" s="121"/>
      <c r="J21" s="121"/>
      <c r="K21" s="121"/>
      <c r="L21" s="121"/>
      <c r="M21" s="90" t="s">
        <v>176</v>
      </c>
      <c r="N21" s="92">
        <f>SUMPRODUCT(INDEX(ITEM!$G$4:$J$103,0,2),ITEM!$E$4:$E$103)</f>
      </c>
    </row>
    <row r="22" spans="1:14" ht="13.05" customHeight="1" x14ac:dyDescent="0.45">
      <c r="A22" s="10">
        <v>3</v>
      </c>
      <c r="B22" s="130" t="s">
        <v>142</v>
      </c>
      <c r="C22" s="178"/>
      <c r="D22" s="130">
        <f>": Rp "&amp;HELPER!$H$28&amp;" (Exclude PPN)"</f>
      </c>
      <c r="E22" s="121"/>
      <c r="F22" s="121"/>
      <c r="G22" s="121"/>
      <c r="H22" s="121"/>
      <c r="I22" s="121"/>
      <c r="J22" s="121"/>
      <c r="K22" s="121"/>
      <c r="L22" s="121"/>
      <c r="M22" s="90" t="s">
        <v>177</v>
      </c>
      <c r="N22" s="92">
        <f>SUMPRODUCT(INDEX(ITEM!$G$4:$J$103,0,3),ITEM!$E$4:$E$103)</f>
      </c>
    </row>
    <row r="23" spans="1:14" ht="13.05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90" t="s">
        <v>178</v>
      </c>
      <c r="N23" s="92">
        <f>SUMPRODUCT(INDEX(ITEM!$G$4:$J$103,0,4),ITEM!$E$4:$E$103)</f>
      </c>
    </row>
    <row r="24" spans="1:14" ht="14" customHeight="1" x14ac:dyDescent="0.45">
      <c r="A24" s="177" cm="1">
        <f t="array" ref="A24">IF($N$2="","","Menyatakan bahwa prestasi Pihak Kedua s/d tanggal "&amp;TEXT($N$2,"dd mmmm yyyy")&amp;" telah mencapai "&amp;TEXT($N$16,"0.00%")&amp;" sesuai dengan Berita Acara Penerimaan Material Nomor : "&amp;INDEX(INPUT!$C$55:$C$58,$N$1)&amp;" pada tanggal "&amp;TEXT($N$2,"dd mmmm yyyy")&amp;". Maka Pihak Kedua berhak menerima pembayaran dengan perincian sebagai berikut :")</f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2"/>
      <c r="N24" s="2"/>
    </row>
    <row r="25" spans="1:14" ht="14" customHeight="1" x14ac:dyDescent="0.4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2"/>
      <c r="N25" s="2"/>
    </row>
    <row r="26" spans="1:14" ht="13.05" customHeigh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90" t="s">
        <v>179</v>
      </c>
      <c r="N26" s="2"/>
    </row>
    <row r="27" spans="1:14" ht="13.05" customHeight="1" x14ac:dyDescent="0.45">
      <c r="A27" s="3" t="s">
        <v>180</v>
      </c>
      <c r="B27" s="175" t="s">
        <v>181</v>
      </c>
      <c r="C27" s="153"/>
      <c r="D27" s="153"/>
      <c r="E27" s="153"/>
      <c r="F27" s="3"/>
      <c r="G27" s="3"/>
      <c r="H27" s="3"/>
      <c r="I27" s="3"/>
      <c r="J27" s="3"/>
      <c r="K27" s="3"/>
      <c r="L27" s="3"/>
      <c r="M27" s="90" t="s">
        <v>182</v>
      </c>
      <c r="N27" s="92">
        <f>COUNT(INDEX(ITEM!$O$4:$R$103,0,$N$1))</f>
      </c>
    </row>
    <row r="28" spans="1:14" ht="13.05" customHeight="1" x14ac:dyDescent="0.45">
      <c r="A28" s="3"/>
      <c r="B28" s="153" t="s">
        <v>183</v>
      </c>
      <c r="C28" s="153"/>
      <c r="D28" s="153"/>
      <c r="E28" s="3" t="s">
        <v>159</v>
      </c>
      <c r="F28" s="14">
        <f>$N$16</f>
      </c>
      <c r="G28" s="3" t="s">
        <v>184</v>
      </c>
      <c r="H28" s="3" t="s">
        <v>185</v>
      </c>
      <c r="I28" s="17">
        <f>ITEM!$C$107</f>
      </c>
      <c r="J28" s="11" t="s">
        <v>186</v>
      </c>
      <c r="K28" s="17">
        <f>ROUND(F28*I28,0)</f>
      </c>
      <c r="L28" s="3"/>
      <c r="M28" s="90" t="s">
        <v>187</v>
      </c>
      <c r="N28" s="92">
        <f>IFERROR(INDEX(ITEM!$B$4:$B$103,MATCH(LARGE(INDEX(ITEM!$O$4:$R$103,0,$N$1),1),INDEX(ITEM!$O$4:$R$103,0,$N$1),0)),"")</f>
      </c>
    </row>
    <row r="29" spans="1:14" ht="13.05" customHeight="1" x14ac:dyDescent="0.45">
      <c r="A29" s="3"/>
      <c r="B29" s="153" t="s">
        <v>188</v>
      </c>
      <c r="C29" s="153"/>
      <c r="D29" s="153"/>
      <c r="E29" s="3" t="s">
        <v>159</v>
      </c>
      <c r="F29" s="14">
        <f>$N$17</f>
      </c>
      <c r="G29" s="3" t="s">
        <v>184</v>
      </c>
      <c r="H29" s="3" t="s">
        <v>185</v>
      </c>
      <c r="I29" s="17">
        <f>ITEM!$C$107</f>
      </c>
      <c r="J29" s="11" t="s">
        <v>186</v>
      </c>
      <c r="K29" s="17">
        <f>ROUND(F29*I29,0)</f>
      </c>
      <c r="L29" s="3"/>
      <c r="M29" s="90" t="s">
        <v>189</v>
      </c>
      <c r="N29" s="92">
        <f>IFERROR(INDEX(ITEM!$B$4:$B$103,MATCH(LARGE(INDEX(ITEM!$O$4:$R$103,0,$N$1),2),INDEX(ITEM!$O$4:$R$103,0,$N$1),0)),"")</f>
      </c>
    </row>
    <row r="30" spans="1:14" ht="13.05" customHeight="1" x14ac:dyDescent="0.45">
      <c r="A30" s="3"/>
      <c r="B30" s="153" t="s">
        <v>190</v>
      </c>
      <c r="C30" s="153"/>
      <c r="D30" s="153"/>
      <c r="E30" s="3" t="s">
        <v>159</v>
      </c>
      <c r="F30" s="14">
        <f>$N$18</f>
      </c>
      <c r="G30" s="3" t="s">
        <v>184</v>
      </c>
      <c r="H30" s="3" t="s">
        <v>185</v>
      </c>
      <c r="I30" s="17">
        <f>ITEM!$C$107</f>
      </c>
      <c r="J30" s="11" t="s">
        <v>186</v>
      </c>
      <c r="K30" s="17">
        <f>K28-K29</f>
      </c>
      <c r="L30" s="3"/>
      <c r="M30" s="90" t="s">
        <v>191</v>
      </c>
      <c r="N30" s="92">
        <f>IFERROR(INDEX(ITEM!$B$4:$B$103,MATCH(LARGE(INDEX(ITEM!$O$4:$R$103,0,$N$1),3),INDEX(ITEM!$O$4:$R$103,0,$N$1),0)),"")</f>
      </c>
    </row>
    <row r="31" spans="1:14" ht="13.05" customHeight="1" x14ac:dyDescent="0.45">
      <c r="A31" s="3"/>
      <c r="B31" s="3"/>
      <c r="C31" s="3"/>
      <c r="D31" s="3"/>
      <c r="E31" s="3"/>
      <c r="F31" s="14"/>
      <c r="G31" s="3"/>
      <c r="H31" s="3"/>
      <c r="I31" s="15"/>
      <c r="J31" s="3"/>
      <c r="K31" s="31" t="s">
        <v>185</v>
      </c>
      <c r="L31" s="18">
        <f>K30</f>
      </c>
      <c r="M31" s="90" t="s">
        <v>192</v>
      </c>
      <c r="N31" s="92">
        <f>IF($N$27=0,"-",_xlfn.TEXTJOIN(", ",TRUE,$N$28:$N$30)&amp;IF($N$27&gt;3,", dll.",""))</f>
      </c>
    </row>
    <row r="32" spans="1:14" ht="13.05" customHeight="1" x14ac:dyDescent="0.45">
      <c r="A32" s="3" t="s">
        <v>193</v>
      </c>
      <c r="B32" s="175" t="s">
        <v>194</v>
      </c>
      <c r="C32" s="153"/>
      <c r="D32" s="153"/>
      <c r="E32" s="153"/>
      <c r="F32" s="14"/>
      <c r="G32" s="3"/>
      <c r="H32" s="3"/>
      <c r="I32" s="15"/>
      <c r="J32" s="3"/>
      <c r="K32" s="15"/>
      <c r="L32" s="15"/>
      <c r="M32" s="2"/>
      <c r="N32" s="2"/>
    </row>
    <row r="33" spans="1:14" ht="13.05" customHeight="1" x14ac:dyDescent="0.45">
      <c r="A33" s="3"/>
      <c r="B33" s="153" t="s">
        <v>195</v>
      </c>
      <c r="C33" s="153"/>
      <c r="D33" s="153"/>
      <c r="E33" s="3" t="s">
        <v>159</v>
      </c>
      <c r="F33" s="14">
        <f>INPUT!$B$46</f>
      </c>
      <c r="G33" s="3" t="s">
        <v>184</v>
      </c>
      <c r="H33" s="3" t="s">
        <v>185</v>
      </c>
      <c r="I33" s="17">
        <f>$K$28</f>
      </c>
      <c r="J33" s="11" t="s">
        <v>186</v>
      </c>
      <c r="K33" s="17">
        <f>ROUND(F33*I33,0)</f>
      </c>
      <c r="L33" s="15"/>
      <c r="M33" s="2"/>
      <c r="N33" s="2"/>
    </row>
    <row r="34" spans="1:14" ht="13.05" customHeight="1" x14ac:dyDescent="0.45">
      <c r="A34" s="3"/>
      <c r="B34" s="153" t="s">
        <v>196</v>
      </c>
      <c r="C34" s="153"/>
      <c r="D34" s="153"/>
      <c r="E34" s="3" t="s">
        <v>159</v>
      </c>
      <c r="F34" s="14">
        <f>INPUT!$B$46*$N$17</f>
      </c>
      <c r="G34" s="3" t="s">
        <v>184</v>
      </c>
      <c r="H34" s="3" t="s">
        <v>185</v>
      </c>
      <c r="I34" s="17">
        <f>$K$29</f>
      </c>
      <c r="J34" s="11" t="s">
        <v>186</v>
      </c>
      <c r="K34" s="17">
        <f>ROUND(F34*I34,0)</f>
      </c>
      <c r="L34" s="15"/>
      <c r="M34" s="2"/>
      <c r="N34" s="2"/>
    </row>
    <row r="35" spans="1:14" ht="13.05" customHeight="1" x14ac:dyDescent="0.45">
      <c r="A35" s="3"/>
      <c r="B35" s="153" t="s">
        <v>197</v>
      </c>
      <c r="C35" s="153"/>
      <c r="D35" s="153"/>
      <c r="E35" s="3" t="s">
        <v>159</v>
      </c>
      <c r="F35" s="14">
        <f>F33-F34</f>
      </c>
      <c r="G35" s="3" t="s">
        <v>184</v>
      </c>
      <c r="H35" s="3" t="s">
        <v>185</v>
      </c>
      <c r="I35" s="17">
        <f>$K$30</f>
      </c>
      <c r="J35" s="11" t="s">
        <v>186</v>
      </c>
      <c r="K35" s="17">
        <f>K33-K34</f>
      </c>
      <c r="L35" s="15"/>
      <c r="M35" s="2"/>
      <c r="N35" s="2"/>
    </row>
    <row r="36" spans="1:14" ht="13.05" customHeight="1" x14ac:dyDescent="0.45">
      <c r="A36" s="3"/>
      <c r="B36" s="3"/>
      <c r="C36" s="3"/>
      <c r="D36" s="3"/>
      <c r="E36" s="3"/>
      <c r="F36" s="14"/>
      <c r="G36" s="3"/>
      <c r="H36" s="3"/>
      <c r="I36" s="15"/>
      <c r="J36" s="3"/>
      <c r="K36" s="31" t="s">
        <v>185</v>
      </c>
      <c r="L36" s="18">
        <f>K35</f>
      </c>
      <c r="M36" s="2"/>
      <c r="N36" s="2"/>
    </row>
    <row r="37" spans="1:14" ht="13.05" customHeight="1" x14ac:dyDescent="0.45">
      <c r="A37" s="3" t="s">
        <v>198</v>
      </c>
      <c r="B37" s="175" t="s">
        <v>199</v>
      </c>
      <c r="C37" s="153"/>
      <c r="D37" s="153"/>
      <c r="E37" s="153"/>
      <c r="F37" s="14"/>
      <c r="G37" s="3"/>
      <c r="H37" s="3"/>
      <c r="I37" s="15"/>
      <c r="J37" s="3"/>
      <c r="K37" s="15"/>
      <c r="L37" s="15"/>
      <c r="M37" s="2"/>
      <c r="N37" s="2"/>
    </row>
    <row r="38" spans="1:14" ht="13.05" customHeight="1" x14ac:dyDescent="0.45">
      <c r="A38" s="3"/>
      <c r="B38" s="153" t="s">
        <v>200</v>
      </c>
      <c r="C38" s="153"/>
      <c r="D38" s="153"/>
      <c r="E38" s="3" t="s">
        <v>159</v>
      </c>
      <c r="F38" s="14">
        <f>INPUT!$B$47</f>
      </c>
      <c r="G38" s="3" t="s">
        <v>184</v>
      </c>
      <c r="H38" s="3" t="s">
        <v>185</v>
      </c>
      <c r="I38" s="17">
        <f>$K$28</f>
      </c>
      <c r="J38" s="11" t="s">
        <v>186</v>
      </c>
      <c r="K38" s="17">
        <f>ROUND(F38*I38,0)</f>
      </c>
      <c r="L38" s="15"/>
      <c r="M38" s="2"/>
      <c r="N38" s="2"/>
    </row>
    <row r="39" spans="1:14" ht="13.05" customHeight="1" x14ac:dyDescent="0.45">
      <c r="A39" s="3"/>
      <c r="B39" s="153" t="s">
        <v>201</v>
      </c>
      <c r="C39" s="153"/>
      <c r="D39" s="153"/>
      <c r="E39" s="3" t="s">
        <v>159</v>
      </c>
      <c r="F39" s="14">
        <f>INPUT!$B$47*$N$17</f>
      </c>
      <c r="G39" s="3" t="s">
        <v>184</v>
      </c>
      <c r="H39" s="3" t="s">
        <v>185</v>
      </c>
      <c r="I39" s="17">
        <f>$K$29</f>
      </c>
      <c r="J39" s="11" t="s">
        <v>186</v>
      </c>
      <c r="K39" s="17">
        <f>ROUND(F39*I39,0)</f>
      </c>
      <c r="L39" s="15"/>
      <c r="M39" s="2"/>
      <c r="N39" s="2"/>
    </row>
    <row r="40" spans="1:14" ht="13.05" customHeight="1" x14ac:dyDescent="0.45">
      <c r="A40" s="3"/>
      <c r="B40" s="153" t="s">
        <v>202</v>
      </c>
      <c r="C40" s="153"/>
      <c r="D40" s="153"/>
      <c r="E40" s="3" t="s">
        <v>159</v>
      </c>
      <c r="F40" s="14">
        <f>F38-F39</f>
      </c>
      <c r="G40" s="3" t="s">
        <v>184</v>
      </c>
      <c r="H40" s="3" t="s">
        <v>185</v>
      </c>
      <c r="I40" s="17">
        <f>$K$30</f>
      </c>
      <c r="J40" s="11" t="s">
        <v>186</v>
      </c>
      <c r="K40" s="17">
        <f>K38-K39</f>
      </c>
      <c r="L40" s="15"/>
      <c r="M40" s="2"/>
      <c r="N40" s="2"/>
    </row>
    <row r="41" spans="1:14" ht="13.05" customHeight="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29" t="s">
        <v>185</v>
      </c>
      <c r="L41" s="18">
        <f>K40</f>
      </c>
      <c r="M41" s="2"/>
      <c r="N41" s="2"/>
    </row>
    <row r="42" spans="1:14" ht="13.05" customHeight="1" thickBo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5"/>
      <c r="M42" s="2"/>
      <c r="N42" s="2"/>
    </row>
    <row r="43" spans="1:14" ht="13.05" customHeight="1" thickBot="1" x14ac:dyDescent="0.5">
      <c r="A43" s="3"/>
      <c r="B43" s="179" t="s">
        <v>203</v>
      </c>
      <c r="C43" s="179"/>
      <c r="D43" s="179"/>
      <c r="E43" s="179"/>
      <c r="F43" s="179"/>
      <c r="G43" s="179"/>
      <c r="H43" s="179"/>
      <c r="I43" s="179"/>
      <c r="J43" s="179"/>
      <c r="K43" s="34" t="s">
        <v>185</v>
      </c>
      <c r="L43" s="35">
        <f>L31-L36-L41</f>
      </c>
      <c r="M43" s="2"/>
      <c r="N43" s="2"/>
    </row>
    <row r="44" spans="1:14" ht="13.05" customHeight="1" thickBot="1" x14ac:dyDescent="0.5">
      <c r="A44" s="3"/>
      <c r="B44" s="33"/>
      <c r="C44" s="36"/>
      <c r="D44" s="36"/>
      <c r="E44" s="36"/>
      <c r="F44" s="36"/>
      <c r="G44" s="36"/>
      <c r="H44" s="36"/>
      <c r="I44" s="36"/>
      <c r="J44" s="36"/>
      <c r="K44" s="36"/>
      <c r="L44" s="37"/>
      <c r="M44" s="2"/>
      <c r="N44" s="2"/>
    </row>
    <row r="45" spans="1:14" ht="13.05" customHeight="1" thickBot="1" x14ac:dyDescent="0.5">
      <c r="A45" s="3"/>
      <c r="B45" s="179" t="s">
        <v>204</v>
      </c>
      <c r="C45" s="179"/>
      <c r="D45" s="179"/>
      <c r="E45" s="179"/>
      <c r="F45" s="179"/>
      <c r="G45" s="179"/>
      <c r="H45" s="179"/>
      <c r="I45" s="179"/>
      <c r="J45" s="179"/>
      <c r="K45" s="34" t="s">
        <v>185</v>
      </c>
      <c r="L45" s="35">
        <f>ROUND(L43*INPUT!$B$45,0)</f>
      </c>
      <c r="M45" s="2"/>
      <c r="N45" s="2"/>
    </row>
    <row r="46" spans="1:14" ht="13.05" customHeight="1" thickBot="1" x14ac:dyDescent="0.5">
      <c r="A46" s="3"/>
      <c r="B46" s="33"/>
      <c r="C46" s="36"/>
      <c r="D46" s="36"/>
      <c r="E46" s="36"/>
      <c r="F46" s="36"/>
      <c r="G46" s="36"/>
      <c r="H46" s="36"/>
      <c r="I46" s="36"/>
      <c r="J46" s="36"/>
      <c r="K46" s="36"/>
      <c r="L46" s="37"/>
      <c r="M46" s="2"/>
      <c r="N46" s="2"/>
    </row>
    <row r="47" spans="1:14" ht="13.05" customHeight="1" thickBot="1" x14ac:dyDescent="0.5">
      <c r="A47" s="3"/>
      <c r="B47" s="179" t="s">
        <v>104</v>
      </c>
      <c r="C47" s="179"/>
      <c r="D47" s="179"/>
      <c r="E47" s="179"/>
      <c r="F47" s="179"/>
      <c r="G47" s="179"/>
      <c r="H47" s="179"/>
      <c r="I47" s="179"/>
      <c r="J47" s="179"/>
      <c r="K47" s="34" t="s">
        <v>185</v>
      </c>
      <c r="L47" s="35">
        <f>L43+L45</f>
      </c>
      <c r="M47" s="2"/>
      <c r="N47" s="2"/>
    </row>
    <row r="48" spans="1:14" ht="13.05" customHeight="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2"/>
      <c r="N48" s="2"/>
    </row>
    <row r="49" spans="1:14" ht="20" customHeight="1" x14ac:dyDescent="0.45">
      <c r="A49" s="180" t="s">
        <v>105</v>
      </c>
      <c r="B49" s="121"/>
      <c r="C49" s="181">
        <f>": "&amp;$N$14</f>
      </c>
      <c r="D49" s="121"/>
      <c r="E49" s="121"/>
      <c r="F49" s="121"/>
      <c r="G49" s="121"/>
      <c r="H49" s="121"/>
      <c r="I49" s="121"/>
      <c r="J49" s="121"/>
      <c r="K49" s="121"/>
      <c r="L49" s="121"/>
      <c r="M49" s="2"/>
      <c r="N49" s="2"/>
    </row>
    <row r="50" spans="1:14" ht="13.05" customHeight="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2"/>
      <c r="N50" s="2"/>
    </row>
    <row r="51" spans="1:14" ht="13.05" customHeight="1" x14ac:dyDescent="0.45">
      <c r="A51" s="153" t="s">
        <v>205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2"/>
      <c r="N51" s="2"/>
    </row>
    <row r="52" spans="1:14" ht="13.05" customHeight="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2"/>
      <c r="N52" s="2"/>
    </row>
    <row r="53" spans="1:14" ht="13.05" customHeight="1" x14ac:dyDescent="0.45">
      <c r="A53" s="3"/>
      <c r="B53" s="3"/>
      <c r="C53" s="161" t="s">
        <v>206</v>
      </c>
      <c r="D53" s="161"/>
      <c r="E53" s="161"/>
      <c r="F53" s="161"/>
      <c r="G53" s="3"/>
      <c r="H53" s="3"/>
      <c r="I53" s="161" t="s">
        <v>207</v>
      </c>
      <c r="J53" s="161"/>
      <c r="K53" s="161"/>
      <c r="L53" s="161"/>
      <c r="M53" s="2"/>
      <c r="N53" s="2"/>
    </row>
    <row r="54" spans="1:14" ht="13.05" customHeight="1" x14ac:dyDescent="0.45">
      <c r="A54" s="3"/>
      <c r="B54" s="3"/>
      <c r="C54" s="161">
        <f>UPPER(INPUT!$B$24)</f>
      </c>
      <c r="D54" s="161"/>
      <c r="E54" s="161"/>
      <c r="F54" s="161"/>
      <c r="G54" s="3"/>
      <c r="H54" s="3"/>
      <c r="I54" s="161">
        <f>UPPER(INPUT!$B$6)</f>
      </c>
      <c r="J54" s="161"/>
      <c r="K54" s="161"/>
      <c r="L54" s="161"/>
      <c r="M54" s="2"/>
      <c r="N54" s="2"/>
    </row>
    <row r="55" spans="1:14" ht="30" customHeight="1" x14ac:dyDescent="0.45">
      <c r="A55" s="3"/>
      <c r="B55" s="3"/>
      <c r="C55" s="10"/>
      <c r="D55" s="3"/>
      <c r="E55" s="3"/>
      <c r="F55" s="3"/>
      <c r="G55" s="3"/>
      <c r="H55" s="3"/>
      <c r="I55" s="10"/>
      <c r="J55" s="3"/>
      <c r="K55" s="3"/>
      <c r="L55" s="3"/>
      <c r="M55" s="2"/>
      <c r="N55" s="2"/>
    </row>
    <row r="56" spans="1:14" ht="30" customHeight="1" x14ac:dyDescent="0.45">
      <c r="A56" s="3"/>
      <c r="B56" s="3"/>
      <c r="C56" s="10"/>
      <c r="D56" s="3"/>
      <c r="E56" s="3"/>
      <c r="F56" s="3"/>
      <c r="G56" s="3"/>
      <c r="H56" s="3"/>
      <c r="I56" s="10"/>
      <c r="J56" s="3"/>
      <c r="K56" s="3"/>
      <c r="L56" s="3"/>
      <c r="M56" s="2"/>
      <c r="N56" s="2"/>
    </row>
    <row r="57" spans="1:14" ht="30" customHeight="1" x14ac:dyDescent="0.45">
      <c r="A57" s="3"/>
      <c r="B57" s="3"/>
      <c r="C57" s="10"/>
      <c r="D57" s="3"/>
      <c r="E57" s="3"/>
      <c r="F57" s="3"/>
      <c r="G57" s="3"/>
      <c r="H57" s="3"/>
      <c r="I57" s="10"/>
      <c r="J57" s="3"/>
      <c r="K57" s="3"/>
      <c r="L57" s="3"/>
      <c r="M57" s="2"/>
      <c r="N57" s="2"/>
    </row>
    <row r="58" spans="1:14" ht="13.05" customHeight="1" x14ac:dyDescent="0.45">
      <c r="A58" s="3"/>
      <c r="B58" s="3"/>
      <c r="C58" s="168">
        <f>INPUT!$B$23</f>
      </c>
      <c r="D58" s="168"/>
      <c r="E58" s="168"/>
      <c r="F58" s="168"/>
      <c r="G58" s="3"/>
      <c r="H58" s="3"/>
      <c r="I58" s="168">
        <f>INPUT!$B$19</f>
      </c>
      <c r="J58" s="168"/>
      <c r="K58" s="168"/>
      <c r="L58" s="168"/>
      <c r="M58" s="2"/>
      <c r="N58" s="2"/>
    </row>
    <row r="59" spans="1:14" ht="13.05" customHeight="1" x14ac:dyDescent="0.45">
      <c r="A59" s="3"/>
      <c r="B59" s="3"/>
      <c r="C59" s="162" t="s">
        <v>120</v>
      </c>
      <c r="D59" s="162"/>
      <c r="E59" s="162"/>
      <c r="F59" s="162"/>
      <c r="G59" s="3"/>
      <c r="H59" s="3"/>
      <c r="I59" s="162">
        <f>INPUT!$B$20</f>
      </c>
      <c r="J59" s="162"/>
      <c r="K59" s="162"/>
      <c r="L59" s="162"/>
      <c r="M59" s="2"/>
      <c r="N59" s="2"/>
    </row>
    <row r="60" spans="1:14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43">
    <mergeCell ref="A49:B49"/>
    <mergeCell ref="C49:L49"/>
    <mergeCell ref="C58:F58"/>
    <mergeCell ref="I58:L58"/>
    <mergeCell ref="C59:F59"/>
    <mergeCell ref="I59:L59"/>
    <mergeCell ref="A51:L51"/>
    <mergeCell ref="C53:F53"/>
    <mergeCell ref="I53:L53"/>
    <mergeCell ref="C54:F54"/>
    <mergeCell ref="I54:L54"/>
    <mergeCell ref="B47:J47"/>
    <mergeCell ref="B30:D30"/>
    <mergeCell ref="B32:E32"/>
    <mergeCell ref="B33:D33"/>
    <mergeCell ref="B34:D34"/>
    <mergeCell ref="B35:D35"/>
    <mergeCell ref="B37:E37"/>
    <mergeCell ref="B38:D38"/>
    <mergeCell ref="B39:D39"/>
    <mergeCell ref="B40:D40"/>
    <mergeCell ref="B43:J43"/>
    <mergeCell ref="B45:J45"/>
    <mergeCell ref="B29:D29"/>
    <mergeCell ref="B13:E13"/>
    <mergeCell ref="G13:L15"/>
    <mergeCell ref="A17:L18"/>
    <mergeCell ref="B22:C22"/>
    <mergeCell ref="D22:L22"/>
    <mergeCell ref="A24:L25"/>
    <mergeCell ref="B27:E27"/>
    <mergeCell ref="B28:D28"/>
    <mergeCell ref="A1:L1"/>
    <mergeCell ref="A2:L2"/>
    <mergeCell ref="A4:L4"/>
    <mergeCell ref="A5:L5"/>
    <mergeCell ref="A7:L7"/>
    <mergeCell ref="B9:E9"/>
    <mergeCell ref="G9:L11"/>
    <mergeCell ref="B20:C20"/>
    <mergeCell ref="D20:L20"/>
    <mergeCell ref="B21:C21"/>
    <mergeCell ref="D21:L21"/>
  </mergeCells>
  <printOptions horizontalCentered="1"/>
  <pageMargins left="0.34722222222222221" right="0.34722222222222221" top="0.3888888888888889" bottom="0.3888888888888889" header="0.16666666666666666" footer="0.16666666666666666"/>
  <pageSetup paperSize="9" scale="75" orientation="portrait" r:id="rId1"/>
  <headerFooter>
    <oddFooter>&amp;RHal &amp;P dari &amp;N&amp;L&amp;Z&amp;F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E07D-8B22-41F6-BADE-68762B8AFB59}">
  <sheetPr>
    <tabColor rgb="FF1F3864"/>
    <pageSetUpPr fitToPage="1"/>
  </sheetPr>
  <dimension ref="A1:N60"/>
  <sheetViews>
    <sheetView showGridLines="0" showRowColHeaders="0" topLeftCell="A11" zoomScale="70" zoomScaleNormal="70" workbookViewId="0">
      <selection activeCell="C49" sqref="C49:L49"/>
    </sheetView>
  </sheetViews>
  <sheetFormatPr defaultRowHeight="14.25" x14ac:dyDescent="0.45"/>
  <cols>
    <col min="1" max="1" width="4.265625" customWidth="1"/>
    <col min="2" max="5" width="12.46484375" customWidth="1"/>
    <col min="6" max="6" width="9.796875" customWidth="1"/>
    <col min="7" max="7" width="3.9296875" customWidth="1"/>
    <col min="8" max="8" width="4.265625" customWidth="1"/>
    <col min="9" max="9" width="15.1328125" customWidth="1"/>
    <col min="10" max="10" width="6.06640625" customWidth="1"/>
    <col min="11" max="11" width="16.33203125" customWidth="1"/>
    <col min="12" max="12" width="18.6640625" customWidth="1"/>
  </cols>
  <sheetData>
    <row r="1" spans="1:14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90" t="s">
        <v>123</v>
      </c>
      <c r="N1" s="91">
        <v>3</v>
      </c>
    </row>
    <row r="2" spans="1:14" ht="16.05" customHeight="1" x14ac:dyDescent="0.4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90" t="s">
        <v>124</v>
      </c>
      <c r="N2" s="92" cm="1">
        <f t="array" ref="N2">IF(IFERROR(INDEX(INPUT!$B$55:$B$58,$N$1),0)=0,"",INDEX(INPUT!$B$55:$B$58,$N$1))</f>
      </c>
    </row>
    <row r="3" spans="1:14" ht="8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90" t="s">
        <v>125</v>
      </c>
      <c r="N3" s="92">
        <f>IF($N$2="","",TEXT($N$2,"dddd"))</f>
      </c>
    </row>
    <row r="4" spans="1:14" ht="20" customHeight="1" x14ac:dyDescent="0.5">
      <c r="A4" s="140" t="s">
        <v>171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90" t="s">
        <v>126</v>
      </c>
      <c r="N4" s="92">
        <f>IF($N$2="","",IF(DAY($N$2)&lt;20,VLOOKUP(DAY($N$2),HELPER!$A$3:$B$22,2,0),IF(DAY($N$2)&lt;30,TRIM("Dua Puluh "&amp;VLOOKUP(DAY($N$2)-20,HELPER!$A$3:$B$22,2,0)),TRIM("Tiga Puluh "&amp;VLOOKUP(DAY($N$2)-30,HELPER!$A$3:$B$22,2,0)))))</f>
      </c>
    </row>
    <row r="5" spans="1:14" ht="16.05" customHeight="1" x14ac:dyDescent="0.45">
      <c r="A5" s="122" cm="1">
        <f t="array" ref="A5">IF($N$2="","","Nomor : "&amp;INDEX(INPUT!$D$55:$D$58,$N$1))</f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90" t="s">
        <v>128</v>
      </c>
      <c r="N5" s="92">
        <f>IF($N$2="","",TEXT($N$2,"mmmm"))</f>
      </c>
    </row>
    <row r="6" spans="1:14" ht="13.05" customHeight="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90" t="s">
        <v>129</v>
      </c>
      <c r="N6" s="92">
        <f>IF($N$2="","",TRIM(IF(INT(YEAR($N$2)/1000)=1,"Seribu ",IF(INT(YEAR($N$2)/1000)=0,"",IF(INT(INT(YEAR($N$2)/1000)/100)=0,"",IF(INT(INT(YEAR($N$2)/1000)/100)=1,"Seratus ",VLOOKUP(INT(INT(YEAR($N$2)/1000)/100),HELPER!$A$3:$B$22,2,0)&amp;" Ratus "))&amp;IF(MOD(INT(YEAR($N$2)/1000),100)=0,"",IF(MOD(INT(YEAR($N$2)/1000),100)&lt;20,VLOOKUP(MOD(INT(YEAR($N$2)/1000),100),HELPER!$A$3:$B$22,2,0),VLOOKUP(INT(MOD(INT(YEAR($N$2)/1000),100)/10),HELPER!$A$3:$B$22,2,0)&amp;" Puluh "&amp;IF(MOD(INT(YEAR($N$2)/1000),10)=0,"",VLOOKUP(MOD(INT(YEAR($N$2)/1000),10),HELPER!$A$3:$B$22,2,0)))))&amp;" Ribu ")&amp;IF(MOD(YEAR($N$2),1000)=0,"",IF(INT(MOD(YEAR($N$2),1000)/100)=0,"",IF(INT(MOD(YEAR($N$2),1000)/100)=1,"Seratus ",VLOOKUP(INT(MOD(YEAR($N$2),1000)/100),HELPER!$A$3:$B$22,2,0)&amp;" Ratus "))&amp;IF(MOD(MOD(YEAR($N$2),1000),100)=0,"",IF(MOD(MOD(YEAR($N$2),1000),100)&lt;20,VLOOKUP(MOD(MOD(YEAR($N$2),1000),100),HELPER!$A$3:$B$22,2,0),VLOOKUP(INT(MOD(MOD(YEAR($N$2),1000),100)/10),HELPER!$A$3:$B$22,2,0)&amp;" Puluh "&amp;IF(MOD(MOD(YEAR($N$2),1000),10)=0,"",VLOOKUP(MOD(MOD(YEAR($N$2),1000),10),HELPER!$A$3:$B$22,2,0)))))))</f>
      </c>
    </row>
    <row r="7" spans="1:14" ht="13.05" customHeight="1" x14ac:dyDescent="0.45">
      <c r="A7" s="153">
        <f>IF($N$7="","",$N$7&amp;", kami yang bertanda tangan dibawah ini :")</f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90" t="s">
        <v>130</v>
      </c>
      <c r="N7" s="92">
        <f>IF($N$2="","","Pada hari ini "&amp;$N$3&amp;", tanggal "&amp;$N$4&amp;" bulan "&amp;$N$5&amp;" tahun "&amp;$N$6&amp;" ("&amp;TEXT($N$2,"dd/mm/yyyy")&amp;")")</f>
      </c>
    </row>
    <row r="8" spans="1:14" ht="13.05" customHeight="1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90"/>
      <c r="N8" s="92"/>
    </row>
    <row r="9" spans="1:14" ht="18" customHeight="1" x14ac:dyDescent="0.45">
      <c r="A9" s="3" t="s">
        <v>132</v>
      </c>
      <c r="B9" s="175">
        <f>INPUT!$B$19</f>
      </c>
      <c r="C9" s="153"/>
      <c r="D9" s="153"/>
      <c r="E9" s="153"/>
      <c r="F9" s="3" t="s">
        <v>158</v>
      </c>
      <c r="G9" s="176">
        <f>"Selaku "&amp;INPUT!$B$20&amp;", Proyek Pekerjaan "&amp;INPUT!$B$5&amp;" - Jakarta, dalam hal ini bertindak untuk dan atas nama "&amp;INPUT!$B$6&amp;" "&amp;INPUT!$B$7&amp;" yang berkedudukan di "&amp;INPUT!$B$8&amp;", (untuk selanjutnya disebut "&amp;_xlfn.UNICHAR(8220)&amp;"Pihak Pertama"&amp;_xlfn.UNICHAR(8221)&amp;")"</f>
      </c>
      <c r="H9" s="176"/>
      <c r="I9" s="176"/>
      <c r="J9" s="176"/>
      <c r="K9" s="176"/>
      <c r="L9" s="176"/>
      <c r="M9" s="90" t="s">
        <v>172</v>
      </c>
      <c r="N9" s="92">
        <f>$L$47</f>
      </c>
    </row>
    <row r="10" spans="1:14" ht="18" customHeight="1" x14ac:dyDescent="0.45">
      <c r="A10" s="3"/>
      <c r="B10" s="3"/>
      <c r="C10" s="3"/>
      <c r="D10" s="3"/>
      <c r="E10" s="3"/>
      <c r="F10" s="3"/>
      <c r="G10" s="176"/>
      <c r="H10" s="176"/>
      <c r="I10" s="176"/>
      <c r="J10" s="176"/>
      <c r="K10" s="176"/>
      <c r="L10" s="176"/>
      <c r="M10" s="90" t="s">
        <v>134</v>
      </c>
      <c r="N10" s="92">
        <f>INT(ROUND($N$9,0)/1000000000)</f>
      </c>
    </row>
    <row r="11" spans="1:14" ht="18" customHeight="1" x14ac:dyDescent="0.45">
      <c r="A11" s="3"/>
      <c r="B11" s="3"/>
      <c r="C11" s="3"/>
      <c r="D11" s="3"/>
      <c r="E11" s="3"/>
      <c r="F11" s="3"/>
      <c r="G11" s="176"/>
      <c r="H11" s="176"/>
      <c r="I11" s="176"/>
      <c r="J11" s="176"/>
      <c r="K11" s="176"/>
      <c r="L11" s="176"/>
      <c r="M11" s="90" t="s">
        <v>135</v>
      </c>
      <c r="N11" s="92">
        <f>MOD(INT(ROUND($N$9,0)/1000000),1000)</f>
      </c>
    </row>
    <row r="12" spans="1:14" ht="13.0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90" t="s">
        <v>138</v>
      </c>
      <c r="N12" s="92">
        <f>MOD(INT(ROUND($N$9,0)/1000),1000)</f>
      </c>
    </row>
    <row r="13" spans="1:14" ht="14" customHeight="1" x14ac:dyDescent="0.45">
      <c r="A13" s="3" t="s">
        <v>136</v>
      </c>
      <c r="B13" s="175">
        <f>INPUT!$B$23</f>
      </c>
      <c r="C13" s="153"/>
      <c r="D13" s="153"/>
      <c r="E13" s="153"/>
      <c r="F13" s="3" t="s">
        <v>158</v>
      </c>
      <c r="G13" s="176">
        <f>"Selaku Direktur "&amp;UPPER(INPUT!$B$24)&amp;", dalam hal ini bertindak untuk dan atas nama "&amp;UPPER(INPUT!$B$24)&amp;" yang berkedudukan di "&amp;INPUT!$B$25&amp;", (untuk selanjutnya disebut "&amp;_xlfn.UNICHAR(8220)&amp;"Pihak Kedua"&amp;_xlfn.UNICHAR(8221)&amp;")."</f>
      </c>
      <c r="H13" s="176"/>
      <c r="I13" s="176"/>
      <c r="J13" s="176"/>
      <c r="K13" s="176"/>
      <c r="L13" s="176"/>
      <c r="M13" s="90" t="s">
        <v>139</v>
      </c>
      <c r="N13" s="92">
        <f>MOD(ROUND($N$9,0),1000)</f>
      </c>
    </row>
    <row r="14" spans="1:14" ht="14" customHeight="1" x14ac:dyDescent="0.45">
      <c r="A14" s="3"/>
      <c r="B14" s="3"/>
      <c r="C14" s="3"/>
      <c r="D14" s="3"/>
      <c r="E14" s="3"/>
      <c r="F14" s="3"/>
      <c r="G14" s="176"/>
      <c r="H14" s="176"/>
      <c r="I14" s="176"/>
      <c r="J14" s="176"/>
      <c r="K14" s="176"/>
      <c r="L14" s="176"/>
      <c r="M14" s="90" t="s">
        <v>105</v>
      </c>
      <c r="N14" s="92">
        <f>IF(ROUND($N$9,0)=0,"== Nol Rupiah ==","== "&amp;TRIM(IF($N$10=0,"",IF($N$10=0,"",IF(INT($N$10/100)=0,"",IF(INT($N$10/100)=1,"Seratus ",VLOOKUP(INT($N$10/100),HELPER!$A$3:$B$22,2,0)&amp;" Ratus "))&amp;IF(MOD($N$10,100)=0,"",IF(MOD($N$10,100)&lt;20,VLOOKUP(MOD($N$10,100),HELPER!$A$3:$B$22,2,0),VLOOKUP(INT(MOD($N$10,100)/10),HELPER!$A$3:$B$22,2,0)&amp;" Puluh "&amp;IF(MOD($N$10,10)=0,"",VLOOKUP(MOD($N$10,10),HELPER!$A$3:$B$22,2,0)))))&amp;" Miliar ")&amp;IF($N$11=0,"",IF($N$11=1,"Satu Juta ",IF($N$11=0,"",IF(INT($N$11/100)=0,"",IF(INT($N$11/100)=1,"Seratus ",VLOOKUP(INT($N$11/100),HELPER!$A$3:$B$22,2,0)&amp;" Ratus "))&amp;IF(MOD($N$11,100)=0,"",IF(MOD($N$11,100)&lt;20,VLOOKUP(MOD($N$11,100),HELPER!$A$3:$B$22,2,0),VLOOKUP(INT(MOD($N$11,100)/10),HELPER!$A$3:$B$22,2,0)&amp;" Puluh "&amp;IF(MOD($N$11,10)=0,"",VLOOKUP(MOD($N$11,10),HELPER!$A$3:$B$22,2,0)))))&amp;" Juta "))&amp;IF($N$12=0,"",IF($N$12=1,"Seribu ",IF($N$12=0,"",IF(INT($N$12/100)=0,"",IF(INT($N$12/100)=1,"Seratus ",VLOOKUP(INT($N$12/100),HELPER!$A$3:$B$22,2,0)&amp;" Ratus "))&amp;IF(MOD($N$12,100)=0,"",IF(MOD($N$12,100)&lt;20,VLOOKUP(MOD($N$12,100),HELPER!$A$3:$B$22,2,0),VLOOKUP(INT(MOD($N$12,100)/10),HELPER!$A$3:$B$22,2,0)&amp;" Puluh "&amp;IF(MOD($N$12,10)=0,"",VLOOKUP(MOD($N$12,10),HELPER!$A$3:$B$22,2,0)))))&amp;" Ribu "))&amp;IF($N$13=0,"",IF(INT($N$13/100)=0,"",IF(INT($N$13/100)=1,"Seratus ",VLOOKUP(INT($N$13/100),HELPER!$A$3:$B$22,2,0)&amp;" Ratus "))&amp;IF(MOD($N$13,100)=0,"",IF(MOD($N$13,100)&lt;20,VLOOKUP(MOD($N$13,100),HELPER!$A$3:$B$22,2,0),VLOOKUP(INT(MOD($N$13,100)/10),HELPER!$A$3:$B$22,2,0)&amp;" Puluh "&amp;IF(MOD($N$13,10)=0,"",VLOOKUP(MOD($N$13,10),HELPER!$A$3:$B$22,2,0))))))&amp;" Rupiah ==")</f>
      </c>
    </row>
    <row r="15" spans="1:14" ht="14" customHeight="1" x14ac:dyDescent="0.45">
      <c r="A15" s="3"/>
      <c r="B15" s="3"/>
      <c r="C15" s="3"/>
      <c r="D15" s="3"/>
      <c r="E15" s="3"/>
      <c r="F15" s="3"/>
      <c r="G15" s="176"/>
      <c r="H15" s="176"/>
      <c r="I15" s="176"/>
      <c r="J15" s="176"/>
      <c r="K15" s="176"/>
      <c r="L15" s="176"/>
      <c r="M15" s="90"/>
      <c r="N15" s="92"/>
    </row>
    <row r="16" spans="1:14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90" t="s">
        <v>157</v>
      </c>
      <c r="N16" s="94" cm="1">
        <f t="array" ref="N16">IF(ITEM!$C$107=0,0,SUMPRODUCT((ROW($N$20:$N$23)-ROW($N$20)+1&lt;=$N$1)*$N$20:$N$23)/ITEM!$C$107)</f>
      </c>
    </row>
    <row r="17" spans="1:14" ht="21" customHeight="1" x14ac:dyDescent="0.45">
      <c r="A17" s="177">
        <f>"Menerangkan bahwa kedua belah pihak telah melakukan pemeriksaan atas pengadaan material "&amp;$N$31&amp;" sesuai lampiran pada Proyek Pekerjaan "&amp;INPUT!$B$5&amp;" berdasarkan :"</f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90" t="s">
        <v>160</v>
      </c>
      <c r="N17" s="94" cm="1">
        <f t="array" ref="N17">IF(ITEM!$C$107=0,0,SUMPRODUCT((ROW($N$20:$N$23)-ROW($N$20)+1&lt;$N$1)*$N$20:$N$23)/ITEM!$C$107)</f>
      </c>
    </row>
    <row r="18" spans="1:14" ht="21" customHeight="1" x14ac:dyDescent="0.4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90" t="s">
        <v>173</v>
      </c>
      <c r="N18" s="94">
        <f>$N$16-$N$17</f>
      </c>
    </row>
    <row r="19" spans="1:14" ht="13.05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0"/>
      <c r="N19" s="92"/>
    </row>
    <row r="20" spans="1:14" ht="13.05" customHeight="1" x14ac:dyDescent="0.45">
      <c r="A20" s="10">
        <v>1</v>
      </c>
      <c r="B20" s="130" t="s">
        <v>141</v>
      </c>
      <c r="C20" s="178"/>
      <c r="D20" s="130">
        <f>": "&amp;INPUT!$B$35&amp;" Tanggal, "&amp;TEXT(INPUT!$B$36,"dd mmmm yyyy")</f>
      </c>
      <c r="E20" s="121"/>
      <c r="F20" s="121"/>
      <c r="G20" s="121"/>
      <c r="H20" s="121"/>
      <c r="I20" s="121"/>
      <c r="J20" s="121"/>
      <c r="K20" s="121"/>
      <c r="L20" s="121"/>
      <c r="M20" s="90" t="s">
        <v>174</v>
      </c>
      <c r="N20" s="92">
        <f>SUMPRODUCT(INDEX(ITEM!$G$4:$J$103,0,1),ITEM!$E$4:$E$103)</f>
      </c>
    </row>
    <row r="21" spans="1:14" ht="13.05" customHeight="1" x14ac:dyDescent="0.45">
      <c r="A21" s="10">
        <v>2</v>
      </c>
      <c r="B21" s="130" t="s">
        <v>175</v>
      </c>
      <c r="C21" s="178"/>
      <c r="D21" s="130">
        <f>": "&amp;TEXT(INPUT!$B$36,"dd mmmm yyyy")&amp;" s/d "&amp;TEXT(INPUT!$B$37,"dd mmmm yyyy")</f>
      </c>
      <c r="E21" s="121"/>
      <c r="F21" s="121"/>
      <c r="G21" s="121"/>
      <c r="H21" s="121"/>
      <c r="I21" s="121"/>
      <c r="J21" s="121"/>
      <c r="K21" s="121"/>
      <c r="L21" s="121"/>
      <c r="M21" s="90" t="s">
        <v>176</v>
      </c>
      <c r="N21" s="92">
        <f>SUMPRODUCT(INDEX(ITEM!$G$4:$J$103,0,2),ITEM!$E$4:$E$103)</f>
      </c>
    </row>
    <row r="22" spans="1:14" ht="13.05" customHeight="1" x14ac:dyDescent="0.45">
      <c r="A22" s="10">
        <v>3</v>
      </c>
      <c r="B22" s="130" t="s">
        <v>142</v>
      </c>
      <c r="C22" s="178"/>
      <c r="D22" s="130">
        <f>": Rp "&amp;HELPER!$H$28&amp;" (Exclude PPN)"</f>
      </c>
      <c r="E22" s="121"/>
      <c r="F22" s="121"/>
      <c r="G22" s="121"/>
      <c r="H22" s="121"/>
      <c r="I22" s="121"/>
      <c r="J22" s="121"/>
      <c r="K22" s="121"/>
      <c r="L22" s="121"/>
      <c r="M22" s="90" t="s">
        <v>177</v>
      </c>
      <c r="N22" s="92">
        <f>SUMPRODUCT(INDEX(ITEM!$G$4:$J$103,0,3),ITEM!$E$4:$E$103)</f>
      </c>
    </row>
    <row r="23" spans="1:14" ht="13.05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90" t="s">
        <v>178</v>
      </c>
      <c r="N23" s="92">
        <f>SUMPRODUCT(INDEX(ITEM!$G$4:$J$103,0,4),ITEM!$E$4:$E$103)</f>
      </c>
    </row>
    <row r="24" spans="1:14" ht="14" customHeight="1" x14ac:dyDescent="0.45">
      <c r="A24" s="177" cm="1">
        <f t="array" ref="A24">IF($N$2="","","Menyatakan bahwa prestasi Pihak Kedua s/d tanggal "&amp;TEXT($N$2,"dd mmmm yyyy")&amp;" telah mencapai "&amp;TEXT($N$16,"0.00%")&amp;" sesuai dengan Berita Acara Penerimaan Material Nomor : "&amp;INDEX(INPUT!$C$55:$C$58,$N$1)&amp;" pada tanggal "&amp;TEXT($N$2,"dd mmmm yyyy")&amp;". Maka Pihak Kedua berhak menerima pembayaran dengan perincian sebagai berikut :")</f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2"/>
      <c r="N24" s="2"/>
    </row>
    <row r="25" spans="1:14" ht="14" customHeight="1" x14ac:dyDescent="0.4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2"/>
      <c r="N25" s="2"/>
    </row>
    <row r="26" spans="1:14" ht="13.05" customHeigh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90" t="s">
        <v>179</v>
      </c>
      <c r="N26" s="2"/>
    </row>
    <row r="27" spans="1:14" ht="13.05" customHeight="1" x14ac:dyDescent="0.45">
      <c r="A27" s="3" t="s">
        <v>180</v>
      </c>
      <c r="B27" s="175" t="s">
        <v>181</v>
      </c>
      <c r="C27" s="153"/>
      <c r="D27" s="153"/>
      <c r="E27" s="153"/>
      <c r="F27" s="3"/>
      <c r="G27" s="3"/>
      <c r="H27" s="3"/>
      <c r="I27" s="3"/>
      <c r="J27" s="3"/>
      <c r="K27" s="3"/>
      <c r="L27" s="3"/>
      <c r="M27" s="90" t="s">
        <v>182</v>
      </c>
      <c r="N27" s="92">
        <f>COUNT(INDEX(ITEM!$O$4:$R$103,0,$N$1))</f>
      </c>
    </row>
    <row r="28" spans="1:14" ht="13.05" customHeight="1" x14ac:dyDescent="0.45">
      <c r="A28" s="3"/>
      <c r="B28" s="153" t="s">
        <v>183</v>
      </c>
      <c r="C28" s="153"/>
      <c r="D28" s="153"/>
      <c r="E28" s="3" t="s">
        <v>159</v>
      </c>
      <c r="F28" s="14">
        <f>$N$16</f>
      </c>
      <c r="G28" s="3" t="s">
        <v>184</v>
      </c>
      <c r="H28" s="3" t="s">
        <v>185</v>
      </c>
      <c r="I28" s="17">
        <f>ITEM!$C$107</f>
      </c>
      <c r="J28" s="11" t="s">
        <v>186</v>
      </c>
      <c r="K28" s="17">
        <f>ROUND(F28*I28,0)</f>
      </c>
      <c r="L28" s="3"/>
      <c r="M28" s="90" t="s">
        <v>187</v>
      </c>
      <c r="N28" s="92">
        <f>IFERROR(INDEX(ITEM!$B$4:$B$103,MATCH(LARGE(INDEX(ITEM!$O$4:$R$103,0,$N$1),1),INDEX(ITEM!$O$4:$R$103,0,$N$1),0)),"")</f>
      </c>
    </row>
    <row r="29" spans="1:14" ht="13.05" customHeight="1" x14ac:dyDescent="0.45">
      <c r="A29" s="3"/>
      <c r="B29" s="153" t="s">
        <v>188</v>
      </c>
      <c r="C29" s="153"/>
      <c r="D29" s="153"/>
      <c r="E29" s="3" t="s">
        <v>159</v>
      </c>
      <c r="F29" s="14">
        <f>$N$17</f>
      </c>
      <c r="G29" s="3" t="s">
        <v>184</v>
      </c>
      <c r="H29" s="3" t="s">
        <v>185</v>
      </c>
      <c r="I29" s="17">
        <f>ITEM!$C$107</f>
      </c>
      <c r="J29" s="11" t="s">
        <v>186</v>
      </c>
      <c r="K29" s="17">
        <f>ROUND(F29*I29,0)</f>
      </c>
      <c r="L29" s="3"/>
      <c r="M29" s="90" t="s">
        <v>189</v>
      </c>
      <c r="N29" s="92">
        <f>IFERROR(INDEX(ITEM!$B$4:$B$103,MATCH(LARGE(INDEX(ITEM!$O$4:$R$103,0,$N$1),2),INDEX(ITEM!$O$4:$R$103,0,$N$1),0)),"")</f>
      </c>
    </row>
    <row r="30" spans="1:14" ht="13.05" customHeight="1" x14ac:dyDescent="0.45">
      <c r="A30" s="3"/>
      <c r="B30" s="153" t="s">
        <v>190</v>
      </c>
      <c r="C30" s="153"/>
      <c r="D30" s="153"/>
      <c r="E30" s="3" t="s">
        <v>159</v>
      </c>
      <c r="F30" s="14">
        <f>$N$18</f>
      </c>
      <c r="G30" s="3" t="s">
        <v>184</v>
      </c>
      <c r="H30" s="3" t="s">
        <v>185</v>
      </c>
      <c r="I30" s="17">
        <f>ITEM!$C$107</f>
      </c>
      <c r="J30" s="11" t="s">
        <v>186</v>
      </c>
      <c r="K30" s="17">
        <f>K28-K29</f>
      </c>
      <c r="L30" s="3"/>
      <c r="M30" s="90" t="s">
        <v>191</v>
      </c>
      <c r="N30" s="92">
        <f>IFERROR(INDEX(ITEM!$B$4:$B$103,MATCH(LARGE(INDEX(ITEM!$O$4:$R$103,0,$N$1),3),INDEX(ITEM!$O$4:$R$103,0,$N$1),0)),"")</f>
      </c>
    </row>
    <row r="31" spans="1:14" ht="13.05" customHeight="1" x14ac:dyDescent="0.45">
      <c r="A31" s="3"/>
      <c r="B31" s="3"/>
      <c r="C31" s="3"/>
      <c r="D31" s="3"/>
      <c r="E31" s="3"/>
      <c r="F31" s="14"/>
      <c r="G31" s="3"/>
      <c r="H31" s="3"/>
      <c r="I31" s="15"/>
      <c r="J31" s="3"/>
      <c r="K31" s="31" t="s">
        <v>185</v>
      </c>
      <c r="L31" s="18">
        <f>K30</f>
      </c>
      <c r="M31" s="90" t="s">
        <v>192</v>
      </c>
      <c r="N31" s="92">
        <f>IF($N$27=0,"-",_xlfn.TEXTJOIN(", ",TRUE,$N$28:$N$30)&amp;IF($N$27&gt;3,", dll.",""))</f>
      </c>
    </row>
    <row r="32" spans="1:14" ht="13.05" customHeight="1" x14ac:dyDescent="0.45">
      <c r="A32" s="3" t="s">
        <v>193</v>
      </c>
      <c r="B32" s="175" t="s">
        <v>194</v>
      </c>
      <c r="C32" s="153"/>
      <c r="D32" s="153"/>
      <c r="E32" s="153"/>
      <c r="F32" s="14"/>
      <c r="G32" s="3"/>
      <c r="H32" s="3"/>
      <c r="I32" s="15"/>
      <c r="J32" s="3"/>
      <c r="K32" s="15"/>
      <c r="L32" s="15"/>
      <c r="M32" s="2"/>
      <c r="N32" s="2"/>
    </row>
    <row r="33" spans="1:14" ht="13.05" customHeight="1" x14ac:dyDescent="0.45">
      <c r="A33" s="3"/>
      <c r="B33" s="153" t="s">
        <v>195</v>
      </c>
      <c r="C33" s="153"/>
      <c r="D33" s="153"/>
      <c r="E33" s="3" t="s">
        <v>159</v>
      </c>
      <c r="F33" s="14">
        <f>INPUT!$B$46</f>
      </c>
      <c r="G33" s="3" t="s">
        <v>184</v>
      </c>
      <c r="H33" s="3" t="s">
        <v>185</v>
      </c>
      <c r="I33" s="17">
        <f>$K$28</f>
      </c>
      <c r="J33" s="11" t="s">
        <v>186</v>
      </c>
      <c r="K33" s="17">
        <f>ROUND(F33*I33,0)</f>
      </c>
      <c r="L33" s="15"/>
      <c r="M33" s="2"/>
      <c r="N33" s="2"/>
    </row>
    <row r="34" spans="1:14" ht="13.05" customHeight="1" x14ac:dyDescent="0.45">
      <c r="A34" s="3"/>
      <c r="B34" s="153" t="s">
        <v>196</v>
      </c>
      <c r="C34" s="153"/>
      <c r="D34" s="153"/>
      <c r="E34" s="3" t="s">
        <v>159</v>
      </c>
      <c r="F34" s="14">
        <f>INPUT!$B$46*$N$17</f>
      </c>
      <c r="G34" s="3" t="s">
        <v>184</v>
      </c>
      <c r="H34" s="3" t="s">
        <v>185</v>
      </c>
      <c r="I34" s="17">
        <f>$K$29</f>
      </c>
      <c r="J34" s="11" t="s">
        <v>186</v>
      </c>
      <c r="K34" s="17">
        <f>ROUND(F34*I34,0)</f>
      </c>
      <c r="L34" s="15"/>
      <c r="M34" s="2"/>
      <c r="N34" s="2"/>
    </row>
    <row r="35" spans="1:14" ht="13.05" customHeight="1" x14ac:dyDescent="0.45">
      <c r="A35" s="3"/>
      <c r="B35" s="153" t="s">
        <v>197</v>
      </c>
      <c r="C35" s="153"/>
      <c r="D35" s="153"/>
      <c r="E35" s="3" t="s">
        <v>159</v>
      </c>
      <c r="F35" s="14">
        <f>F33-F34</f>
      </c>
      <c r="G35" s="3" t="s">
        <v>184</v>
      </c>
      <c r="H35" s="3" t="s">
        <v>185</v>
      </c>
      <c r="I35" s="17">
        <f>$K$30</f>
      </c>
      <c r="J35" s="11" t="s">
        <v>186</v>
      </c>
      <c r="K35" s="17">
        <f>K33-K34</f>
      </c>
      <c r="L35" s="15"/>
      <c r="M35" s="2"/>
      <c r="N35" s="2"/>
    </row>
    <row r="36" spans="1:14" ht="13.05" customHeight="1" x14ac:dyDescent="0.45">
      <c r="A36" s="3"/>
      <c r="B36" s="3"/>
      <c r="C36" s="3"/>
      <c r="D36" s="3"/>
      <c r="E36" s="3"/>
      <c r="F36" s="14"/>
      <c r="G36" s="3"/>
      <c r="H36" s="3"/>
      <c r="I36" s="15"/>
      <c r="J36" s="3"/>
      <c r="K36" s="31" t="s">
        <v>185</v>
      </c>
      <c r="L36" s="18">
        <f>K35</f>
      </c>
      <c r="M36" s="2"/>
      <c r="N36" s="2"/>
    </row>
    <row r="37" spans="1:14" ht="13.05" customHeight="1" x14ac:dyDescent="0.45">
      <c r="A37" s="3" t="s">
        <v>198</v>
      </c>
      <c r="B37" s="175" t="s">
        <v>199</v>
      </c>
      <c r="C37" s="153"/>
      <c r="D37" s="153"/>
      <c r="E37" s="153"/>
      <c r="F37" s="14"/>
      <c r="G37" s="3"/>
      <c r="H37" s="3"/>
      <c r="I37" s="15"/>
      <c r="J37" s="3"/>
      <c r="K37" s="15"/>
      <c r="L37" s="15"/>
      <c r="M37" s="2"/>
      <c r="N37" s="2"/>
    </row>
    <row r="38" spans="1:14" ht="13.05" customHeight="1" x14ac:dyDescent="0.45">
      <c r="A38" s="3"/>
      <c r="B38" s="153" t="s">
        <v>200</v>
      </c>
      <c r="C38" s="153"/>
      <c r="D38" s="153"/>
      <c r="E38" s="3" t="s">
        <v>159</v>
      </c>
      <c r="F38" s="14">
        <f>INPUT!$B$47</f>
      </c>
      <c r="G38" s="3" t="s">
        <v>184</v>
      </c>
      <c r="H38" s="3" t="s">
        <v>185</v>
      </c>
      <c r="I38" s="17">
        <f>$K$28</f>
      </c>
      <c r="J38" s="11" t="s">
        <v>186</v>
      </c>
      <c r="K38" s="17">
        <f>ROUND(F38*I38,0)</f>
      </c>
      <c r="L38" s="15"/>
      <c r="M38" s="2"/>
      <c r="N38" s="2"/>
    </row>
    <row r="39" spans="1:14" ht="13.05" customHeight="1" x14ac:dyDescent="0.45">
      <c r="A39" s="3"/>
      <c r="B39" s="153" t="s">
        <v>201</v>
      </c>
      <c r="C39" s="153"/>
      <c r="D39" s="153"/>
      <c r="E39" s="3" t="s">
        <v>159</v>
      </c>
      <c r="F39" s="14">
        <f>INPUT!$B$47*$N$17</f>
      </c>
      <c r="G39" s="3" t="s">
        <v>184</v>
      </c>
      <c r="H39" s="3" t="s">
        <v>185</v>
      </c>
      <c r="I39" s="17">
        <f>$K$29</f>
      </c>
      <c r="J39" s="11" t="s">
        <v>186</v>
      </c>
      <c r="K39" s="17">
        <f>ROUND(F39*I39,0)</f>
      </c>
      <c r="L39" s="15"/>
      <c r="M39" s="2"/>
      <c r="N39" s="2"/>
    </row>
    <row r="40" spans="1:14" ht="13.05" customHeight="1" x14ac:dyDescent="0.45">
      <c r="A40" s="3"/>
      <c r="B40" s="153" t="s">
        <v>202</v>
      </c>
      <c r="C40" s="153"/>
      <c r="D40" s="153"/>
      <c r="E40" s="3" t="s">
        <v>159</v>
      </c>
      <c r="F40" s="14">
        <f>F38-F39</f>
      </c>
      <c r="G40" s="3" t="s">
        <v>184</v>
      </c>
      <c r="H40" s="3" t="s">
        <v>185</v>
      </c>
      <c r="I40" s="17">
        <f>$K$30</f>
      </c>
      <c r="J40" s="11" t="s">
        <v>186</v>
      </c>
      <c r="K40" s="17">
        <f>K38-K39</f>
      </c>
      <c r="L40" s="15"/>
      <c r="M40" s="2"/>
      <c r="N40" s="2"/>
    </row>
    <row r="41" spans="1:14" ht="13.05" customHeight="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29" t="s">
        <v>185</v>
      </c>
      <c r="L41" s="18">
        <f>K40</f>
      </c>
      <c r="M41" s="2"/>
      <c r="N41" s="2"/>
    </row>
    <row r="42" spans="1:14" ht="13.05" customHeight="1" thickBo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5"/>
      <c r="M42" s="2"/>
      <c r="N42" s="2"/>
    </row>
    <row r="43" spans="1:14" ht="13.05" customHeight="1" thickBot="1" x14ac:dyDescent="0.5">
      <c r="A43" s="3"/>
      <c r="B43" s="179" t="s">
        <v>203</v>
      </c>
      <c r="C43" s="179"/>
      <c r="D43" s="179"/>
      <c r="E43" s="179"/>
      <c r="F43" s="179"/>
      <c r="G43" s="179"/>
      <c r="H43" s="179"/>
      <c r="I43" s="179"/>
      <c r="J43" s="179"/>
      <c r="K43" s="34" t="s">
        <v>185</v>
      </c>
      <c r="L43" s="35">
        <f>L31-L36-L41</f>
      </c>
      <c r="M43" s="2"/>
      <c r="N43" s="2"/>
    </row>
    <row r="44" spans="1:14" ht="13.05" customHeight="1" thickBot="1" x14ac:dyDescent="0.5">
      <c r="A44" s="3"/>
      <c r="B44" s="33"/>
      <c r="C44" s="36"/>
      <c r="D44" s="36"/>
      <c r="E44" s="36"/>
      <c r="F44" s="36"/>
      <c r="G44" s="36"/>
      <c r="H44" s="36"/>
      <c r="I44" s="36"/>
      <c r="J44" s="36"/>
      <c r="K44" s="36"/>
      <c r="L44" s="37"/>
      <c r="M44" s="2"/>
      <c r="N44" s="2"/>
    </row>
    <row r="45" spans="1:14" ht="13.05" customHeight="1" thickBot="1" x14ac:dyDescent="0.5">
      <c r="A45" s="3"/>
      <c r="B45" s="179" t="s">
        <v>204</v>
      </c>
      <c r="C45" s="179"/>
      <c r="D45" s="179"/>
      <c r="E45" s="179"/>
      <c r="F45" s="179"/>
      <c r="G45" s="179"/>
      <c r="H45" s="179"/>
      <c r="I45" s="179"/>
      <c r="J45" s="179"/>
      <c r="K45" s="34" t="s">
        <v>185</v>
      </c>
      <c r="L45" s="35">
        <f>ROUND(L43*INPUT!$B$45,0)</f>
      </c>
      <c r="M45" s="2"/>
      <c r="N45" s="2"/>
    </row>
    <row r="46" spans="1:14" ht="13.05" customHeight="1" thickBot="1" x14ac:dyDescent="0.5">
      <c r="A46" s="3"/>
      <c r="B46" s="33"/>
      <c r="C46" s="36"/>
      <c r="D46" s="36"/>
      <c r="E46" s="36"/>
      <c r="F46" s="36"/>
      <c r="G46" s="36"/>
      <c r="H46" s="36"/>
      <c r="I46" s="36"/>
      <c r="J46" s="36"/>
      <c r="K46" s="36"/>
      <c r="L46" s="37"/>
      <c r="M46" s="2"/>
      <c r="N46" s="2"/>
    </row>
    <row r="47" spans="1:14" ht="13.05" customHeight="1" thickBot="1" x14ac:dyDescent="0.5">
      <c r="A47" s="3"/>
      <c r="B47" s="179" t="s">
        <v>104</v>
      </c>
      <c r="C47" s="179"/>
      <c r="D47" s="179"/>
      <c r="E47" s="179"/>
      <c r="F47" s="179"/>
      <c r="G47" s="179"/>
      <c r="H47" s="179"/>
      <c r="I47" s="179"/>
      <c r="J47" s="179"/>
      <c r="K47" s="34" t="s">
        <v>185</v>
      </c>
      <c r="L47" s="35">
        <f>L43+L45</f>
      </c>
      <c r="M47" s="2"/>
      <c r="N47" s="2"/>
    </row>
    <row r="48" spans="1:14" ht="13.05" customHeight="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2"/>
      <c r="N48" s="2"/>
    </row>
    <row r="49" spans="1:14" ht="20" customHeight="1" x14ac:dyDescent="0.45">
      <c r="A49" s="180" t="s">
        <v>105</v>
      </c>
      <c r="B49" s="121"/>
      <c r="C49" s="181">
        <f>": "&amp;$N$14</f>
      </c>
      <c r="D49" s="121"/>
      <c r="E49" s="121"/>
      <c r="F49" s="121"/>
      <c r="G49" s="121"/>
      <c r="H49" s="121"/>
      <c r="I49" s="121"/>
      <c r="J49" s="121"/>
      <c r="K49" s="121"/>
      <c r="L49" s="121"/>
      <c r="M49" s="2"/>
      <c r="N49" s="2"/>
    </row>
    <row r="50" spans="1:14" ht="13.05" customHeight="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2"/>
      <c r="N50" s="2"/>
    </row>
    <row r="51" spans="1:14" ht="13.05" customHeight="1" x14ac:dyDescent="0.45">
      <c r="A51" s="153" t="s">
        <v>205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2"/>
      <c r="N51" s="2"/>
    </row>
    <row r="52" spans="1:14" ht="13.05" customHeight="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2"/>
      <c r="N52" s="2"/>
    </row>
    <row r="53" spans="1:14" ht="13.05" customHeight="1" x14ac:dyDescent="0.45">
      <c r="A53" s="3"/>
      <c r="B53" s="3"/>
      <c r="C53" s="161" t="s">
        <v>206</v>
      </c>
      <c r="D53" s="161"/>
      <c r="E53" s="161"/>
      <c r="F53" s="161"/>
      <c r="G53" s="3"/>
      <c r="H53" s="3"/>
      <c r="I53" s="161" t="s">
        <v>207</v>
      </c>
      <c r="J53" s="161"/>
      <c r="K53" s="161"/>
      <c r="L53" s="161"/>
      <c r="M53" s="2"/>
      <c r="N53" s="2"/>
    </row>
    <row r="54" spans="1:14" ht="13.05" customHeight="1" x14ac:dyDescent="0.45">
      <c r="A54" s="3"/>
      <c r="B54" s="3"/>
      <c r="C54" s="161">
        <f>UPPER(INPUT!$B$24)</f>
      </c>
      <c r="D54" s="161"/>
      <c r="E54" s="161"/>
      <c r="F54" s="161"/>
      <c r="G54" s="3"/>
      <c r="H54" s="3"/>
      <c r="I54" s="161">
        <f>UPPER(INPUT!$B$6)</f>
      </c>
      <c r="J54" s="161"/>
      <c r="K54" s="161"/>
      <c r="L54" s="161"/>
      <c r="M54" s="2"/>
      <c r="N54" s="2"/>
    </row>
    <row r="55" spans="1:14" ht="30" customHeight="1" x14ac:dyDescent="0.45">
      <c r="A55" s="3"/>
      <c r="B55" s="3"/>
      <c r="C55" s="10"/>
      <c r="D55" s="3"/>
      <c r="E55" s="3"/>
      <c r="F55" s="3"/>
      <c r="G55" s="3"/>
      <c r="H55" s="3"/>
      <c r="I55" s="10"/>
      <c r="J55" s="3"/>
      <c r="K55" s="3"/>
      <c r="L55" s="3"/>
      <c r="M55" s="2"/>
      <c r="N55" s="2"/>
    </row>
    <row r="56" spans="1:14" ht="30" customHeight="1" x14ac:dyDescent="0.45">
      <c r="A56" s="3"/>
      <c r="B56" s="3"/>
      <c r="C56" s="10"/>
      <c r="D56" s="3"/>
      <c r="E56" s="3"/>
      <c r="F56" s="3"/>
      <c r="G56" s="3"/>
      <c r="H56" s="3"/>
      <c r="I56" s="10"/>
      <c r="J56" s="3"/>
      <c r="K56" s="3"/>
      <c r="L56" s="3"/>
      <c r="M56" s="2"/>
      <c r="N56" s="2"/>
    </row>
    <row r="57" spans="1:14" ht="30" customHeight="1" x14ac:dyDescent="0.45">
      <c r="A57" s="3"/>
      <c r="B57" s="3"/>
      <c r="C57" s="10"/>
      <c r="D57" s="3"/>
      <c r="E57" s="3"/>
      <c r="F57" s="3"/>
      <c r="G57" s="3"/>
      <c r="H57" s="3"/>
      <c r="I57" s="10"/>
      <c r="J57" s="3"/>
      <c r="K57" s="3"/>
      <c r="L57" s="3"/>
      <c r="M57" s="2"/>
      <c r="N57" s="2"/>
    </row>
    <row r="58" spans="1:14" ht="13.05" customHeight="1" x14ac:dyDescent="0.45">
      <c r="A58" s="3"/>
      <c r="B58" s="3"/>
      <c r="C58" s="168">
        <f>INPUT!$B$23</f>
      </c>
      <c r="D58" s="168"/>
      <c r="E58" s="168"/>
      <c r="F58" s="168"/>
      <c r="G58" s="3"/>
      <c r="H58" s="3"/>
      <c r="I58" s="168">
        <f>INPUT!$B$19</f>
      </c>
      <c r="J58" s="168"/>
      <c r="K58" s="168"/>
      <c r="L58" s="168"/>
      <c r="M58" s="2"/>
      <c r="N58" s="2"/>
    </row>
    <row r="59" spans="1:14" ht="13.05" customHeight="1" x14ac:dyDescent="0.45">
      <c r="A59" s="3"/>
      <c r="B59" s="3"/>
      <c r="C59" s="162" t="s">
        <v>120</v>
      </c>
      <c r="D59" s="162"/>
      <c r="E59" s="162"/>
      <c r="F59" s="162"/>
      <c r="G59" s="3"/>
      <c r="H59" s="3"/>
      <c r="I59" s="162">
        <f>INPUT!$B$20</f>
      </c>
      <c r="J59" s="162"/>
      <c r="K59" s="162"/>
      <c r="L59" s="162"/>
      <c r="M59" s="2"/>
      <c r="N59" s="2"/>
    </row>
    <row r="60" spans="1:14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43">
    <mergeCell ref="A49:B49"/>
    <mergeCell ref="C49:L49"/>
    <mergeCell ref="C58:F58"/>
    <mergeCell ref="I58:L58"/>
    <mergeCell ref="C59:F59"/>
    <mergeCell ref="I59:L59"/>
    <mergeCell ref="A51:L51"/>
    <mergeCell ref="C53:F53"/>
    <mergeCell ref="I53:L53"/>
    <mergeCell ref="C54:F54"/>
    <mergeCell ref="I54:L54"/>
    <mergeCell ref="B47:J47"/>
    <mergeCell ref="B30:D30"/>
    <mergeCell ref="B32:E32"/>
    <mergeCell ref="B33:D33"/>
    <mergeCell ref="B34:D34"/>
    <mergeCell ref="B35:D35"/>
    <mergeCell ref="B37:E37"/>
    <mergeCell ref="B38:D38"/>
    <mergeCell ref="B39:D39"/>
    <mergeCell ref="B40:D40"/>
    <mergeCell ref="B43:J43"/>
    <mergeCell ref="B45:J45"/>
    <mergeCell ref="B29:D29"/>
    <mergeCell ref="B13:E13"/>
    <mergeCell ref="G13:L15"/>
    <mergeCell ref="A17:L18"/>
    <mergeCell ref="B22:C22"/>
    <mergeCell ref="D22:L22"/>
    <mergeCell ref="A24:L25"/>
    <mergeCell ref="B27:E27"/>
    <mergeCell ref="B28:D28"/>
    <mergeCell ref="A1:L1"/>
    <mergeCell ref="A2:L2"/>
    <mergeCell ref="A4:L4"/>
    <mergeCell ref="A5:L5"/>
    <mergeCell ref="A7:L7"/>
    <mergeCell ref="B9:E9"/>
    <mergeCell ref="G9:L11"/>
    <mergeCell ref="B20:C20"/>
    <mergeCell ref="D20:L20"/>
    <mergeCell ref="B21:C21"/>
    <mergeCell ref="D21:L21"/>
  </mergeCells>
  <printOptions horizontalCentered="1"/>
  <pageMargins left="0.34722222222222221" right="0.34722222222222221" top="0.3888888888888889" bottom="0.3888888888888889" header="0.16666666666666666" footer="0.16666666666666666"/>
  <pageSetup paperSize="9" scale="75" orientation="portrait" r:id="rId1"/>
  <headerFooter>
    <oddFooter>&amp;RHal &amp;P dari &amp;N&amp;L&amp;Z&amp;F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3237-7844-4323-A42C-BD81A190AF90}">
  <sheetPr>
    <tabColor rgb="FF1F3864"/>
    <pageSetUpPr fitToPage="1"/>
  </sheetPr>
  <dimension ref="A1:N60"/>
  <sheetViews>
    <sheetView showGridLines="0" showRowColHeaders="0" zoomScale="80" zoomScaleNormal="80" workbookViewId="0">
      <selection activeCell="C49" sqref="C49:L49"/>
    </sheetView>
  </sheetViews>
  <sheetFormatPr defaultRowHeight="14.25" x14ac:dyDescent="0.45"/>
  <cols>
    <col min="1" max="1" width="4.265625" customWidth="1"/>
    <col min="2" max="5" width="12.46484375" customWidth="1"/>
    <col min="6" max="6" width="9.796875" customWidth="1"/>
    <col min="7" max="7" width="3.9296875" customWidth="1"/>
    <col min="8" max="8" width="4.265625" customWidth="1"/>
    <col min="9" max="9" width="15.1328125" customWidth="1"/>
    <col min="10" max="10" width="6.06640625" customWidth="1"/>
    <col min="11" max="11" width="16.33203125" customWidth="1"/>
    <col min="12" max="12" width="18.6640625" customWidth="1"/>
  </cols>
  <sheetData>
    <row r="1" spans="1:14" ht="34.049999999999997" customHeight="1" x14ac:dyDescent="0.45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90" t="s">
        <v>123</v>
      </c>
      <c r="N1" s="91">
        <v>4</v>
      </c>
    </row>
    <row r="2" spans="1:14" ht="16.05" customHeight="1" x14ac:dyDescent="0.4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90" t="s">
        <v>124</v>
      </c>
      <c r="N2" s="92" cm="1">
        <f t="array" ref="N2">IF(IFERROR(INDEX(INPUT!$B$55:$B$58,$N$1),0)=0,"",INDEX(INPUT!$B$55:$B$58,$N$1))</f>
      </c>
    </row>
    <row r="3" spans="1:14" ht="8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90" t="s">
        <v>125</v>
      </c>
      <c r="N3" s="92">
        <f>IF($N$2="","",TEXT($N$2,"dddd"))</f>
      </c>
    </row>
    <row r="4" spans="1:14" ht="20" customHeight="1" x14ac:dyDescent="0.5">
      <c r="A4" s="140" t="s">
        <v>171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90" t="s">
        <v>126</v>
      </c>
      <c r="N4" s="92">
        <f>IF($N$2="","",IF(DAY($N$2)&lt;20,VLOOKUP(DAY($N$2),HELPER!$A$3:$B$22,2,0),IF(DAY($N$2)&lt;30,TRIM("Dua Puluh "&amp;VLOOKUP(DAY($N$2)-20,HELPER!$A$3:$B$22,2,0)),TRIM("Tiga Puluh "&amp;VLOOKUP(DAY($N$2)-30,HELPER!$A$3:$B$22,2,0)))))</f>
      </c>
    </row>
    <row r="5" spans="1:14" ht="16.05" customHeight="1" x14ac:dyDescent="0.45">
      <c r="A5" s="122" cm="1">
        <f t="array" ref="A5">IF($N$2="","","Nomor : "&amp;INDEX(INPUT!$D$55:$D$58,$N$1))</f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90" t="s">
        <v>128</v>
      </c>
      <c r="N5" s="92">
        <f>IF($N$2="","",TEXT($N$2,"mmmm"))</f>
      </c>
    </row>
    <row r="6" spans="1:14" ht="13.05" customHeight="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90" t="s">
        <v>129</v>
      </c>
      <c r="N6" s="92">
        <f>IF($N$2="","",TRIM(IF(INT(YEAR($N$2)/1000)=1,"Seribu ",IF(INT(YEAR($N$2)/1000)=0,"",IF(INT(INT(YEAR($N$2)/1000)/100)=0,"",IF(INT(INT(YEAR($N$2)/1000)/100)=1,"Seratus ",VLOOKUP(INT(INT(YEAR($N$2)/1000)/100),HELPER!$A$3:$B$22,2,0)&amp;" Ratus "))&amp;IF(MOD(INT(YEAR($N$2)/1000),100)=0,"",IF(MOD(INT(YEAR($N$2)/1000),100)&lt;20,VLOOKUP(MOD(INT(YEAR($N$2)/1000),100),HELPER!$A$3:$B$22,2,0),VLOOKUP(INT(MOD(INT(YEAR($N$2)/1000),100)/10),HELPER!$A$3:$B$22,2,0)&amp;" Puluh "&amp;IF(MOD(INT(YEAR($N$2)/1000),10)=0,"",VLOOKUP(MOD(INT(YEAR($N$2)/1000),10),HELPER!$A$3:$B$22,2,0)))))&amp;" Ribu ")&amp;IF(MOD(YEAR($N$2),1000)=0,"",IF(INT(MOD(YEAR($N$2),1000)/100)=0,"",IF(INT(MOD(YEAR($N$2),1000)/100)=1,"Seratus ",VLOOKUP(INT(MOD(YEAR($N$2),1000)/100),HELPER!$A$3:$B$22,2,0)&amp;" Ratus "))&amp;IF(MOD(MOD(YEAR($N$2),1000),100)=0,"",IF(MOD(MOD(YEAR($N$2),1000),100)&lt;20,VLOOKUP(MOD(MOD(YEAR($N$2),1000),100),HELPER!$A$3:$B$22,2,0),VLOOKUP(INT(MOD(MOD(YEAR($N$2),1000),100)/10),HELPER!$A$3:$B$22,2,0)&amp;" Puluh "&amp;IF(MOD(MOD(YEAR($N$2),1000),10)=0,"",VLOOKUP(MOD(MOD(YEAR($N$2),1000),10),HELPER!$A$3:$B$22,2,0)))))))</f>
      </c>
    </row>
    <row r="7" spans="1:14" ht="13.05" customHeight="1" x14ac:dyDescent="0.45">
      <c r="A7" s="153">
        <f>IF($N$7="","",$N$7&amp;", kami yang bertanda tangan dibawah ini :")</f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90" t="s">
        <v>130</v>
      </c>
      <c r="N7" s="92">
        <f>IF($N$2="","","Pada hari ini "&amp;$N$3&amp;", tanggal "&amp;$N$4&amp;" bulan "&amp;$N$5&amp;" tahun "&amp;$N$6&amp;" ("&amp;TEXT($N$2,"dd/mm/yyyy")&amp;")")</f>
      </c>
    </row>
    <row r="8" spans="1:14" ht="13.05" customHeight="1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90"/>
      <c r="N8" s="92"/>
    </row>
    <row r="9" spans="1:14" ht="18" customHeight="1" x14ac:dyDescent="0.45">
      <c r="A9" s="3" t="s">
        <v>132</v>
      </c>
      <c r="B9" s="175">
        <f>INPUT!$B$19</f>
      </c>
      <c r="C9" s="153"/>
      <c r="D9" s="153"/>
      <c r="E9" s="153"/>
      <c r="F9" s="3" t="s">
        <v>158</v>
      </c>
      <c r="G9" s="176">
        <f>"Selaku "&amp;INPUT!$B$20&amp;", Proyek Pekerjaan "&amp;INPUT!$B$5&amp;" - Jakarta, dalam hal ini bertindak untuk dan atas nama "&amp;INPUT!$B$6&amp;" "&amp;INPUT!$B$7&amp;" yang berkedudukan di "&amp;INPUT!$B$8&amp;", (untuk selanjutnya disebut "&amp;_xlfn.UNICHAR(8220)&amp;"Pihak Pertama"&amp;_xlfn.UNICHAR(8221)&amp;")"</f>
      </c>
      <c r="H9" s="176"/>
      <c r="I9" s="176"/>
      <c r="J9" s="176"/>
      <c r="K9" s="176"/>
      <c r="L9" s="176"/>
      <c r="M9" s="90" t="s">
        <v>172</v>
      </c>
      <c r="N9" s="92">
        <f>$L$47</f>
      </c>
    </row>
    <row r="10" spans="1:14" ht="18" customHeight="1" x14ac:dyDescent="0.45">
      <c r="A10" s="3"/>
      <c r="B10" s="3"/>
      <c r="C10" s="3"/>
      <c r="D10" s="3"/>
      <c r="E10" s="3"/>
      <c r="F10" s="3"/>
      <c r="G10" s="176"/>
      <c r="H10" s="176"/>
      <c r="I10" s="176"/>
      <c r="J10" s="176"/>
      <c r="K10" s="176"/>
      <c r="L10" s="176"/>
      <c r="M10" s="90" t="s">
        <v>134</v>
      </c>
      <c r="N10" s="92">
        <f>INT(ROUND($N$9,0)/1000000000)</f>
      </c>
    </row>
    <row r="11" spans="1:14" ht="18" customHeight="1" x14ac:dyDescent="0.45">
      <c r="A11" s="3"/>
      <c r="B11" s="3"/>
      <c r="C11" s="3"/>
      <c r="D11" s="3"/>
      <c r="E11" s="3"/>
      <c r="F11" s="3"/>
      <c r="G11" s="176"/>
      <c r="H11" s="176"/>
      <c r="I11" s="176"/>
      <c r="J11" s="176"/>
      <c r="K11" s="176"/>
      <c r="L11" s="176"/>
      <c r="M11" s="90" t="s">
        <v>135</v>
      </c>
      <c r="N11" s="92">
        <f>MOD(INT(ROUND($N$9,0)/1000000),1000)</f>
      </c>
    </row>
    <row r="12" spans="1:14" ht="13.05" customHeight="1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90" t="s">
        <v>138</v>
      </c>
      <c r="N12" s="92">
        <f>MOD(INT(ROUND($N$9,0)/1000),1000)</f>
      </c>
    </row>
    <row r="13" spans="1:14" ht="14" customHeight="1" x14ac:dyDescent="0.45">
      <c r="A13" s="3" t="s">
        <v>136</v>
      </c>
      <c r="B13" s="175">
        <f>INPUT!$B$23</f>
      </c>
      <c r="C13" s="153"/>
      <c r="D13" s="153"/>
      <c r="E13" s="153"/>
      <c r="F13" s="3" t="s">
        <v>158</v>
      </c>
      <c r="G13" s="176">
        <f>"Selaku Direktur "&amp;UPPER(INPUT!$B$24)&amp;", dalam hal ini bertindak untuk dan atas nama "&amp;UPPER(INPUT!$B$24)&amp;" yang berkedudukan di "&amp;INPUT!$B$25&amp;", (untuk selanjutnya disebut "&amp;_xlfn.UNICHAR(8220)&amp;"Pihak Kedua"&amp;_xlfn.UNICHAR(8221)&amp;")."</f>
      </c>
      <c r="H13" s="176"/>
      <c r="I13" s="176"/>
      <c r="J13" s="176"/>
      <c r="K13" s="176"/>
      <c r="L13" s="176"/>
      <c r="M13" s="90" t="s">
        <v>139</v>
      </c>
      <c r="N13" s="92">
        <f>MOD(ROUND($N$9,0),1000)</f>
      </c>
    </row>
    <row r="14" spans="1:14" ht="14" customHeight="1" x14ac:dyDescent="0.45">
      <c r="A14" s="3"/>
      <c r="B14" s="3"/>
      <c r="C14" s="3"/>
      <c r="D14" s="3"/>
      <c r="E14" s="3"/>
      <c r="F14" s="3"/>
      <c r="G14" s="176"/>
      <c r="H14" s="176"/>
      <c r="I14" s="176"/>
      <c r="J14" s="176"/>
      <c r="K14" s="176"/>
      <c r="L14" s="176"/>
      <c r="M14" s="90" t="s">
        <v>105</v>
      </c>
      <c r="N14" s="92">
        <f>IF(ROUND($N$9,0)=0,"== Nol Rupiah ==","== "&amp;TRIM(IF($N$10=0,"",IF($N$10=0,"",IF(INT($N$10/100)=0,"",IF(INT($N$10/100)=1,"Seratus ",VLOOKUP(INT($N$10/100),HELPER!$A$3:$B$22,2,0)&amp;" Ratus "))&amp;IF(MOD($N$10,100)=0,"",IF(MOD($N$10,100)&lt;20,VLOOKUP(MOD($N$10,100),HELPER!$A$3:$B$22,2,0),VLOOKUP(INT(MOD($N$10,100)/10),HELPER!$A$3:$B$22,2,0)&amp;" Puluh "&amp;IF(MOD($N$10,10)=0,"",VLOOKUP(MOD($N$10,10),HELPER!$A$3:$B$22,2,0)))))&amp;" Miliar ")&amp;IF($N$11=0,"",IF($N$11=1,"Satu Juta ",IF($N$11=0,"",IF(INT($N$11/100)=0,"",IF(INT($N$11/100)=1,"Seratus ",VLOOKUP(INT($N$11/100),HELPER!$A$3:$B$22,2,0)&amp;" Ratus "))&amp;IF(MOD($N$11,100)=0,"",IF(MOD($N$11,100)&lt;20,VLOOKUP(MOD($N$11,100),HELPER!$A$3:$B$22,2,0),VLOOKUP(INT(MOD($N$11,100)/10),HELPER!$A$3:$B$22,2,0)&amp;" Puluh "&amp;IF(MOD($N$11,10)=0,"",VLOOKUP(MOD($N$11,10),HELPER!$A$3:$B$22,2,0)))))&amp;" Juta "))&amp;IF($N$12=0,"",IF($N$12=1,"Seribu ",IF($N$12=0,"",IF(INT($N$12/100)=0,"",IF(INT($N$12/100)=1,"Seratus ",VLOOKUP(INT($N$12/100),HELPER!$A$3:$B$22,2,0)&amp;" Ratus "))&amp;IF(MOD($N$12,100)=0,"",IF(MOD($N$12,100)&lt;20,VLOOKUP(MOD($N$12,100),HELPER!$A$3:$B$22,2,0),VLOOKUP(INT(MOD($N$12,100)/10),HELPER!$A$3:$B$22,2,0)&amp;" Puluh "&amp;IF(MOD($N$12,10)=0,"",VLOOKUP(MOD($N$12,10),HELPER!$A$3:$B$22,2,0)))))&amp;" Ribu "))&amp;IF($N$13=0,"",IF(INT($N$13/100)=0,"",IF(INT($N$13/100)=1,"Seratus ",VLOOKUP(INT($N$13/100),HELPER!$A$3:$B$22,2,0)&amp;" Ratus "))&amp;IF(MOD($N$13,100)=0,"",IF(MOD($N$13,100)&lt;20,VLOOKUP(MOD($N$13,100),HELPER!$A$3:$B$22,2,0),VLOOKUP(INT(MOD($N$13,100)/10),HELPER!$A$3:$B$22,2,0)&amp;" Puluh "&amp;IF(MOD($N$13,10)=0,"",VLOOKUP(MOD($N$13,10),HELPER!$A$3:$B$22,2,0))))))&amp;" Rupiah ==")</f>
      </c>
    </row>
    <row r="15" spans="1:14" ht="14" customHeight="1" x14ac:dyDescent="0.45">
      <c r="A15" s="3"/>
      <c r="B15" s="3"/>
      <c r="C15" s="3"/>
      <c r="D15" s="3"/>
      <c r="E15" s="3"/>
      <c r="F15" s="3"/>
      <c r="G15" s="176"/>
      <c r="H15" s="176"/>
      <c r="I15" s="176"/>
      <c r="J15" s="176"/>
      <c r="K15" s="176"/>
      <c r="L15" s="176"/>
      <c r="M15" s="90"/>
      <c r="N15" s="92"/>
    </row>
    <row r="16" spans="1:14" ht="13.05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90" t="s">
        <v>157</v>
      </c>
      <c r="N16" s="94" cm="1">
        <f t="array" ref="N16">IF(ITEM!$C$107=0,0,SUMPRODUCT((ROW($N$20:$N$23)-ROW($N$20)+1&lt;=$N$1)*$N$20:$N$23)/ITEM!$C$107)</f>
      </c>
    </row>
    <row r="17" spans="1:14" ht="21" customHeight="1" x14ac:dyDescent="0.45">
      <c r="A17" s="177">
        <f>"Menerangkan bahwa kedua belah pihak telah melakukan pemeriksaan atas pengadaan material "&amp;$N$31&amp;" sesuai lampiran pada Proyek Pekerjaan "&amp;INPUT!$B$5&amp;" berdasarkan :"</f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90" t="s">
        <v>160</v>
      </c>
      <c r="N17" s="94" cm="1">
        <f t="array" ref="N17">IF(ITEM!$C$107=0,0,SUMPRODUCT((ROW($N$20:$N$23)-ROW($N$20)+1&lt;$N$1)*$N$20:$N$23)/ITEM!$C$107)</f>
      </c>
    </row>
    <row r="18" spans="1:14" ht="21" customHeight="1" x14ac:dyDescent="0.4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90" t="s">
        <v>173</v>
      </c>
      <c r="N18" s="94">
        <f>$N$16-$N$17</f>
      </c>
    </row>
    <row r="19" spans="1:14" ht="13.05" customHeight="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0"/>
      <c r="N19" s="92"/>
    </row>
    <row r="20" spans="1:14" ht="13.05" customHeight="1" x14ac:dyDescent="0.45">
      <c r="A20" s="10">
        <v>1</v>
      </c>
      <c r="B20" s="130" t="s">
        <v>141</v>
      </c>
      <c r="C20" s="178"/>
      <c r="D20" s="130">
        <f>": "&amp;INPUT!$B$35&amp;" Tanggal, "&amp;TEXT(INPUT!$B$36,"dd mmmm yyyy")</f>
      </c>
      <c r="E20" s="121"/>
      <c r="F20" s="121"/>
      <c r="G20" s="121"/>
      <c r="H20" s="121"/>
      <c r="I20" s="121"/>
      <c r="J20" s="121"/>
      <c r="K20" s="121"/>
      <c r="L20" s="121"/>
      <c r="M20" s="90" t="s">
        <v>174</v>
      </c>
      <c r="N20" s="92">
        <f>SUMPRODUCT(INDEX(ITEM!$G$4:$J$103,0,1),ITEM!$E$4:$E$103)</f>
      </c>
    </row>
    <row r="21" spans="1:14" ht="13.05" customHeight="1" x14ac:dyDescent="0.45">
      <c r="A21" s="10">
        <v>2</v>
      </c>
      <c r="B21" s="130" t="s">
        <v>175</v>
      </c>
      <c r="C21" s="178"/>
      <c r="D21" s="130">
        <f>": "&amp;TEXT(INPUT!$B$36,"dd mmmm yyyy")&amp;" s/d "&amp;TEXT(INPUT!$B$37,"dd mmmm yyyy")</f>
      </c>
      <c r="E21" s="121"/>
      <c r="F21" s="121"/>
      <c r="G21" s="121"/>
      <c r="H21" s="121"/>
      <c r="I21" s="121"/>
      <c r="J21" s="121"/>
      <c r="K21" s="121"/>
      <c r="L21" s="121"/>
      <c r="M21" s="90" t="s">
        <v>176</v>
      </c>
      <c r="N21" s="92">
        <f>SUMPRODUCT(INDEX(ITEM!$G$4:$J$103,0,2),ITEM!$E$4:$E$103)</f>
      </c>
    </row>
    <row r="22" spans="1:14" ht="13.05" customHeight="1" x14ac:dyDescent="0.45">
      <c r="A22" s="10">
        <v>3</v>
      </c>
      <c r="B22" s="130" t="s">
        <v>142</v>
      </c>
      <c r="C22" s="178"/>
      <c r="D22" s="130">
        <f>": Rp "&amp;HELPER!$H$28&amp;" (Exclude PPN)"</f>
      </c>
      <c r="E22" s="121"/>
      <c r="F22" s="121"/>
      <c r="G22" s="121"/>
      <c r="H22" s="121"/>
      <c r="I22" s="121"/>
      <c r="J22" s="121"/>
      <c r="K22" s="121"/>
      <c r="L22" s="121"/>
      <c r="M22" s="90" t="s">
        <v>177</v>
      </c>
      <c r="N22" s="92">
        <f>SUMPRODUCT(INDEX(ITEM!$G$4:$J$103,0,3),ITEM!$E$4:$E$103)</f>
      </c>
    </row>
    <row r="23" spans="1:14" ht="13.05" customHeight="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90" t="s">
        <v>178</v>
      </c>
      <c r="N23" s="92">
        <f>SUMPRODUCT(INDEX(ITEM!$G$4:$J$103,0,4),ITEM!$E$4:$E$103)</f>
      </c>
    </row>
    <row r="24" spans="1:14" ht="14" customHeight="1" x14ac:dyDescent="0.45">
      <c r="A24" s="177" cm="1">
        <f t="array" ref="A24">IF($N$2="","","Menyatakan bahwa prestasi Pihak Kedua s/d tanggal "&amp;TEXT($N$2,"dd mmmm yyyy")&amp;" telah mencapai "&amp;TEXT($N$16,"0.00%")&amp;" sesuai dengan Berita Acara Penerimaan Material Nomor : "&amp;INDEX(INPUT!$C$55:$C$58,$N$1)&amp;" pada tanggal "&amp;TEXT($N$2,"dd mmmm yyyy")&amp;". Maka Pihak Kedua berhak menerima pembayaran dengan perincian sebagai berikut :")</f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2"/>
      <c r="N24" s="2"/>
    </row>
    <row r="25" spans="1:14" ht="14" customHeight="1" x14ac:dyDescent="0.4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2"/>
      <c r="N25" s="2"/>
    </row>
    <row r="26" spans="1:14" ht="13.05" customHeight="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90" t="s">
        <v>179</v>
      </c>
      <c r="N26" s="2"/>
    </row>
    <row r="27" spans="1:14" ht="13.05" customHeight="1" x14ac:dyDescent="0.45">
      <c r="A27" s="3" t="s">
        <v>180</v>
      </c>
      <c r="B27" s="175" t="s">
        <v>181</v>
      </c>
      <c r="C27" s="153"/>
      <c r="D27" s="153"/>
      <c r="E27" s="153"/>
      <c r="F27" s="3"/>
      <c r="G27" s="3"/>
      <c r="H27" s="3"/>
      <c r="I27" s="3"/>
      <c r="J27" s="3"/>
      <c r="K27" s="3"/>
      <c r="L27" s="3"/>
      <c r="M27" s="90" t="s">
        <v>182</v>
      </c>
      <c r="N27" s="92">
        <f>COUNT(INDEX(ITEM!$O$4:$R$103,0,$N$1))</f>
      </c>
    </row>
    <row r="28" spans="1:14" ht="13.05" customHeight="1" x14ac:dyDescent="0.45">
      <c r="A28" s="3"/>
      <c r="B28" s="153" t="s">
        <v>183</v>
      </c>
      <c r="C28" s="153"/>
      <c r="D28" s="153"/>
      <c r="E28" s="3" t="s">
        <v>159</v>
      </c>
      <c r="F28" s="14">
        <f>$N$16</f>
      </c>
      <c r="G28" s="3" t="s">
        <v>184</v>
      </c>
      <c r="H28" s="3" t="s">
        <v>185</v>
      </c>
      <c r="I28" s="17">
        <f>ITEM!$C$107</f>
      </c>
      <c r="J28" s="11" t="s">
        <v>186</v>
      </c>
      <c r="K28" s="17">
        <f>ROUND(F28*I28,0)</f>
      </c>
      <c r="L28" s="3"/>
      <c r="M28" s="90" t="s">
        <v>187</v>
      </c>
      <c r="N28" s="92">
        <f>IFERROR(INDEX(ITEM!$B$4:$B$103,MATCH(LARGE(INDEX(ITEM!$O$4:$R$103,0,$N$1),1),INDEX(ITEM!$O$4:$R$103,0,$N$1),0)),"")</f>
      </c>
    </row>
    <row r="29" spans="1:14" ht="13.05" customHeight="1" x14ac:dyDescent="0.45">
      <c r="A29" s="3"/>
      <c r="B29" s="153" t="s">
        <v>188</v>
      </c>
      <c r="C29" s="153"/>
      <c r="D29" s="153"/>
      <c r="E29" s="3" t="s">
        <v>159</v>
      </c>
      <c r="F29" s="14">
        <f>$N$17</f>
      </c>
      <c r="G29" s="3" t="s">
        <v>184</v>
      </c>
      <c r="H29" s="3" t="s">
        <v>185</v>
      </c>
      <c r="I29" s="17">
        <f>ITEM!$C$107</f>
      </c>
      <c r="J29" s="11" t="s">
        <v>186</v>
      </c>
      <c r="K29" s="17">
        <f>ROUND(F29*I29,0)</f>
      </c>
      <c r="L29" s="3"/>
      <c r="M29" s="90" t="s">
        <v>189</v>
      </c>
      <c r="N29" s="92">
        <f>IFERROR(INDEX(ITEM!$B$4:$B$103,MATCH(LARGE(INDEX(ITEM!$O$4:$R$103,0,$N$1),2),INDEX(ITEM!$O$4:$R$103,0,$N$1),0)),"")</f>
      </c>
    </row>
    <row r="30" spans="1:14" ht="13.05" customHeight="1" x14ac:dyDescent="0.45">
      <c r="A30" s="3"/>
      <c r="B30" s="153" t="s">
        <v>190</v>
      </c>
      <c r="C30" s="153"/>
      <c r="D30" s="153"/>
      <c r="E30" s="3" t="s">
        <v>159</v>
      </c>
      <c r="F30" s="14">
        <f>$N$18</f>
      </c>
      <c r="G30" s="3" t="s">
        <v>184</v>
      </c>
      <c r="H30" s="3" t="s">
        <v>185</v>
      </c>
      <c r="I30" s="17">
        <f>ITEM!$C$107</f>
      </c>
      <c r="J30" s="11" t="s">
        <v>186</v>
      </c>
      <c r="K30" s="17">
        <f>K28-K29</f>
      </c>
      <c r="L30" s="3"/>
      <c r="M30" s="90" t="s">
        <v>191</v>
      </c>
      <c r="N30" s="92">
        <f>IFERROR(INDEX(ITEM!$B$4:$B$103,MATCH(LARGE(INDEX(ITEM!$O$4:$R$103,0,$N$1),3),INDEX(ITEM!$O$4:$R$103,0,$N$1),0)),"")</f>
      </c>
    </row>
    <row r="31" spans="1:14" ht="13.05" customHeight="1" x14ac:dyDescent="0.45">
      <c r="A31" s="3"/>
      <c r="B31" s="3"/>
      <c r="C31" s="3"/>
      <c r="D31" s="3"/>
      <c r="E31" s="3"/>
      <c r="F31" s="14"/>
      <c r="G31" s="3"/>
      <c r="H31" s="3"/>
      <c r="I31" s="15"/>
      <c r="J31" s="3"/>
      <c r="K31" s="31" t="s">
        <v>185</v>
      </c>
      <c r="L31" s="18">
        <f>K30</f>
      </c>
      <c r="M31" s="90" t="s">
        <v>192</v>
      </c>
      <c r="N31" s="92">
        <f>IF($N$27=0,"-",_xlfn.TEXTJOIN(", ",TRUE,$N$28:$N$30)&amp;IF($N$27&gt;3,", dll.",""))</f>
      </c>
    </row>
    <row r="32" spans="1:14" ht="13.05" customHeight="1" x14ac:dyDescent="0.45">
      <c r="A32" s="3" t="s">
        <v>193</v>
      </c>
      <c r="B32" s="175" t="s">
        <v>194</v>
      </c>
      <c r="C32" s="153"/>
      <c r="D32" s="153"/>
      <c r="E32" s="153"/>
      <c r="F32" s="14"/>
      <c r="G32" s="3"/>
      <c r="H32" s="3"/>
      <c r="I32" s="15"/>
      <c r="J32" s="3"/>
      <c r="K32" s="15"/>
      <c r="L32" s="15"/>
      <c r="M32" s="2"/>
      <c r="N32" s="2"/>
    </row>
    <row r="33" spans="1:14" ht="13.05" customHeight="1" x14ac:dyDescent="0.45">
      <c r="A33" s="3"/>
      <c r="B33" s="153" t="s">
        <v>195</v>
      </c>
      <c r="C33" s="153"/>
      <c r="D33" s="153"/>
      <c r="E33" s="3" t="s">
        <v>159</v>
      </c>
      <c r="F33" s="14">
        <f>INPUT!$B$46</f>
      </c>
      <c r="G33" s="3" t="s">
        <v>184</v>
      </c>
      <c r="H33" s="3" t="s">
        <v>185</v>
      </c>
      <c r="I33" s="17">
        <f>$K$28</f>
      </c>
      <c r="J33" s="11" t="s">
        <v>186</v>
      </c>
      <c r="K33" s="17">
        <f>ROUND(F33*I33,0)</f>
      </c>
      <c r="L33" s="15"/>
      <c r="M33" s="2"/>
      <c r="N33" s="2"/>
    </row>
    <row r="34" spans="1:14" ht="13.05" customHeight="1" x14ac:dyDescent="0.45">
      <c r="A34" s="3"/>
      <c r="B34" s="153" t="s">
        <v>196</v>
      </c>
      <c r="C34" s="153"/>
      <c r="D34" s="153"/>
      <c r="E34" s="3" t="s">
        <v>159</v>
      </c>
      <c r="F34" s="14">
        <f>INPUT!$B$46*$N$17</f>
      </c>
      <c r="G34" s="3" t="s">
        <v>184</v>
      </c>
      <c r="H34" s="3" t="s">
        <v>185</v>
      </c>
      <c r="I34" s="17">
        <f>$K$29</f>
      </c>
      <c r="J34" s="11" t="s">
        <v>186</v>
      </c>
      <c r="K34" s="17">
        <f>ROUND(F34*I34,0)</f>
      </c>
      <c r="L34" s="15"/>
      <c r="M34" s="2"/>
      <c r="N34" s="2"/>
    </row>
    <row r="35" spans="1:14" ht="13.05" customHeight="1" x14ac:dyDescent="0.45">
      <c r="A35" s="3"/>
      <c r="B35" s="153" t="s">
        <v>197</v>
      </c>
      <c r="C35" s="153"/>
      <c r="D35" s="153"/>
      <c r="E35" s="3" t="s">
        <v>159</v>
      </c>
      <c r="F35" s="14">
        <f>F33-F34</f>
      </c>
      <c r="G35" s="3" t="s">
        <v>184</v>
      </c>
      <c r="H35" s="3" t="s">
        <v>185</v>
      </c>
      <c r="I35" s="17">
        <f>$K$30</f>
      </c>
      <c r="J35" s="11" t="s">
        <v>186</v>
      </c>
      <c r="K35" s="17">
        <f>K33-K34</f>
      </c>
      <c r="L35" s="15"/>
      <c r="M35" s="2"/>
      <c r="N35" s="2"/>
    </row>
    <row r="36" spans="1:14" ht="13.05" customHeight="1" x14ac:dyDescent="0.45">
      <c r="A36" s="3"/>
      <c r="B36" s="3"/>
      <c r="C36" s="3"/>
      <c r="D36" s="3"/>
      <c r="E36" s="3"/>
      <c r="F36" s="14"/>
      <c r="G36" s="3"/>
      <c r="H36" s="3"/>
      <c r="I36" s="15"/>
      <c r="J36" s="3"/>
      <c r="K36" s="31" t="s">
        <v>185</v>
      </c>
      <c r="L36" s="18">
        <f>K35</f>
      </c>
      <c r="M36" s="2"/>
      <c r="N36" s="2"/>
    </row>
    <row r="37" spans="1:14" ht="13.05" customHeight="1" x14ac:dyDescent="0.45">
      <c r="A37" s="3" t="s">
        <v>198</v>
      </c>
      <c r="B37" s="175" t="s">
        <v>199</v>
      </c>
      <c r="C37" s="153"/>
      <c r="D37" s="153"/>
      <c r="E37" s="153"/>
      <c r="F37" s="14"/>
      <c r="G37" s="3"/>
      <c r="H37" s="3"/>
      <c r="I37" s="15"/>
      <c r="J37" s="3"/>
      <c r="K37" s="15"/>
      <c r="L37" s="15"/>
      <c r="M37" s="2"/>
      <c r="N37" s="2"/>
    </row>
    <row r="38" spans="1:14" ht="13.05" customHeight="1" x14ac:dyDescent="0.45">
      <c r="A38" s="3"/>
      <c r="B38" s="153" t="s">
        <v>200</v>
      </c>
      <c r="C38" s="153"/>
      <c r="D38" s="153"/>
      <c r="E38" s="3" t="s">
        <v>159</v>
      </c>
      <c r="F38" s="14">
        <f>INPUT!$B$47</f>
      </c>
      <c r="G38" s="3" t="s">
        <v>184</v>
      </c>
      <c r="H38" s="3" t="s">
        <v>185</v>
      </c>
      <c r="I38" s="17">
        <f>$K$28</f>
      </c>
      <c r="J38" s="11" t="s">
        <v>186</v>
      </c>
      <c r="K38" s="17">
        <f>ROUND(F38*I38,0)</f>
      </c>
      <c r="L38" s="15"/>
      <c r="M38" s="2"/>
      <c r="N38" s="2"/>
    </row>
    <row r="39" spans="1:14" ht="13.05" customHeight="1" x14ac:dyDescent="0.45">
      <c r="A39" s="3"/>
      <c r="B39" s="153" t="s">
        <v>201</v>
      </c>
      <c r="C39" s="153"/>
      <c r="D39" s="153"/>
      <c r="E39" s="3" t="s">
        <v>159</v>
      </c>
      <c r="F39" s="14">
        <f>INPUT!$B$47*$N$17</f>
      </c>
      <c r="G39" s="3" t="s">
        <v>184</v>
      </c>
      <c r="H39" s="3" t="s">
        <v>185</v>
      </c>
      <c r="I39" s="17">
        <f>$K$29</f>
      </c>
      <c r="J39" s="11" t="s">
        <v>186</v>
      </c>
      <c r="K39" s="17">
        <f>ROUND(F39*I39,0)</f>
      </c>
      <c r="L39" s="15"/>
      <c r="M39" s="2"/>
      <c r="N39" s="2"/>
    </row>
    <row r="40" spans="1:14" ht="13.05" customHeight="1" x14ac:dyDescent="0.45">
      <c r="A40" s="3"/>
      <c r="B40" s="153" t="s">
        <v>202</v>
      </c>
      <c r="C40" s="153"/>
      <c r="D40" s="153"/>
      <c r="E40" s="3" t="s">
        <v>159</v>
      </c>
      <c r="F40" s="14">
        <f>F38-F39</f>
      </c>
      <c r="G40" s="3" t="s">
        <v>184</v>
      </c>
      <c r="H40" s="3" t="s">
        <v>185</v>
      </c>
      <c r="I40" s="17">
        <f>$K$30</f>
      </c>
      <c r="J40" s="11" t="s">
        <v>186</v>
      </c>
      <c r="K40" s="17">
        <f>K38-K39</f>
      </c>
      <c r="L40" s="15"/>
      <c r="M40" s="2"/>
      <c r="N40" s="2"/>
    </row>
    <row r="41" spans="1:14" ht="13.05" customHeight="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29" t="s">
        <v>185</v>
      </c>
      <c r="L41" s="18">
        <f>K40</f>
      </c>
      <c r="M41" s="2"/>
      <c r="N41" s="2"/>
    </row>
    <row r="42" spans="1:14" ht="13.05" customHeight="1" thickBo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5"/>
      <c r="M42" s="2"/>
      <c r="N42" s="2"/>
    </row>
    <row r="43" spans="1:14" ht="13.05" customHeight="1" thickBot="1" x14ac:dyDescent="0.5">
      <c r="A43" s="3"/>
      <c r="B43" s="179" t="s">
        <v>203</v>
      </c>
      <c r="C43" s="179"/>
      <c r="D43" s="179"/>
      <c r="E43" s="179"/>
      <c r="F43" s="179"/>
      <c r="G43" s="179"/>
      <c r="H43" s="179"/>
      <c r="I43" s="179"/>
      <c r="J43" s="179"/>
      <c r="K43" s="34" t="s">
        <v>185</v>
      </c>
      <c r="L43" s="35">
        <f>L31-L36-L41</f>
      </c>
      <c r="M43" s="2"/>
      <c r="N43" s="2"/>
    </row>
    <row r="44" spans="1:14" ht="13.05" customHeight="1" thickBot="1" x14ac:dyDescent="0.5">
      <c r="A44" s="3"/>
      <c r="B44" s="33"/>
      <c r="C44" s="36"/>
      <c r="D44" s="36"/>
      <c r="E44" s="36"/>
      <c r="F44" s="36"/>
      <c r="G44" s="36"/>
      <c r="H44" s="36"/>
      <c r="I44" s="36"/>
      <c r="J44" s="36"/>
      <c r="K44" s="36"/>
      <c r="L44" s="37"/>
      <c r="M44" s="2"/>
      <c r="N44" s="2"/>
    </row>
    <row r="45" spans="1:14" ht="13.05" customHeight="1" thickBot="1" x14ac:dyDescent="0.5">
      <c r="A45" s="3"/>
      <c r="B45" s="179" t="s">
        <v>204</v>
      </c>
      <c r="C45" s="179"/>
      <c r="D45" s="179"/>
      <c r="E45" s="179"/>
      <c r="F45" s="179"/>
      <c r="G45" s="179"/>
      <c r="H45" s="179"/>
      <c r="I45" s="179"/>
      <c r="J45" s="179"/>
      <c r="K45" s="34" t="s">
        <v>185</v>
      </c>
      <c r="L45" s="35">
        <f>ROUND(L43*INPUT!$B$45,0)</f>
      </c>
      <c r="M45" s="2"/>
      <c r="N45" s="2"/>
    </row>
    <row r="46" spans="1:14" ht="13.05" customHeight="1" thickBot="1" x14ac:dyDescent="0.5">
      <c r="A46" s="3"/>
      <c r="B46" s="33"/>
      <c r="C46" s="36"/>
      <c r="D46" s="36"/>
      <c r="E46" s="36"/>
      <c r="F46" s="36"/>
      <c r="G46" s="36"/>
      <c r="H46" s="36"/>
      <c r="I46" s="36"/>
      <c r="J46" s="36"/>
      <c r="K46" s="36"/>
      <c r="L46" s="37"/>
      <c r="M46" s="2"/>
      <c r="N46" s="2"/>
    </row>
    <row r="47" spans="1:14" ht="13.05" customHeight="1" thickBot="1" x14ac:dyDescent="0.5">
      <c r="A47" s="3"/>
      <c r="B47" s="179" t="s">
        <v>104</v>
      </c>
      <c r="C47" s="179"/>
      <c r="D47" s="179"/>
      <c r="E47" s="179"/>
      <c r="F47" s="179"/>
      <c r="G47" s="179"/>
      <c r="H47" s="179"/>
      <c r="I47" s="179"/>
      <c r="J47" s="179"/>
      <c r="K47" s="34" t="s">
        <v>185</v>
      </c>
      <c r="L47" s="35">
        <f>L43+L45</f>
      </c>
      <c r="M47" s="2"/>
      <c r="N47" s="2"/>
    </row>
    <row r="48" spans="1:14" ht="13.05" customHeight="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2"/>
      <c r="N48" s="2"/>
    </row>
    <row r="49" spans="1:14" ht="20" customHeight="1" x14ac:dyDescent="0.45">
      <c r="A49" s="180" t="s">
        <v>105</v>
      </c>
      <c r="B49" s="121"/>
      <c r="C49" s="181">
        <f>": "&amp;$N$14</f>
      </c>
      <c r="D49" s="121"/>
      <c r="E49" s="121"/>
      <c r="F49" s="121"/>
      <c r="G49" s="121"/>
      <c r="H49" s="121"/>
      <c r="I49" s="121"/>
      <c r="J49" s="121"/>
      <c r="K49" s="121"/>
      <c r="L49" s="121"/>
      <c r="M49" s="2"/>
      <c r="N49" s="2"/>
    </row>
    <row r="50" spans="1:14" ht="13.05" customHeight="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2"/>
      <c r="N50" s="2"/>
    </row>
    <row r="51" spans="1:14" ht="13.05" customHeight="1" x14ac:dyDescent="0.45">
      <c r="A51" s="153" t="s">
        <v>205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2"/>
      <c r="N51" s="2"/>
    </row>
    <row r="52" spans="1:14" ht="13.05" customHeight="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2"/>
      <c r="N52" s="2"/>
    </row>
    <row r="53" spans="1:14" ht="13.05" customHeight="1" x14ac:dyDescent="0.45">
      <c r="A53" s="3"/>
      <c r="B53" s="3"/>
      <c r="C53" s="161" t="s">
        <v>206</v>
      </c>
      <c r="D53" s="161"/>
      <c r="E53" s="161"/>
      <c r="F53" s="161"/>
      <c r="G53" s="3"/>
      <c r="H53" s="3"/>
      <c r="I53" s="161" t="s">
        <v>207</v>
      </c>
      <c r="J53" s="161"/>
      <c r="K53" s="161"/>
      <c r="L53" s="161"/>
      <c r="M53" s="2"/>
      <c r="N53" s="2"/>
    </row>
    <row r="54" spans="1:14" ht="13.05" customHeight="1" x14ac:dyDescent="0.45">
      <c r="A54" s="3"/>
      <c r="B54" s="3"/>
      <c r="C54" s="161">
        <f>UPPER(INPUT!$B$24)</f>
      </c>
      <c r="D54" s="161"/>
      <c r="E54" s="161"/>
      <c r="F54" s="161"/>
      <c r="G54" s="3"/>
      <c r="H54" s="3"/>
      <c r="I54" s="161">
        <f>UPPER(INPUT!$B$6)</f>
      </c>
      <c r="J54" s="161"/>
      <c r="K54" s="161"/>
      <c r="L54" s="161"/>
      <c r="M54" s="2"/>
      <c r="N54" s="2"/>
    </row>
    <row r="55" spans="1:14" ht="30" customHeight="1" x14ac:dyDescent="0.45">
      <c r="A55" s="3"/>
      <c r="B55" s="3"/>
      <c r="C55" s="10"/>
      <c r="D55" s="3"/>
      <c r="E55" s="3"/>
      <c r="F55" s="3"/>
      <c r="G55" s="3"/>
      <c r="H55" s="3"/>
      <c r="I55" s="10"/>
      <c r="J55" s="3"/>
      <c r="K55" s="3"/>
      <c r="L55" s="3"/>
      <c r="M55" s="2"/>
      <c r="N55" s="2"/>
    </row>
    <row r="56" spans="1:14" ht="30" customHeight="1" x14ac:dyDescent="0.45">
      <c r="A56" s="3"/>
      <c r="B56" s="3"/>
      <c r="C56" s="10"/>
      <c r="D56" s="3"/>
      <c r="E56" s="3"/>
      <c r="F56" s="3"/>
      <c r="G56" s="3"/>
      <c r="H56" s="3"/>
      <c r="I56" s="10"/>
      <c r="J56" s="3"/>
      <c r="K56" s="3"/>
      <c r="L56" s="3"/>
      <c r="M56" s="2"/>
      <c r="N56" s="2"/>
    </row>
    <row r="57" spans="1:14" ht="30" customHeight="1" x14ac:dyDescent="0.45">
      <c r="A57" s="3"/>
      <c r="B57" s="3"/>
      <c r="C57" s="10"/>
      <c r="D57" s="3"/>
      <c r="E57" s="3"/>
      <c r="F57" s="3"/>
      <c r="G57" s="3"/>
      <c r="H57" s="3"/>
      <c r="I57" s="10"/>
      <c r="J57" s="3"/>
      <c r="K57" s="3"/>
      <c r="L57" s="3"/>
      <c r="M57" s="2"/>
      <c r="N57" s="2"/>
    </row>
    <row r="58" spans="1:14" ht="13.05" customHeight="1" x14ac:dyDescent="0.45">
      <c r="A58" s="3"/>
      <c r="B58" s="3"/>
      <c r="C58" s="168">
        <f>INPUT!$B$23</f>
      </c>
      <c r="D58" s="168"/>
      <c r="E58" s="168"/>
      <c r="F58" s="168"/>
      <c r="G58" s="3"/>
      <c r="H58" s="3"/>
      <c r="I58" s="168">
        <f>INPUT!$B$19</f>
      </c>
      <c r="J58" s="168"/>
      <c r="K58" s="168"/>
      <c r="L58" s="168"/>
      <c r="M58" s="2"/>
      <c r="N58" s="2"/>
    </row>
    <row r="59" spans="1:14" ht="13.05" customHeight="1" x14ac:dyDescent="0.45">
      <c r="A59" s="3"/>
      <c r="B59" s="3"/>
      <c r="C59" s="162" t="s">
        <v>120</v>
      </c>
      <c r="D59" s="162"/>
      <c r="E59" s="162"/>
      <c r="F59" s="162"/>
      <c r="G59" s="3"/>
      <c r="H59" s="3"/>
      <c r="I59" s="162">
        <f>INPUT!$B$20</f>
      </c>
      <c r="J59" s="162"/>
      <c r="K59" s="162"/>
      <c r="L59" s="162"/>
      <c r="M59" s="2"/>
      <c r="N59" s="2"/>
    </row>
    <row r="60" spans="1:14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43">
    <mergeCell ref="A49:B49"/>
    <mergeCell ref="C49:L49"/>
    <mergeCell ref="C58:F58"/>
    <mergeCell ref="I58:L58"/>
    <mergeCell ref="C59:F59"/>
    <mergeCell ref="I59:L59"/>
    <mergeCell ref="A51:L51"/>
    <mergeCell ref="C53:F53"/>
    <mergeCell ref="I53:L53"/>
    <mergeCell ref="C54:F54"/>
    <mergeCell ref="I54:L54"/>
    <mergeCell ref="B47:J47"/>
    <mergeCell ref="B30:D30"/>
    <mergeCell ref="B32:E32"/>
    <mergeCell ref="B33:D33"/>
    <mergeCell ref="B34:D34"/>
    <mergeCell ref="B35:D35"/>
    <mergeCell ref="B37:E37"/>
    <mergeCell ref="B38:D38"/>
    <mergeCell ref="B39:D39"/>
    <mergeCell ref="B40:D40"/>
    <mergeCell ref="B43:J43"/>
    <mergeCell ref="B45:J45"/>
    <mergeCell ref="B29:D29"/>
    <mergeCell ref="B13:E13"/>
    <mergeCell ref="G13:L15"/>
    <mergeCell ref="A17:L18"/>
    <mergeCell ref="B22:C22"/>
    <mergeCell ref="D22:L22"/>
    <mergeCell ref="A24:L25"/>
    <mergeCell ref="B27:E27"/>
    <mergeCell ref="B28:D28"/>
    <mergeCell ref="A1:L1"/>
    <mergeCell ref="A2:L2"/>
    <mergeCell ref="A4:L4"/>
    <mergeCell ref="A5:L5"/>
    <mergeCell ref="A7:L7"/>
    <mergeCell ref="B9:E9"/>
    <mergeCell ref="G9:L11"/>
    <mergeCell ref="B20:C20"/>
    <mergeCell ref="D20:L20"/>
    <mergeCell ref="B21:C21"/>
    <mergeCell ref="D21:L21"/>
  </mergeCells>
  <printOptions horizontalCentered="1"/>
  <pageMargins left="0.34722222222222221" right="0.34722222222222221" top="0.3888888888888889" bottom="0.3888888888888889" header="0.16666666666666666" footer="0.16666666666666666"/>
  <pageSetup paperSize="9" scale="75" orientation="portrait" r:id="rId1"/>
  <headerFooter>
    <oddFooter>&amp;RHal &amp;P dari &amp;N&amp;L&amp;Z&amp;F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B25E-5302-49E3-844B-0E84686A1815}">
  <sheetPr>
    <tabColor rgb="FF008000"/>
  </sheetPr>
  <dimension ref="A1:R7"/>
  <sheetViews>
    <sheetView topLeftCell="J1" workbookViewId="0">
      <selection sqref="A1:F1"/>
    </sheetView>
  </sheetViews>
  <sheetFormatPr defaultRowHeight="14.25" x14ac:dyDescent="0.45"/>
  <cols>
    <col min="1" max="1" width="100.6640625" bestFit="1" customWidth="1"/>
    <col min="2" max="2" width="34.6640625" bestFit="1" customWidth="1"/>
    <col min="3" max="3" width="12.3984375" bestFit="1" customWidth="1"/>
    <col min="4" max="4" width="21.796875" bestFit="1" customWidth="1"/>
    <col min="5" max="5" width="10.6640625" bestFit="1" customWidth="1"/>
    <col min="6" max="6" width="42.46484375" bestFit="1" customWidth="1"/>
    <col min="7" max="7" width="41" bestFit="1" customWidth="1"/>
    <col min="8" max="8" width="14.6640625" bestFit="1" customWidth="1"/>
    <col min="9" max="9" width="24.06640625" bestFit="1" customWidth="1"/>
    <col min="10" max="10" width="19.3984375" bestFit="1" customWidth="1"/>
    <col min="11" max="11" width="21.9296875" bestFit="1" customWidth="1"/>
    <col min="12" max="12" width="19.06640625" bestFit="1" customWidth="1"/>
    <col min="13" max="13" width="25.59765625" bestFit="1" customWidth="1"/>
    <col min="14" max="14" width="13.86328125" bestFit="1" customWidth="1"/>
    <col min="15" max="15" width="8.796875" bestFit="1" customWidth="1"/>
    <col min="16" max="16" width="15.46484375" bestFit="1" customWidth="1"/>
    <col min="17" max="17" width="15.06640625" bestFit="1" customWidth="1"/>
    <col min="18" max="18" width="18.19921875" bestFit="1" customWidth="1"/>
  </cols>
  <sheetData>
    <row r="1" spans="1:18" ht="17.649999999999999" x14ac:dyDescent="0.5">
      <c r="A1" s="57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45">
      <c r="A2" s="58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45">
      <c r="A3" s="95" t="s">
        <v>50</v>
      </c>
      <c r="B3" s="95" t="s">
        <v>210</v>
      </c>
      <c r="C3" s="95" t="s">
        <v>211</v>
      </c>
      <c r="D3" s="95" t="s">
        <v>120</v>
      </c>
      <c r="E3" s="95" t="s">
        <v>65</v>
      </c>
      <c r="F3" s="95" t="s">
        <v>212</v>
      </c>
      <c r="G3" s="95" t="s">
        <v>213</v>
      </c>
      <c r="H3" s="95" t="s">
        <v>214</v>
      </c>
      <c r="I3" s="95" t="s">
        <v>215</v>
      </c>
      <c r="J3" s="95" t="s">
        <v>216</v>
      </c>
      <c r="K3" s="95" t="s">
        <v>217</v>
      </c>
      <c r="L3" s="95" t="s">
        <v>194</v>
      </c>
      <c r="M3" s="95" t="s">
        <v>199</v>
      </c>
      <c r="N3" s="95" t="s">
        <v>218</v>
      </c>
      <c r="O3" s="95" t="s">
        <v>94</v>
      </c>
      <c r="P3" s="95" t="s">
        <v>219</v>
      </c>
      <c r="Q3" s="95" t="s">
        <v>220</v>
      </c>
      <c r="R3" s="95" t="s">
        <v>221</v>
      </c>
    </row>
    <row r="4" spans="1:18" x14ac:dyDescent="0.45">
      <c r="A4" s="2">
        <f>IF($K4=0,"(Belum ada pengiriman)",INPUT!$B$38)</f>
      </c>
      <c r="B4" s="2">
        <f>IF($K4=0,"-",INPUT!$B$35)</f>
      </c>
      <c r="C4" s="2">
        <f>IF($K4=0,"-",INPUT!$B$24)</f>
      </c>
      <c r="D4" s="2">
        <f>IF($K4=0,"",INPUT!$B$23)</f>
      </c>
      <c r="E4" s="2" t="s">
        <v>222</v>
      </c>
      <c r="F4" s="2">
        <f>IF($K4=0,"",INDEX(INPUT!$C$55:$C$58,1))</f>
      </c>
      <c r="G4" s="2">
        <f>IF($K4=0,"",INDEX(INPUT!$D$55:$D$58,1))</f>
      </c>
      <c r="H4" s="96">
        <f>IF($K4=0,"",INDEX(INPUT!$B$55:$B$58,1))</f>
      </c>
      <c r="I4" s="87">
        <f>IF($K4=0,"",ITEM!$C$107)</f>
      </c>
      <c r="J4" s="97">
        <f>IF($K4=0,"",SUM($K$4:$K4)/ITEM!$C$107)</f>
      </c>
      <c r="K4" s="87">
        <f>ROUND(SUMPRODUCT(INDEX(ITEM!$G$4:$J$23,0,1),ITEM!$E$4:$E$23),0)</f>
      </c>
      <c r="L4" s="87">
        <f>IF($K4=0,"",ROUND(INPUT!$B$46*$K4,0))</f>
      </c>
      <c r="M4" s="87">
        <f>IF($K4=0,"",ROUND(INPUT!$B$47*$K4,0))</f>
      </c>
      <c r="N4" s="87">
        <f>IF($K4=0,"",$K4-$L4-$M4)</f>
      </c>
      <c r="O4" s="87">
        <f>IF($K4=0,"",ROUND($N4*INPUT!$B$45,0))</f>
      </c>
      <c r="P4" s="87">
        <f>IF($K4=0,"",$N4+$O4)</f>
      </c>
      <c r="Q4" s="96">
        <f>IF($K4=0,"",INDEX(INPUT!$E$55:$E$58,1))</f>
      </c>
      <c r="R4" s="2">
        <f>IF($K4=0,"Belum ada pengiriman",IF(1&gt;INPUT!$B$48,"Di luar termin","Siap ditagihkan"))</f>
      </c>
    </row>
    <row r="5" spans="1:18" x14ac:dyDescent="0.45">
      <c r="A5" s="2">
        <f>IF($K5=0,"(Belum ada pengiriman)",INPUT!$B$38)</f>
      </c>
      <c r="B5" s="2">
        <f>IF($K5=0,"-",INPUT!$B$35)</f>
      </c>
      <c r="C5" s="2">
        <f>IF($K5=0,"-",INPUT!$B$24)</f>
      </c>
      <c r="D5" s="2">
        <f>IF($K5=0,"",INPUT!$B$23)</f>
      </c>
      <c r="E5" s="2" t="s">
        <v>223</v>
      </c>
      <c r="F5" s="2">
        <f>IF($K5=0,"",INDEX(INPUT!$C$55:$C$58,2))</f>
      </c>
      <c r="G5" s="2">
        <f>IF($K5=0,"",INDEX(INPUT!$D$55:$D$58,2))</f>
      </c>
      <c r="H5" s="96">
        <f>IF($K5=0,"",INDEX(INPUT!$B$55:$B$58,2))</f>
      </c>
      <c r="I5" s="87">
        <f>IF($K5=0,"",ITEM!$C$107)</f>
      </c>
      <c r="J5" s="97">
        <f>IF($K5=0,"",SUM($K$4:$K5)/ITEM!$C$107)</f>
      </c>
      <c r="K5" s="87">
        <f>ROUND(SUMPRODUCT(INDEX(ITEM!$G$4:$J$23,0,2),ITEM!$E$4:$E$23),0)</f>
      </c>
      <c r="L5" s="87">
        <f>IF($K5=0,"",ROUND(INPUT!$B$46*$K5,0))</f>
      </c>
      <c r="M5" s="87">
        <f>IF($K5=0,"",ROUND(INPUT!$B$47*$K5,0))</f>
      </c>
      <c r="N5" s="87">
        <f>IF($K5=0,"",$K5-$L5-$M5)</f>
      </c>
      <c r="O5" s="87">
        <f>IF($K5=0,"",ROUND($N5*INPUT!$B$45,0))</f>
      </c>
      <c r="P5" s="87">
        <f>IF($K5=0,"",$N5+$O5)</f>
      </c>
      <c r="Q5" s="96">
        <f>IF($K5=0,"",INDEX(INPUT!$E$55:$E$58,2))</f>
      </c>
      <c r="R5" s="2">
        <f>IF($K5=0,"Belum ada pengiriman",IF(2&gt;INPUT!$B$48,"Di luar termin","Siap ditagihkan"))</f>
      </c>
    </row>
    <row r="6" spans="1:18" x14ac:dyDescent="0.45">
      <c r="A6" s="2">
        <f>IF($K6=0,"(Belum ada pengiriman)",INPUT!$B$38)</f>
      </c>
      <c r="B6" s="2">
        <f>IF($K6=0,"-",INPUT!$B$35)</f>
      </c>
      <c r="C6" s="2">
        <f>IF($K6=0,"-",INPUT!$B$24)</f>
      </c>
      <c r="D6" s="2">
        <f>IF($K6=0,"",INPUT!$B$23)</f>
      </c>
      <c r="E6" s="2" t="s">
        <v>224</v>
      </c>
      <c r="F6" s="2">
        <f>IF($K6=0,"",INDEX(INPUT!$C$55:$C$58,3))</f>
      </c>
      <c r="G6" s="2">
        <f>IF($K6=0,"",INDEX(INPUT!$D$55:$D$58,3))</f>
      </c>
      <c r="H6" s="96">
        <f>IF($K6=0,"",INDEX(INPUT!$B$55:$B$58,3))</f>
      </c>
      <c r="I6" s="87">
        <f>IF($K6=0,"",ITEM!$C$107)</f>
      </c>
      <c r="J6" s="97">
        <f>IF($K6=0,"",SUM($K$4:$K6)/ITEM!$C$107)</f>
      </c>
      <c r="K6" s="87">
        <f>ROUND(SUMPRODUCT(INDEX(ITEM!$G$4:$J$23,0,3),ITEM!$E$4:$E$23),0)</f>
      </c>
      <c r="L6" s="87">
        <f>IF($K6=0,"",ROUND(INPUT!$B$46*$K6,0))</f>
      </c>
      <c r="M6" s="87">
        <f>IF($K6=0,"",ROUND(INPUT!$B$47*$K6,0))</f>
      </c>
      <c r="N6" s="87">
        <f>IF($K6=0,"",$K6-$L6-$M6)</f>
      </c>
      <c r="O6" s="87">
        <f>IF($K6=0,"",ROUND($N6*INPUT!$B$45,0))</f>
      </c>
      <c r="P6" s="87">
        <f>IF($K6=0,"",$N6+$O6)</f>
      </c>
      <c r="Q6" s="96">
        <f>IF($K6=0,"",INDEX(INPUT!$E$55:$E$58,3))</f>
      </c>
      <c r="R6" s="2">
        <f>IF($K6=0,"Belum ada pengiriman",IF(3&gt;INPUT!$B$48,"Di luar termin","Siap ditagihkan"))</f>
      </c>
    </row>
    <row r="7" spans="1:18" x14ac:dyDescent="0.45">
      <c r="A7" s="2">
        <f>IF($K7=0,"(Belum ada pengiriman)",INPUT!$B$38)</f>
      </c>
      <c r="B7" s="2">
        <f>IF($K7=0,"-",INPUT!$B$35)</f>
      </c>
      <c r="C7" s="2">
        <f>IF($K7=0,"-",INPUT!$B$24)</f>
      </c>
      <c r="D7" s="2">
        <f>IF($K7=0,"",INPUT!$B$23)</f>
      </c>
      <c r="E7" s="2" t="s">
        <v>225</v>
      </c>
      <c r="F7" s="2">
        <f>IF($K7=0,"",INDEX(INPUT!$C$55:$C$58,4))</f>
      </c>
      <c r="G7" s="2">
        <f>IF($K7=0,"",INDEX(INPUT!$D$55:$D$58,4))</f>
      </c>
      <c r="H7" s="96">
        <f>IF($K7=0,"",INDEX(INPUT!$B$55:$B$58,4))</f>
      </c>
      <c r="I7" s="87">
        <f>IF($K7=0,"",ITEM!$C$107)</f>
      </c>
      <c r="J7" s="97">
        <f>IF($K7=0,"",SUM($K$4:$K7)/ITEM!$C$107)</f>
      </c>
      <c r="K7" s="87">
        <f>ROUND(SUMPRODUCT(INDEX(ITEM!$G$4:$J$23,0,4),ITEM!$E$4:$E$23),0)</f>
      </c>
      <c r="L7" s="87">
        <f>IF($K7=0,"",ROUND(INPUT!$B$46*$K7,0))</f>
      </c>
      <c r="M7" s="87">
        <f>IF($K7=0,"",ROUND(INPUT!$B$47*$K7,0))</f>
      </c>
      <c r="N7" s="87">
        <f>IF($K7=0,"",$K7-$L7-$M7)</f>
      </c>
      <c r="O7" s="87">
        <f>IF($K7=0,"",ROUND($N7*INPUT!$B$45,0))</f>
      </c>
      <c r="P7" s="87">
        <f>IF($K7=0,"",$N7+$O7)</f>
      </c>
      <c r="Q7" s="96">
        <f>IF($K7=0,"",INDEX(INPUT!$E$55:$E$58,4))</f>
      </c>
      <c r="R7" s="2">
        <f>IF($K7=0,"Belum ada pengiriman",IF(4&gt;INPUT!$B$48,"Di luar termin","Siap ditagihkan"))</f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3C1C-DB1A-4175-8AF0-9CE6B2E9C154}">
  <sheetPr>
    <tabColor rgb="FF008000"/>
  </sheetPr>
  <dimension ref="A1:P24"/>
  <sheetViews>
    <sheetView showGridLines="0" workbookViewId="0">
      <selection activeCell="E13" sqref="E13"/>
    </sheetView>
  </sheetViews>
  <sheetFormatPr defaultRowHeight="14.25" x14ac:dyDescent="0.45"/>
  <cols>
    <col min="1" max="1" width="12.46484375" customWidth="1"/>
    <col min="2" max="3" width="44.46484375" customWidth="1"/>
    <col min="4" max="4" width="16.86328125" customWidth="1"/>
    <col min="5" max="6" width="12.46484375" customWidth="1"/>
    <col min="7" max="7" width="14.19921875" customWidth="1"/>
    <col min="8" max="8" width="16.86328125" customWidth="1"/>
    <col min="9" max="9" width="12.46484375" customWidth="1"/>
    <col min="10" max="10" width="14.19921875" customWidth="1"/>
    <col min="11" max="11" width="16.86328125" customWidth="1"/>
    <col min="12" max="12" width="14.19921875" customWidth="1"/>
    <col min="13" max="13" width="17.796875" customWidth="1"/>
    <col min="14" max="14" width="16.86328125" customWidth="1"/>
    <col min="15" max="15" width="21.33203125" customWidth="1"/>
  </cols>
  <sheetData>
    <row r="1" spans="1:16" ht="16.899999999999999" x14ac:dyDescent="0.5">
      <c r="A1" s="98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45">
      <c r="A2" s="99" t="s">
        <v>227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30" customHeight="1" x14ac:dyDescent="0.45">
      <c r="A4" s="100" t="s">
        <v>228</v>
      </c>
      <c r="B4" s="100" t="s">
        <v>229</v>
      </c>
      <c r="C4" s="100" t="s">
        <v>230</v>
      </c>
      <c r="D4" s="100" t="s">
        <v>231</v>
      </c>
      <c r="E4" s="100" t="s">
        <v>232</v>
      </c>
      <c r="F4" s="100" t="s">
        <v>233</v>
      </c>
      <c r="G4" s="100" t="s">
        <v>234</v>
      </c>
      <c r="H4" s="100" t="s">
        <v>235</v>
      </c>
      <c r="I4" s="100" t="s">
        <v>236</v>
      </c>
      <c r="J4" s="100" t="s">
        <v>237</v>
      </c>
      <c r="K4" s="100" t="s">
        <v>238</v>
      </c>
      <c r="L4" s="100" t="s">
        <v>94</v>
      </c>
      <c r="M4" s="100" t="s">
        <v>239</v>
      </c>
      <c r="N4" s="100" t="s">
        <v>240</v>
      </c>
      <c r="O4" s="100" t="s">
        <v>241</v>
      </c>
      <c r="P4" s="101" t="s">
        <v>242</v>
      </c>
    </row>
    <row r="5" spans="1:16" x14ac:dyDescent="0.45">
      <c r="A5" s="45" t="s">
        <v>222</v>
      </c>
      <c r="B5" s="38">
        <f>IF(BAPM!$O$2="","",SUBSTITUTE(BAPM!$A$6,"Nomor : ",""))</f>
      </c>
      <c r="C5" s="38">
        <f>IF(BAP!$N$2="","",SUBSTITUTE(BAP!$A$5,"Nomor : ",""))</f>
      </c>
      <c r="D5" s="39">
        <f>BAPM!$O$2</f>
      </c>
      <c r="E5" s="40">
        <f>BAPM!$H$130</f>
      </c>
      <c r="F5" s="40">
        <f>BAPM!$H$131</f>
      </c>
      <c r="G5" s="40">
        <f>BAPM!$H$129</f>
      </c>
      <c r="H5" s="41">
        <f>BAPM!$K$131</f>
      </c>
      <c r="I5" s="41">
        <f>BAP!$L$36</f>
      </c>
      <c r="J5" s="41">
        <f>BAP!$L$41</f>
      </c>
      <c r="K5" s="41">
        <f>BAP!$L$43</f>
      </c>
      <c r="L5" s="41">
        <f>BAP!$L$45</f>
      </c>
      <c r="M5" s="41">
        <f>BAP!$L$47</f>
      </c>
      <c r="N5" s="39">
        <f>IFERROR(INDEX(INPUT!$E$55:$E$58,1),"")</f>
      </c>
      <c r="O5" s="38">
        <f>IF(1&gt;INPUT!$B$48,"Di luar termin",IF($D5="","Tanggal termin belum diisi",IF($H5=0,"Belum ada pengiriman","Siap ditagihkan")))</f>
      </c>
      <c r="P5" s="102">
        <f>IF($D5="","",TEXT($D5,"mmmm yyyy"))</f>
      </c>
    </row>
    <row r="6" spans="1:16" x14ac:dyDescent="0.45">
      <c r="A6" s="45" t="s">
        <v>223</v>
      </c>
      <c r="B6" s="38">
        <f>IF(BAPM!$O$2="","",SUBSTITUTE(BAPM!$A$6,"Nomor : ",""))</f>
      </c>
      <c r="C6" s="38">
        <f>IF(BAP!$N$2="","",SUBSTITUTE(BAP!$A$5,"Nomor : ",""))</f>
      </c>
      <c r="D6" s="39">
        <f>BAPM!$O$2</f>
      </c>
      <c r="E6" s="40">
        <f>'BAPM 2'!$H$130</f>
      </c>
      <c r="F6" s="40">
        <f>'BAPM 2'!$H$131</f>
      </c>
      <c r="G6" s="40">
        <f>'BAPM 2'!$H$129</f>
      </c>
      <c r="H6" s="41">
        <f>'BAPM 2'!$K$131</f>
      </c>
      <c r="I6" s="41">
        <f>'BAP 2'!$L$36</f>
      </c>
      <c r="J6" s="41">
        <f>'BAP 2'!$L$41</f>
      </c>
      <c r="K6" s="41">
        <f>'BAP 2'!$L$43</f>
      </c>
      <c r="L6" s="41">
        <f>'BAP 2'!$L$45</f>
      </c>
      <c r="M6" s="41">
        <f>'BAP 2'!$L$47</f>
      </c>
      <c r="N6" s="39">
        <f>IFERROR(INDEX(INPUT!$E$55:$E$58,2),"")</f>
      </c>
      <c r="O6" s="38">
        <f>IF(2&gt;INPUT!$B$48,"Di luar termin",IF($D6="","Tanggal termin belum diisi",IF($H6=0,"Belum ada pengiriman","Siap ditagihkan")))</f>
      </c>
      <c r="P6" s="102">
        <f>IF($D6="","",TEXT($D6,"mmmm yyyy"))</f>
      </c>
    </row>
    <row r="7" spans="1:16" x14ac:dyDescent="0.45">
      <c r="A7" s="45" t="s">
        <v>224</v>
      </c>
      <c r="B7" s="38">
        <f>IF(BAPM!$O$2="","",SUBSTITUTE(BAPM!$A$6,"Nomor : ",""))</f>
      </c>
      <c r="C7" s="38">
        <f>IF(BAP!$N$2="","",SUBSTITUTE(BAP!$A$5,"Nomor : ",""))</f>
      </c>
      <c r="D7" s="39">
        <f>BAPM!$O$2</f>
      </c>
      <c r="E7" s="40">
        <f>'BAPM 3'!$H$130</f>
      </c>
      <c r="F7" s="40">
        <f>'BAPM 3'!$H$131</f>
      </c>
      <c r="G7" s="40">
        <f>'BAPM 3'!$H$129</f>
      </c>
      <c r="H7" s="41">
        <f>'BAPM 3'!$K$131</f>
      </c>
      <c r="I7" s="41">
        <f>'BAP 3'!$L$36</f>
      </c>
      <c r="J7" s="41">
        <f>'BAP 3'!$L$41</f>
      </c>
      <c r="K7" s="41">
        <f>'BAP 3'!$L$43</f>
      </c>
      <c r="L7" s="41">
        <f>'BAP 3'!$L$45</f>
      </c>
      <c r="M7" s="41">
        <f>'BAP 3'!$L$47</f>
      </c>
      <c r="N7" s="39">
        <f>IFERROR(INDEX(INPUT!$E$55:$E$58,3),"")</f>
      </c>
      <c r="O7" s="38">
        <f>IF(3&gt;INPUT!$B$48,"Di luar termin",IF($D7="","Tanggal termin belum diisi",IF($H7=0,"Belum ada pengiriman","Siap ditagihkan")))</f>
      </c>
      <c r="P7" s="102">
        <f>IF($D7="","",TEXT($D7,"mmmm yyyy"))</f>
      </c>
    </row>
    <row r="8" spans="1:16" x14ac:dyDescent="0.45">
      <c r="A8" s="45" t="s">
        <v>225</v>
      </c>
      <c r="B8" s="38">
        <f>IF('BAPM 4'!$O$2="","",SUBSTITUTE('BAPM 4'!$A$6,"Nomor : ",""))</f>
      </c>
      <c r="C8" s="38">
        <f>IF('BAP 4'!$N$2="","",SUBSTITUTE('BAP 4'!$A$5,"Nomor : ",""))</f>
      </c>
      <c r="D8" s="39">
        <f>'BAPM 4'!$O$2</f>
      </c>
      <c r="E8" s="40">
        <f>'BAPM 4'!$H$130</f>
      </c>
      <c r="F8" s="40">
        <f>'BAPM 4'!$H$131</f>
      </c>
      <c r="G8" s="40">
        <f>'BAPM 4'!$H$129</f>
      </c>
      <c r="H8" s="41">
        <f>'BAPM 4'!$K$131</f>
      </c>
      <c r="I8" s="41">
        <f>'BAP 4'!$L$36</f>
      </c>
      <c r="J8" s="41">
        <f>'BAP 4'!$L$41</f>
      </c>
      <c r="K8" s="41">
        <f>'BAP 4'!$L$43</f>
      </c>
      <c r="L8" s="41">
        <f>'BAP 4'!$L$45</f>
      </c>
      <c r="M8" s="41">
        <f>'BAP 4'!$L$47</f>
      </c>
      <c r="N8" s="39">
        <f>IFERROR(INDEX(INPUT!$E$55:$E$58,4),"")</f>
      </c>
      <c r="O8" s="38">
        <f>IF(4&gt;INPUT!$B$48,"Di luar termin",IF($D8="","Tanggal termin belum diisi",IF($H8=0,"Belum ada pengiriman","Siap ditagihkan")))</f>
      </c>
      <c r="P8" s="102">
        <f>IF($D8="","",TEXT($D8,"mmmm yyyy"))</f>
      </c>
    </row>
    <row r="9" spans="1:16" x14ac:dyDescent="0.45">
      <c r="A9" s="42" t="s">
        <v>104</v>
      </c>
      <c r="B9" s="42"/>
      <c r="C9" s="42"/>
      <c r="D9" s="42"/>
      <c r="E9" s="43"/>
      <c r="F9" s="43"/>
      <c r="G9" s="43"/>
      <c r="H9" s="44">
        <f t="shared" ref="H9:M9" si="0">SUM(H5:H8)</f>
      </c>
      <c r="I9" s="44">
        <f t="shared" si="0"/>
      </c>
      <c r="J9" s="44">
        <f t="shared" si="0"/>
      </c>
      <c r="K9" s="44">
        <f t="shared" si="0"/>
      </c>
      <c r="L9" s="44">
        <f t="shared" si="0"/>
      </c>
      <c r="M9" s="44">
        <f t="shared" si="0"/>
      </c>
      <c r="N9" s="42"/>
      <c r="O9" s="42"/>
      <c r="P9" s="2"/>
    </row>
    <row r="10" spans="1:16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45">
      <c r="A11" s="46" t="s">
        <v>243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45">
      <c r="A12" s="20" t="s">
        <v>93</v>
      </c>
      <c r="B12" s="30"/>
      <c r="C12" s="48">
        <f>ITEM!$C$107</f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45">
      <c r="A13" s="20" t="s">
        <v>244</v>
      </c>
      <c r="B13" s="30"/>
      <c r="C13" s="48">
        <f>$H$9</f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45">
      <c r="A14" s="20" t="s">
        <v>245</v>
      </c>
      <c r="B14" s="30"/>
      <c r="C14" s="48">
        <f>$C$12-$C$13</f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45">
      <c r="A15" s="20" t="s">
        <v>246</v>
      </c>
      <c r="B15" s="47"/>
      <c r="C15" s="49">
        <f>IF($C$12=0,0,$C$13/$C$12)</f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45">
      <c r="A16" s="20" t="s">
        <v>247</v>
      </c>
      <c r="B16" s="30"/>
      <c r="C16" s="48">
        <f>$L$9</f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45">
      <c r="A17" s="20" t="s">
        <v>248</v>
      </c>
      <c r="B17" s="30"/>
      <c r="C17" s="48">
        <f>$M$9</f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45">
      <c r="A19" s="46" t="s">
        <v>249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45">
      <c r="A20" s="103" t="s">
        <v>250</v>
      </c>
      <c r="B20" s="103" t="s">
        <v>251</v>
      </c>
      <c r="C20" s="103" t="s">
        <v>238</v>
      </c>
      <c r="D20" s="103" t="s">
        <v>94</v>
      </c>
      <c r="E20" s="103" t="s">
        <v>239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45">
      <c r="A21" s="38">
        <f>IF($P$5="","",$P$5)</f>
      </c>
      <c r="B21" s="38">
        <f>IF($A21="","",COUNTIF($P$5:$P$8,$A21))</f>
      </c>
      <c r="C21" s="41">
        <f>IF($A21="","",SUMIF($P$5:$P$8,$A21,$K$5:$K$8))</f>
      </c>
      <c r="D21" s="41">
        <f>IF($A21="","",SUMIF($P$5:$P$8,$A21,$L$5:$L$8))</f>
      </c>
      <c r="E21" s="41">
        <f>IF($A21="","",SUMIF($P$5:$P$8,$A21,$M$5:$M$8))</f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45">
      <c r="A22" s="38">
        <f>IF($P$6="","",IF(COUNTIF($A$21:$A21,$P$6)&gt;0,"",$P$6))</f>
      </c>
      <c r="B22" s="38">
        <f>IF($A22="","",COUNTIF($P$5:$P$8,$A22))</f>
      </c>
      <c r="C22" s="41">
        <f>IF($A22="","",SUMIF($P$5:$P$8,$A22,$K$5:$K$8))</f>
      </c>
      <c r="D22" s="41">
        <f>IF($A22="","",SUMIF($P$5:$P$8,$A22,$L$5:$L$8))</f>
      </c>
      <c r="E22" s="41">
        <f>IF($A22="","",SUMIF($P$5:$P$8,$A22,$M$5:$M$8))</f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45">
      <c r="A23" s="38">
        <f>IF($P$7="","",IF(COUNTIF($A$21:$A22,$P$7)&gt;0,"",$P$7))</f>
      </c>
      <c r="B23" s="38">
        <f>IF($A23="","",COUNTIF($P$5:$P$8,$A23))</f>
      </c>
      <c r="C23" s="41">
        <f>IF($A23="","",SUMIF($P$5:$P$8,$A23,$K$5:$K$8))</f>
      </c>
      <c r="D23" s="41">
        <f>IF($A23="","",SUMIF($P$5:$P$8,$A23,$L$5:$L$8))</f>
      </c>
      <c r="E23" s="41">
        <f>IF($A23="","",SUMIF($P$5:$P$8,$A23,$M$5:$M$8))</f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45">
      <c r="A24" s="38">
        <f>IF($P$8="","",IF(COUNTIF($A$21:$A23,$P$8)&gt;0,"",$P$8))</f>
      </c>
      <c r="B24" s="38">
        <f>IF($A24="","",COUNTIF($P$5:$P$8,$A24))</f>
      </c>
      <c r="C24" s="41">
        <f>IF($A24="","",SUMIF($P$5:$P$8,$A24,$K$5:$K$8))</f>
      </c>
      <c r="D24" s="41">
        <f>IF($A24="","",SUMIF($P$5:$P$8,$A24,$L$5:$L$8))</f>
      </c>
      <c r="E24" s="41">
        <f>IF($A24="","",SUMIF($P$5:$P$8,$A24,$M$5:$M$8))</f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E6D1-36F3-49A7-9DB5-0620EF6E512D}">
  <sheetPr>
    <tabColor rgb="FFA6A6A6"/>
  </sheetPr>
  <dimension ref="A1:U36"/>
  <sheetViews>
    <sheetView workbookViewId="0">
      <selection activeCell="E10" sqref="E10"/>
    </sheetView>
  </sheetViews>
  <sheetFormatPr defaultRowHeight="14.25" x14ac:dyDescent="0.45"/>
  <cols>
    <col min="4" max="4" width="29.3984375" bestFit="1" customWidth="1"/>
    <col min="5" max="5" width="13.59765625" bestFit="1" customWidth="1"/>
  </cols>
  <sheetData>
    <row r="1" spans="1:21" x14ac:dyDescent="0.45">
      <c r="A1" s="88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45">
      <c r="A2" s="88" t="s">
        <v>253</v>
      </c>
      <c r="B2" s="88" t="s">
        <v>254</v>
      </c>
      <c r="C2" s="2"/>
      <c r="D2" s="88" t="s">
        <v>255</v>
      </c>
      <c r="E2" s="88" t="s">
        <v>256</v>
      </c>
      <c r="F2" s="88" t="s">
        <v>257</v>
      </c>
      <c r="G2" s="88" t="s">
        <v>258</v>
      </c>
      <c r="H2" s="88" t="s">
        <v>259</v>
      </c>
      <c r="I2" s="88" t="s">
        <v>75</v>
      </c>
      <c r="J2" s="88" t="s">
        <v>260</v>
      </c>
      <c r="K2" s="88" t="s">
        <v>261</v>
      </c>
      <c r="L2" s="88" t="s">
        <v>262</v>
      </c>
      <c r="M2" s="2"/>
      <c r="N2" s="88" t="s">
        <v>263</v>
      </c>
      <c r="O2" s="88" t="s">
        <v>264</v>
      </c>
      <c r="P2" s="88" t="s">
        <v>265</v>
      </c>
      <c r="Q2" s="88" t="s">
        <v>250</v>
      </c>
      <c r="R2" s="88" t="s">
        <v>266</v>
      </c>
      <c r="S2" s="88" t="s">
        <v>267</v>
      </c>
      <c r="T2" s="2"/>
      <c r="U2" s="88" t="s">
        <v>268</v>
      </c>
    </row>
    <row r="3" spans="1:21" x14ac:dyDescent="0.45">
      <c r="A3" s="2">
        <v>0</v>
      </c>
      <c r="B3" s="2"/>
      <c r="C3" s="2"/>
      <c r="D3" s="2" t="s">
        <v>93</v>
      </c>
      <c r="E3" s="104">
        <f>ROUND(ITEM!$C$107,0)</f>
      </c>
      <c r="F3" s="2">
        <f>INT($E3/1000000000)</f>
      </c>
      <c r="G3" s="104">
        <f>MOD(INT($E3/1000000),1000)</f>
      </c>
      <c r="H3" s="104">
        <f>MOD(INT($E3/1000),1000)</f>
      </c>
      <c r="I3" s="104">
        <f>MOD($E3,1000)</f>
      </c>
      <c r="J3" s="2">
        <f>IF($F3=0,"",IF($F3=0,"",IF(INT($F3/100)=0,"",IF(INT($F3/100)=1,"Seratus ",VLOOKUP(INT($F3/100),$A$3:$B$22,2,0)&amp;" Ratus "))&amp;IF(MOD($F3,100)=0,"",IF(MOD($F3,100)&lt;20,VLOOKUP(MOD($F3,100),$A$3:$B$22,2,0),VLOOKUP(INT(MOD($F3,100)/10),$A$3:$B$22,2,0)&amp;" Puluh "&amp;IF(MOD($F3,10)=0,"",VLOOKUP(MOD($F3,10),$A$3:$B$22,2,0)))))&amp;" Miliar ")</f>
      </c>
      <c r="K3" s="2">
        <f>IF($G3=0,"",IF($G3=1,"Satu Juta ",IF($G3=0,"",IF(INT($G3/100)=0,"",IF(INT($G3/100)=1,"Seratus ",VLOOKUP(INT($G3/100),$A$3:$B$22,2,0)&amp;" Ratus "))&amp;IF(MOD($G3,100)=0,"",IF(MOD($G3,100)&lt;20,VLOOKUP(MOD($G3,100),$A$3:$B$22,2,0),VLOOKUP(INT(MOD($G3,100)/10),$A$3:$B$22,2,0)&amp;" Puluh "&amp;IF(MOD($G3,10)=0,"",VLOOKUP(MOD($G3,10),$A$3:$B$22,2,0)))))&amp;" Juta "))&amp;IF($H3=0,"",IF($H3=1,"Seribu ",IF($H3=0,"",IF(INT($H3/100)=0,"",IF(INT($H3/100)=1,"Seratus ",VLOOKUP(INT($H3/100),$A$3:$B$22,2,0)&amp;" Ratus "))&amp;IF(MOD($H3,100)=0,"",IF(MOD($H3,100)&lt;20,VLOOKUP(MOD($H3,100),$A$3:$B$22,2,0),VLOOKUP(INT(MOD($H3,100)/10),$A$3:$B$22,2,0)&amp;" Puluh "&amp;IF(MOD($H3,10)=0,"",VLOOKUP(MOD($H3,10),$A$3:$B$22,2,0)))))&amp;" Ribu "))&amp;IF($I3=0,"",IF(INT($I3/100)=0,"",IF(INT($I3/100)=1,"Seratus ",VLOOKUP(INT($I3/100),$A$3:$B$22,2,0)&amp;" Ratus "))&amp;IF(MOD($I3,100)=0,"",IF(MOD($I3,100)&lt;20,VLOOKUP(MOD($I3,100),$A$3:$B$22,2,0),VLOOKUP(INT(MOD($I3,100)/10),$A$3:$B$22,2,0)&amp;" Puluh "&amp;IF(MOD($I3,10)=0,"",VLOOKUP(MOD($I3,10),$A$3:$B$22,2,0)))))</f>
      </c>
      <c r="L3" s="2">
        <f>IF($E3=0,"== Nol Rupiah ==","== "&amp;TRIM($J3&amp;$K3)&amp;" Rupiah ==")</f>
      </c>
      <c r="M3" s="2"/>
      <c r="N3" s="96" cm="1">
        <f t="array" ref="N3">INDEX(INPUT!$B$55:$B$57,INPUT!$B$49)</f>
      </c>
      <c r="O3" s="2">
        <f>TEXT($N$3,"dddd")</f>
      </c>
      <c r="P3" s="2">
        <f>IF(DAY($N$3)&lt;20,VLOOKUP(DAY($N$3),$A$3:$B$22,2,0),IF(DAY($N$3)&lt;30,TRIM("Dua Puluh "&amp;VLOOKUP(DAY($N$3)-20,$A$3:$B$22,2,0)),TRIM("Tiga Puluh "&amp;VLOOKUP(DAY($N$3)-30,$A$3:$B$22,2,0))))</f>
      </c>
      <c r="Q3" s="2">
        <f>TEXT($N$3,"mmmm")</f>
      </c>
      <c r="R3" s="2">
        <f>TRIM(IF(INT(YEAR($N$3)/1000)=1,"Seribu ",IF(INT(YEAR($N$3)/1000)=0,"",IF(INT(INT(YEAR($N$3)/1000)/100)=0,"",IF(INT(INT(YEAR($N$3)/1000)/100)=1,"Seratus ",VLOOKUP(INT(INT(YEAR($N$3)/1000)/100),$A$3:$B$22,2,0)&amp;" Ratus "))&amp;IF(MOD(INT(YEAR($N$3)/1000),100)=0,"",IF(MOD(INT(YEAR($N$3)/1000),100)&lt;20,VLOOKUP(MOD(INT(YEAR($N$3)/1000),100),$A$3:$B$22,2,0),VLOOKUP(INT(MOD(INT(YEAR($N$3)/1000),100)/10),$A$3:$B$22,2,0)&amp;" Puluh "&amp;IF(MOD(INT(YEAR($N$3)/1000),10)=0,"",VLOOKUP(MOD(INT(YEAR($N$3)/1000),10),$A$3:$B$22,2,0)))))&amp;" Ribu ")&amp;IF(MOD(YEAR($N$3),1000)=0,"",IF(INT(MOD(YEAR($N$3),1000)/100)=0,"",IF(INT(MOD(YEAR($N$3),1000)/100)=1,"Seratus ",VLOOKUP(INT(MOD(YEAR($N$3),1000)/100),$A$3:$B$22,2,0)&amp;" Ratus "))&amp;IF(MOD(MOD(YEAR($N$3),1000),100)=0,"",IF(MOD(MOD(YEAR($N$3),1000),100)&lt;20,VLOOKUP(MOD(MOD(YEAR($N$3),1000),100),$A$3:$B$22,2,0),VLOOKUP(INT(MOD(MOD(YEAR($N$3),1000),100)/10),$A$3:$B$22,2,0)&amp;" Puluh "&amp;IF(MOD(MOD(YEAR($N$3),1000),10)=0,"",VLOOKUP(MOD(MOD(YEAR($N$3),1000),10),$A$3:$B$22,2,0))))))</f>
      </c>
      <c r="S3" s="2">
        <f>"Pada hari ini "&amp;$O$3&amp;", tanggal "&amp;$P$3&amp;" bulan "&amp;$Q$3&amp;" tahun "&amp;$R$3&amp;" ("&amp;TEXT($N$3,"dd/mm/yyyy")&amp;")"</f>
      </c>
      <c r="T3" s="2"/>
      <c r="U3" s="105"/>
    </row>
    <row r="4" spans="1:21" x14ac:dyDescent="0.45">
      <c r="A4" s="2">
        <v>1</v>
      </c>
      <c r="B4" s="2" t="s">
        <v>269</v>
      </c>
      <c r="C4" s="2"/>
      <c r="D4" s="2" t="s">
        <v>270</v>
      </c>
      <c r="E4" s="104">
        <f>ROUND(ITEM!$C$109,0)</f>
      </c>
      <c r="F4" s="2">
        <f>INT($E4/1000000000)</f>
      </c>
      <c r="G4" s="104">
        <f>MOD(INT($E4/1000000),1000)</f>
      </c>
      <c r="H4" s="104">
        <f>MOD(INT($E4/1000),1000)</f>
      </c>
      <c r="I4" s="104">
        <f>MOD($E4,1000)</f>
      </c>
      <c r="J4" s="2">
        <f>IF($F4=0,"",IF($F4=0,"",IF(INT($F4/100)=0,"",IF(INT($F4/100)=1,"Seratus ",VLOOKUP(INT($F4/100),$A$3:$B$22,2,0)&amp;" Ratus "))&amp;IF(MOD($F4,100)=0,"",IF(MOD($F4,100)&lt;20,VLOOKUP(MOD($F4,100),$A$3:$B$22,2,0),VLOOKUP(INT(MOD($F4,100)/10),$A$3:$B$22,2,0)&amp;" Puluh "&amp;IF(MOD($F4,10)=0,"",VLOOKUP(MOD($F4,10),$A$3:$B$22,2,0)))))&amp;" Miliar ")</f>
      </c>
      <c r="K4" s="2">
        <f>IF($G4=0,"",IF($G4=1,"Satu Juta ",IF($G4=0,"",IF(INT($G4/100)=0,"",IF(INT($G4/100)=1,"Seratus ",VLOOKUP(INT($G4/100),$A$3:$B$22,2,0)&amp;" Ratus "))&amp;IF(MOD($G4,100)=0,"",IF(MOD($G4,100)&lt;20,VLOOKUP(MOD($G4,100),$A$3:$B$22,2,0),VLOOKUP(INT(MOD($G4,100)/10),$A$3:$B$22,2,0)&amp;" Puluh "&amp;IF(MOD($G4,10)=0,"",VLOOKUP(MOD($G4,10),$A$3:$B$22,2,0)))))&amp;" Juta "))&amp;IF($H4=0,"",IF($H4=1,"Seribu ",IF($H4=0,"",IF(INT($H4/100)=0,"",IF(INT($H4/100)=1,"Seratus ",VLOOKUP(INT($H4/100),$A$3:$B$22,2,0)&amp;" Ratus "))&amp;IF(MOD($H4,100)=0,"",IF(MOD($H4,100)&lt;20,VLOOKUP(MOD($H4,100),$A$3:$B$22,2,0),VLOOKUP(INT(MOD($H4,100)/10),$A$3:$B$22,2,0)&amp;" Puluh "&amp;IF(MOD($H4,10)=0,"",VLOOKUP(MOD($H4,10),$A$3:$B$22,2,0)))))&amp;" Ribu "))&amp;IF($I4=0,"",IF(INT($I4/100)=0,"",IF(INT($I4/100)=1,"Seratus ",VLOOKUP(INT($I4/100),$A$3:$B$22,2,0)&amp;" Ratus "))&amp;IF(MOD($I4,100)=0,"",IF(MOD($I4,100)&lt;20,VLOOKUP(MOD($I4,100),$A$3:$B$22,2,0),VLOOKUP(INT(MOD($I4,100)/10),$A$3:$B$22,2,0)&amp;" Puluh "&amp;IF(MOD($I4,10)=0,"",VLOOKUP(MOD($I4,10),$A$3:$B$22,2,0)))))</f>
      </c>
      <c r="L4" s="2">
        <f>IF($E4=0,"== Nol Rupiah ==","== "&amp;TRIM($J4&amp;$K4)&amp;" Rupiah ==")</f>
      </c>
      <c r="M4" s="2"/>
      <c r="N4" s="2"/>
      <c r="O4" s="2"/>
      <c r="P4" s="2"/>
      <c r="Q4" s="2"/>
      <c r="R4" s="2"/>
      <c r="S4" s="2"/>
      <c r="T4" s="2"/>
      <c r="U4" s="2"/>
    </row>
    <row r="5" spans="1:21" x14ac:dyDescent="0.45">
      <c r="A5" s="2">
        <v>2</v>
      </c>
      <c r="B5" s="2" t="s">
        <v>271</v>
      </c>
      <c r="C5" s="2"/>
      <c r="D5" s="2" t="s">
        <v>272</v>
      </c>
      <c r="E5" s="104">
        <f>ROUND(BAPM!$K$135,0)</f>
      </c>
      <c r="F5" s="2">
        <f>INT($E5/1000000000)</f>
      </c>
      <c r="G5" s="104">
        <f>MOD(INT($E5/1000000),1000)</f>
      </c>
      <c r="H5" s="104">
        <f>MOD(INT($E5/1000),1000)</f>
      </c>
      <c r="I5" s="104">
        <f>MOD($E5,1000)</f>
      </c>
      <c r="J5" s="2">
        <f>IF($F5=0,"",IF($F5=0,"",IF(INT($F5/100)=0,"",IF(INT($F5/100)=1,"Seratus ",VLOOKUP(INT($F5/100),$A$3:$B$22,2,0)&amp;" Ratus "))&amp;IF(MOD($F5,100)=0,"",IF(MOD($F5,100)&lt;20,VLOOKUP(MOD($F5,100),$A$3:$B$22,2,0),VLOOKUP(INT(MOD($F5,100)/10),$A$3:$B$22,2,0)&amp;" Puluh "&amp;IF(MOD($F5,10)=0,"",VLOOKUP(MOD($F5,10),$A$3:$B$22,2,0)))))&amp;" Miliar ")</f>
      </c>
      <c r="K5" s="2">
        <f>IF($G5=0,"",IF($G5=1,"Satu Juta ",IF($G5=0,"",IF(INT($G5/100)=0,"",IF(INT($G5/100)=1,"Seratus ",VLOOKUP(INT($G5/100),$A$3:$B$22,2,0)&amp;" Ratus "))&amp;IF(MOD($G5,100)=0,"",IF(MOD($G5,100)&lt;20,VLOOKUP(MOD($G5,100),$A$3:$B$22,2,0),VLOOKUP(INT(MOD($G5,100)/10),$A$3:$B$22,2,0)&amp;" Puluh "&amp;IF(MOD($G5,10)=0,"",VLOOKUP(MOD($G5,10),$A$3:$B$22,2,0)))))&amp;" Juta "))&amp;IF($H5=0,"",IF($H5=1,"Seribu ",IF($H5=0,"",IF(INT($H5/100)=0,"",IF(INT($H5/100)=1,"Seratus ",VLOOKUP(INT($H5/100),$A$3:$B$22,2,0)&amp;" Ratus "))&amp;IF(MOD($H5,100)=0,"",IF(MOD($H5,100)&lt;20,VLOOKUP(MOD($H5,100),$A$3:$B$22,2,0),VLOOKUP(INT(MOD($H5,100)/10),$A$3:$B$22,2,0)&amp;" Puluh "&amp;IF(MOD($H5,10)=0,"",VLOOKUP(MOD($H5,10),$A$3:$B$22,2,0)))))&amp;" Ribu "))&amp;IF($I5=0,"",IF(INT($I5/100)=0,"",IF(INT($I5/100)=1,"Seratus ",VLOOKUP(INT($I5/100),$A$3:$B$22,2,0)&amp;" Ratus "))&amp;IF(MOD($I5,100)=0,"",IF(MOD($I5,100)&lt;20,VLOOKUP(MOD($I5,100),$A$3:$B$22,2,0),VLOOKUP(INT(MOD($I5,100)/10),$A$3:$B$22,2,0)&amp;" Puluh "&amp;IF(MOD($I5,10)=0,"",VLOOKUP(MOD($I5,10),$A$3:$B$22,2,0)))))</f>
      </c>
      <c r="L5" s="2">
        <f>IF($E5=0,"== Nol Rupiah ==","== "&amp;TRIM($J5&amp;$K5)&amp;" Rupiah ==")</f>
      </c>
      <c r="M5" s="2"/>
      <c r="N5" s="2"/>
      <c r="O5" s="2"/>
      <c r="P5" s="2"/>
      <c r="Q5" s="2"/>
      <c r="R5" s="2"/>
      <c r="S5" s="2"/>
      <c r="T5" s="2"/>
      <c r="U5" s="2"/>
    </row>
    <row r="6" spans="1:21" x14ac:dyDescent="0.45">
      <c r="A6" s="2">
        <v>3</v>
      </c>
      <c r="B6" s="2" t="s">
        <v>273</v>
      </c>
      <c r="C6" s="2"/>
      <c r="D6" s="2" t="s">
        <v>274</v>
      </c>
      <c r="E6" s="104">
        <f>ROUND(BAP!$L$47,0)</f>
      </c>
      <c r="F6" s="2">
        <f>INT($E6/1000000000)</f>
      </c>
      <c r="G6" s="104">
        <f>MOD(INT($E6/1000000),1000)</f>
      </c>
      <c r="H6" s="104">
        <f>MOD(INT($E6/1000),1000)</f>
      </c>
      <c r="I6" s="104">
        <f>MOD($E6,1000)</f>
      </c>
      <c r="J6" s="2">
        <f>IF($F6=0,"",IF($F6=0,"",IF(INT($F6/100)=0,"",IF(INT($F6/100)=1,"Seratus ",VLOOKUP(INT($F6/100),$A$3:$B$22,2,0)&amp;" Ratus "))&amp;IF(MOD($F6,100)=0,"",IF(MOD($F6,100)&lt;20,VLOOKUP(MOD($F6,100),$A$3:$B$22,2,0),VLOOKUP(INT(MOD($F6,100)/10),$A$3:$B$22,2,0)&amp;" Puluh "&amp;IF(MOD($F6,10)=0,"",VLOOKUP(MOD($F6,10),$A$3:$B$22,2,0)))))&amp;" Miliar ")</f>
      </c>
      <c r="K6" s="2">
        <f>IF($G6=0,"",IF($G6=1,"Satu Juta ",IF($G6=0,"",IF(INT($G6/100)=0,"",IF(INT($G6/100)=1,"Seratus ",VLOOKUP(INT($G6/100),$A$3:$B$22,2,0)&amp;" Ratus "))&amp;IF(MOD($G6,100)=0,"",IF(MOD($G6,100)&lt;20,VLOOKUP(MOD($G6,100),$A$3:$B$22,2,0),VLOOKUP(INT(MOD($G6,100)/10),$A$3:$B$22,2,0)&amp;" Puluh "&amp;IF(MOD($G6,10)=0,"",VLOOKUP(MOD($G6,10),$A$3:$B$22,2,0)))))&amp;" Juta "))&amp;IF($H6=0,"",IF($H6=1,"Seribu ",IF($H6=0,"",IF(INT($H6/100)=0,"",IF(INT($H6/100)=1,"Seratus ",VLOOKUP(INT($H6/100),$A$3:$B$22,2,0)&amp;" Ratus "))&amp;IF(MOD($H6,100)=0,"",IF(MOD($H6,100)&lt;20,VLOOKUP(MOD($H6,100),$A$3:$B$22,2,0),VLOOKUP(INT(MOD($H6,100)/10),$A$3:$B$22,2,0)&amp;" Puluh "&amp;IF(MOD($H6,10)=0,"",VLOOKUP(MOD($H6,10),$A$3:$B$22,2,0)))))&amp;" Ribu "))&amp;IF($I6=0,"",IF(INT($I6/100)=0,"",IF(INT($I6/100)=1,"Seratus ",VLOOKUP(INT($I6/100),$A$3:$B$22,2,0)&amp;" Ratus "))&amp;IF(MOD($I6,100)=0,"",IF(MOD($I6,100)&lt;20,VLOOKUP(MOD($I6,100),$A$3:$B$22,2,0),VLOOKUP(INT(MOD($I6,100)/10),$A$3:$B$22,2,0)&amp;" Puluh "&amp;IF(MOD($I6,10)=0,"",VLOOKUP(MOD($I6,10),$A$3:$B$22,2,0)))))</f>
      </c>
      <c r="L6" s="2">
        <f>IF($E6=0,"== Nol Rupiah ==","== "&amp;TRIM($J6&amp;$K6)&amp;" Rupiah ==")</f>
      </c>
      <c r="M6" s="2"/>
      <c r="N6" s="2"/>
      <c r="O6" s="2"/>
      <c r="P6" s="2"/>
      <c r="Q6" s="2"/>
      <c r="R6" s="2"/>
      <c r="S6" s="2"/>
      <c r="T6" s="2"/>
      <c r="U6" s="2"/>
    </row>
    <row r="7" spans="1:21" x14ac:dyDescent="0.45">
      <c r="A7" s="2">
        <v>4</v>
      </c>
      <c r="B7" s="2" t="s">
        <v>275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45">
      <c r="A8" s="2">
        <v>5</v>
      </c>
      <c r="B8" s="2" t="s">
        <v>276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45">
      <c r="A9" s="2">
        <v>6</v>
      </c>
      <c r="B9" s="2" t="s">
        <v>277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45">
      <c r="A10" s="2">
        <v>7</v>
      </c>
      <c r="B10" s="2" t="s">
        <v>278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45">
      <c r="A11" s="2">
        <v>8</v>
      </c>
      <c r="B11" s="2" t="s">
        <v>279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45">
      <c r="A12" s="2">
        <v>9</v>
      </c>
      <c r="B12" s="2" t="s">
        <v>280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45">
      <c r="A13" s="2">
        <v>10</v>
      </c>
      <c r="B13" s="2" t="s">
        <v>281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45">
      <c r="A14" s="2">
        <v>11</v>
      </c>
      <c r="B14" s="2" t="s">
        <v>282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45">
      <c r="A15" s="2">
        <v>12</v>
      </c>
      <c r="B15" s="2" t="s">
        <v>283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45">
      <c r="A16" s="2">
        <v>13</v>
      </c>
      <c r="B16" s="2" t="s">
        <v>284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45">
      <c r="A17" s="2">
        <v>14</v>
      </c>
      <c r="B17" s="2" t="s">
        <v>285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45">
      <c r="A18" s="2">
        <v>15</v>
      </c>
      <c r="B18" s="2" t="s">
        <v>286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45">
      <c r="A19" s="2">
        <v>16</v>
      </c>
      <c r="B19" s="2" t="s">
        <v>287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45">
      <c r="A20" s="2">
        <v>17</v>
      </c>
      <c r="B20" s="2" t="s">
        <v>288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45">
      <c r="A21" s="2">
        <v>18</v>
      </c>
      <c r="B21" s="2" t="s">
        <v>289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45">
      <c r="A22" s="2">
        <v>19</v>
      </c>
      <c r="B22" s="2" t="s">
        <v>290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5" spans="1:21" x14ac:dyDescent="0.45">
      <c r="A25" s="112" t="s">
        <v>291</v>
      </c>
    </row>
    <row r="26" spans="1:21" x14ac:dyDescent="0.45">
      <c r="A26" s="113" t="s">
        <v>292</v>
      </c>
      <c r="B26" s="113" t="s">
        <v>293</v>
      </c>
      <c r="C26" s="113" t="s">
        <v>294</v>
      </c>
      <c r="D26" s="113" t="s">
        <v>295</v>
      </c>
      <c r="E26" s="113" t="s">
        <v>296</v>
      </c>
      <c r="F26" s="113" t="s">
        <v>297</v>
      </c>
      <c r="G26" s="113" t="s">
        <v>298</v>
      </c>
      <c r="H26" s="113" t="s">
        <v>299</v>
      </c>
      <c r="I26" s="113" t="s">
        <v>300</v>
      </c>
    </row>
    <row r="27" spans="1:21" x14ac:dyDescent="0.45">
      <c r="A27" t="s">
        <v>301</v>
      </c>
      <c r="B27">
        <f>ITEM!$C$109</f>
      </c>
      <c r="C27">
        <f>INT(ABS($B27)/1000000000)</f>
      </c>
      <c r="D27">
        <f>MOD(INT(ABS($B27)/1000000),1000)</f>
      </c>
      <c r="E27">
        <f>MOD(INT(ABS($B27)/1000),1000)</f>
      </c>
      <c r="F27">
        <f>MOD(INT(ABS($B27)),1000)</f>
      </c>
      <c r="G27">
        <f>RIGHT("0"&amp;ROUND(MOD(ABS($B27),1)*100,0),2)</f>
      </c>
      <c r="H27">
        <f>IF($B27&lt;0,"-","")&amp;IF($C27&gt;0,$C27&amp;"."&amp;RIGHT("00"&amp;$D27,3)&amp;"."&amp;RIGHT("00"&amp;$E27,3)&amp;"."&amp;RIGHT("00"&amp;$F27,3),IF($D27&gt;0,$D27&amp;"."&amp;RIGHT("00"&amp;$E27,3)&amp;"."&amp;RIGHT("00"&amp;$F27,3),IF($E27&gt;0,$E27&amp;"."&amp;RIGHT("00"&amp;$F27,3),$F27&amp;"")))</f>
      </c>
      <c r="I27">
        <f>$H27&amp;","&amp;$G27</f>
      </c>
    </row>
    <row r="28" spans="1:21" x14ac:dyDescent="0.45">
      <c r="A28" t="s">
        <v>302</v>
      </c>
      <c r="B28">
        <f>ITEM!$C$107</f>
      </c>
      <c r="C28">
        <f>INT(ABS($B28)/1000000000)</f>
      </c>
      <c r="D28">
        <f>MOD(INT(ABS($B28)/1000000),1000)</f>
      </c>
      <c r="E28">
        <f>MOD(INT(ABS($B28)/1000),1000)</f>
      </c>
      <c r="F28">
        <f>MOD(INT(ABS($B28)),1000)</f>
      </c>
      <c r="G28">
        <f>RIGHT("0"&amp;ROUND(MOD(ABS($B28),1)*100,0),2)</f>
      </c>
      <c r="H28">
        <f>IF($B28&lt;0,"-","")&amp;IF($C28&gt;0,$C28&amp;"."&amp;RIGHT("00"&amp;$D28,3)&amp;"."&amp;RIGHT("00"&amp;$E28,3)&amp;"."&amp;RIGHT("00"&amp;$F28,3),IF($D28&gt;0,$D28&amp;"."&amp;RIGHT("00"&amp;$E28,3)&amp;"."&amp;RIGHT("00"&amp;$F28,3),IF($E28&gt;0,$E28&amp;"."&amp;RIGHT("00"&amp;$F28,3),$F28&amp;"")))</f>
      </c>
      <c r="I28">
        <f>$H28&amp;","&amp;$G28</f>
      </c>
    </row>
    <row r="31" spans="1:21" x14ac:dyDescent="0.45">
      <c r="A31" s="112" t="s">
        <v>303</v>
      </c>
    </row>
    <row r="32" spans="1:21" x14ac:dyDescent="0.45">
      <c r="A32" t="s">
        <v>304</v>
      </c>
      <c r="B32">
        <f>COUNTA(ITEM!$B$4:$B$103)</f>
      </c>
    </row>
    <row r="33" spans="1:2" x14ac:dyDescent="0.45">
      <c r="A33" t="s">
        <v>305</v>
      </c>
      <c r="B33" s="114">
        <v>2</v>
      </c>
    </row>
    <row r="34" spans="1:2" x14ac:dyDescent="0.45">
      <c r="A34" t="s">
        <v>306</v>
      </c>
      <c r="B34">
        <f>12+B32+B33</f>
      </c>
    </row>
    <row r="35" spans="1:2" x14ac:dyDescent="0.45">
      <c r="A35" t="s">
        <v>307</v>
      </c>
      <c r="B35">
        <f>25+B32+B33</f>
      </c>
    </row>
    <row r="36" spans="1:2" x14ac:dyDescent="0.45">
      <c r="A36" s="11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15</vt:i4>
      </vt:variant>
      <vt:variant>
        <vt:lpstr>Rentang Bernama</vt:lpstr>
      </vt:variant>
      <vt:variant>
        <vt:i4>9</vt:i4>
      </vt:variant>
    </vt:vector>
  </HeadingPairs>
  <TitlesOfParts>
    <vt:vector size="24" baseType="lpstr">
      <vt:lpstr>rekanan</vt:lpstr>
      <vt:lpstr>INPUT</vt:lpstr>
      <vt:lpstr>ITEM</vt:lpstr>
      <vt:lpstr>SPM</vt:lpstr>
      <vt:lpstr>BAPM</vt:lpstr>
      <vt:lpstr>BAPM 2</vt:lpstr>
      <vt:lpstr>BAPM 3</vt:lpstr>
      <vt:lpstr>BAPM 4</vt:lpstr>
      <vt:lpstr>BAP</vt:lpstr>
      <vt:lpstr>BAP 2</vt:lpstr>
      <vt:lpstr>BAP 3</vt:lpstr>
      <vt:lpstr>BAP 4</vt:lpstr>
      <vt:lpstr>REKAP</vt:lpstr>
      <vt:lpstr>PIVOT</vt:lpstr>
      <vt:lpstr>HELPER</vt:lpstr>
      <vt:lpstr>BAP!Print_Area</vt:lpstr>
      <vt:lpstr>'BAP 2'!Print_Area</vt:lpstr>
      <vt:lpstr>'BAP 3'!Print_Area</vt:lpstr>
      <vt:lpstr>'BAP 4'!Print_Area</vt:lpstr>
      <vt:lpstr>BAPM!Print_Area</vt:lpstr>
      <vt:lpstr>'BAPM 2'!Print_Area</vt:lpstr>
      <vt:lpstr>'BAPM 3'!Print_Area</vt:lpstr>
      <vt:lpstr>'BAPM 4'!Print_Area</vt:lpstr>
      <vt:lpstr>SPM!Print_Area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2026-08-21T10:33:28Z</cp:lastPrinted>
  <dcterms:created xsi:type="dcterms:W3CDTF">2026-07-26T03:02:36Z</dcterms:created>
  <dcterms:modified xsi:type="dcterms:W3CDTF">2026-10-26T06:37:10Z</dcterms:modified>
</cp:coreProperties>
</file>