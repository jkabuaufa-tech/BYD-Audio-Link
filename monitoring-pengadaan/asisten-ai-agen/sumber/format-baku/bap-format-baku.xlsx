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hidePivotFieldList="1" defaultThemeVersion="124226"/>
  <xr:revisionPtr revIDLastSave="0" documentId="13_ncr:1_{8E381141-81A9-4148-A652-E801D7F4E279}" xr6:coauthVersionLast="47" xr6:coauthVersionMax="47" xr10:uidLastSave="{00000000-0000-0000-0000-000000000000}"/>
  <bookViews>
    <workbookView xWindow="-108" yWindow="-108" windowWidth="23256" windowHeight="13176" tabRatio="850" firstSheet="0" activeTab="1" xr2:uid="{00000000-000D-0000-FFFF-FFFF00000000}"/>
  </bookViews>
  <sheets>
    <sheet name="BAPR " sheetId="55" r:id="rId2"/>
    <sheet name="BAP  1" sheetId="50" r:id="rId3"/>
    <sheet name="BAP  2" sheetId="69" state="hidden" r:id="rId4"/>
    <sheet name="BAP  3" sheetId="70" state="hidden" r:id="rId5"/>
    <sheet name="BAP  4" sheetId="71" state="hidden" r:id="rId6"/>
    <sheet name="BAP  5" sheetId="72" state="hidden" r:id="rId7"/>
    <sheet name="BAP  6" sheetId="73" state="hidden" r:id="rId8"/>
    <sheet name="BAPP" sheetId="43" r:id="rId9"/>
    <sheet name="BAPP 2" sheetId="64" state="hidden" r:id="rId10"/>
    <sheet name="BAPP 3" sheetId="65" state="hidden" r:id="rId11"/>
    <sheet name="BAPP 4" sheetId="66" state="hidden" r:id="rId12"/>
    <sheet name="BAPP 5" sheetId="67" state="hidden" r:id="rId13"/>
    <sheet name="BAPP 6" sheetId="68" state="hidden" r:id="rId14"/>
    <sheet name="rincian " sheetId="17" r:id="rId15"/>
    <sheet name="rincian 2" sheetId="59" state="hidden" r:id="rId16"/>
    <sheet name="rincian 3" sheetId="60" state="hidden" r:id="rId17"/>
    <sheet name="rincian 4" sheetId="61" state="hidden" r:id="rId18"/>
    <sheet name="rincian 5" sheetId="62" state="hidden" r:id="rId19"/>
    <sheet name="rincian 6" sheetId="63" state="hidden" r:id="rId20"/>
    <sheet name="lamp1" sheetId="76" r:id="rId21"/>
    <sheet name="HELPER" sheetId="56" state="hidden" r:id="rId22"/>
    <sheet name="DATA" sheetId="57" r:id="rId23"/>
    <sheet name="REKAP PROGRES" sheetId="74" r:id="rId24"/>
    <sheet name="PIVOT PROGRES" sheetId="75" r:id="rId25"/>
  </sheets>
  <definedNames>
    <definedName name="_xlnm.Print_Area" localSheetId="1">'BAP  1'!$B$2:$R$69</definedName>
    <definedName name="_xlnm.Print_Area" localSheetId="2">'BAP  2'!$B$2:$R$69</definedName>
    <definedName name="_xlnm.Print_Area" localSheetId="3">'BAP  3'!$B$2:$P$69</definedName>
    <definedName name="_xlnm.Print_Area" localSheetId="4">'BAP  4'!$B$2:$P$69</definedName>
    <definedName name="_xlnm.Print_Area" localSheetId="5">'BAP  5'!$B$2:$P$69</definedName>
    <definedName name="_xlnm.Print_Area" localSheetId="6">'BAP  6'!$B$2:$P$69</definedName>
    <definedName name="_xlnm.Print_Area" localSheetId="7">BAPP!$B$2:$S$84</definedName>
    <definedName name="_xlnm.Print_Area" localSheetId="8">'BAPP 2'!$B$2:$R$212</definedName>
    <definedName name="_xlnm.Print_Area" localSheetId="9">'BAPP 3'!$B$2:$R$212</definedName>
    <definedName name="_xlnm.Print_Area" localSheetId="10">'BAPP 4'!$B$2:$R$212</definedName>
    <definedName name="_xlnm.Print_Area" localSheetId="11">'BAPP 5'!$B$2:$R$212</definedName>
    <definedName name="_xlnm.Print_Area" localSheetId="12">'BAPP 6'!$B$2:$R$212</definedName>
    <definedName name="_xlnm.Print_Area" localSheetId="0">'BAPR '!$B$1:$P$68</definedName>
    <definedName name="_xlnm.Print_Area" localSheetId="19">lamp1!$A$2:$L$65</definedName>
    <definedName name="_xlnm.Print_Area" localSheetId="13">'rincian '!$B$2:$X$51</definedName>
    <definedName name="_xlnm.Print_Area" localSheetId="14">'rincian 2'!$B$2:$X$185</definedName>
    <definedName name="_xlnm.Print_Area" localSheetId="15">'rincian 3'!$B$2:$X$185</definedName>
    <definedName name="_xlnm.Print_Area" localSheetId="16">'rincian 4'!$B$2:$X$185</definedName>
    <definedName name="_xlnm.Print_Area" localSheetId="17">'rincian 5'!$B$2:$X$185</definedName>
    <definedName name="_xlnm.Print_Area" localSheetId="18">'rincian 6'!$B$2:$X$185</definedName>
    <definedName name="_xlnm.Print_Titles" localSheetId="7">BAPP!$28:$32</definedName>
    <definedName name="_xlnm.Print_Titles" localSheetId="8">'BAPP 2'!$28:$32</definedName>
    <definedName name="_xlnm.Print_Titles" localSheetId="9">'BAPP 3'!$28:$32</definedName>
    <definedName name="_xlnm.Print_Titles" localSheetId="10">'BAPP 4'!$28:$32</definedName>
    <definedName name="_xlnm.Print_Titles" localSheetId="11">'BAPP 5'!$28:$32</definedName>
    <definedName name="_xlnm.Print_Titles" localSheetId="12">'BAPP 6'!$28:$32</definedName>
    <definedName name="_xlnm.Print_Titles" localSheetId="13">'rincian '!$7:$9</definedName>
    <definedName name="_xlnm.Print_Titles" localSheetId="14">'rincian 2'!$7:$9</definedName>
    <definedName name="_xlnm.Print_Titles" localSheetId="15">'rincian 3'!$7:$9</definedName>
    <definedName name="_xlnm.Print_Titles" localSheetId="16">'rincian 4'!$7:$9</definedName>
    <definedName name="_xlnm.Print_Titles" localSheetId="17">'rincian 5'!$7:$9</definedName>
    <definedName name="_xlnm.Print_Titles" localSheetId="18">'rincian 6'!$7:$9</definedName>
    <definedName name="volume" localSheetId="1" hidden="1">{"'Sheet1'!$A$1"}</definedName>
    <definedName name="volume" localSheetId="2" hidden="1">{"'Sheet1'!$A$1"}</definedName>
    <definedName name="volume" localSheetId="3" hidden="1">{"'Sheet1'!$A$1"}</definedName>
    <definedName name="volume" localSheetId="4" hidden="1">{"'Sheet1'!$A$1"}</definedName>
    <definedName name="volume" localSheetId="5" hidden="1">{"'Sheet1'!$A$1"}</definedName>
    <definedName name="volume" localSheetId="6" hidden="1">{"'Sheet1'!$A$1"}</definedName>
    <definedName name="volume" localSheetId="0" hidden="1">{"'Sheet1'!$A$1"}</definedName>
    <definedName name="volume" hidden="1">{"'Sheet1'!$A$1"}</definedName>
  </definedNames>
  <calcPr calcId="191029" fullCalcOnLoad="1"/>
  <pivotCaches>
    <pivotCache cacheId="0" r:id="rId54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<sst xmlns="http://schemas.openxmlformats.org/spreadsheetml/2006/main" count="536" uniqueCount="536">
  <si>
    <t>BERITA ACARA PEMBAYARAN RETENSI (BAPR)</t>
  </si>
  <si>
    <t>1.</t>
  </si>
  <si>
    <t>:</t>
  </si>
  <si>
    <t>2.</t>
  </si>
  <si>
    <t>-</t>
  </si>
  <si>
    <t>Kontrak dan Tanggal</t>
  </si>
  <si>
    <t xml:space="preserve">Tanggal  : </t>
  </si>
  <si>
    <t>Nilai Kontrak</t>
  </si>
  <si>
    <t>Waktu Pelaksanaan</t>
  </si>
  <si>
    <t>s/d</t>
  </si>
  <si>
    <t>Berita Acara Serah Terima Pertama</t>
  </si>
  <si>
    <t xml:space="preserve">Uang Muka </t>
  </si>
  <si>
    <t xml:space="preserve">x </t>
  </si>
  <si>
    <t>=</t>
  </si>
  <si>
    <t xml:space="preserve">Retensi </t>
  </si>
  <si>
    <t xml:space="preserve">Pembayaran Retensi : </t>
  </si>
  <si>
    <t xml:space="preserve">BAP </t>
  </si>
  <si>
    <t xml:space="preserve">TGL </t>
  </si>
  <si>
    <t xml:space="preserve">PROGRESS BAP </t>
  </si>
  <si>
    <t xml:space="preserve">Saat ini </t>
  </si>
  <si>
    <t xml:space="preserve">S/d. Saat Ini </t>
  </si>
  <si>
    <t xml:space="preserve">Progress </t>
  </si>
  <si>
    <t xml:space="preserve">Atas Potongan Retensi pada : </t>
  </si>
  <si>
    <t>BAP 1</t>
  </si>
  <si>
    <t>BAP 2</t>
  </si>
  <si>
    <t>BAP 3</t>
  </si>
  <si>
    <t>BAP 4</t>
  </si>
  <si>
    <t>BAP 5</t>
  </si>
  <si>
    <t>BAP 6</t>
  </si>
  <si>
    <t>JUMLAH RETENSI</t>
  </si>
  <si>
    <t>a)</t>
  </si>
  <si>
    <t xml:space="preserve">Perhitungan Pembayaran Retensi : </t>
  </si>
  <si>
    <t>Hutang Retensi s/d saat ini</t>
  </si>
  <si>
    <t>Pembayaran Retensi Periode yang lalu</t>
  </si>
  <si>
    <t>Pembayaran Retensi saat ini</t>
  </si>
  <si>
    <t>Pajak Pertambahan Nilai (PPN)</t>
  </si>
  <si>
    <t>Jumlah</t>
  </si>
  <si>
    <t xml:space="preserve">Terbilang </t>
  </si>
  <si>
    <t>Demikian Berita Acara Pembayaran Retensi ini dibuat untuk dapat dipergunakan sebagaimana mestinya.</t>
  </si>
  <si>
    <t>PIHAK KEDUA</t>
  </si>
  <si>
    <t>PIHAK PERTAMA</t>
  </si>
  <si>
    <t xml:space="preserve">Masukan data </t>
  </si>
  <si>
    <t>bil asli</t>
  </si>
  <si>
    <t>bil asli dlm tex</t>
  </si>
  <si>
    <t>Bil Pecahan ambil dari format utama text</t>
  </si>
  <si>
    <t>Bilangan ratusan s/d satuan</t>
  </si>
  <si>
    <t>Bilangan ribuan s/d ratusan</t>
  </si>
  <si>
    <t>Bilangan jutaan s/d ribuan</t>
  </si>
  <si>
    <t>Bilangan Milyar s/d jutaan</t>
  </si>
  <si>
    <t>Bilangan bilyun s/d Milyaran</t>
  </si>
  <si>
    <t>Bilangan Trilyun s/d bilyunan</t>
  </si>
  <si>
    <t>TERMIN SHEET INI (1-6)</t>
  </si>
  <si>
    <t>BERITA ACARA PEMBAYARAN (BAP)</t>
  </si>
  <si>
    <t xml:space="preserve">Kontrak / SPK  No. dan Tanggal </t>
  </si>
  <si>
    <t>Tanggal :</t>
  </si>
  <si>
    <t>Addendum</t>
  </si>
  <si>
    <t xml:space="preserve">Pekerjaan / Pengadaan </t>
  </si>
  <si>
    <t xml:space="preserve">Jangka Waktu Pelaksanaan </t>
  </si>
  <si>
    <t>s/d.</t>
  </si>
  <si>
    <t xml:space="preserve">Nilai Kontrak </t>
  </si>
  <si>
    <t>(Exclude PPN)</t>
  </si>
  <si>
    <t xml:space="preserve">Nilai Addendum I </t>
  </si>
  <si>
    <t>(Exclude PPN 10%)</t>
  </si>
  <si>
    <t>a</t>
  </si>
  <si>
    <t>Perhitungan Pembayaran</t>
  </si>
  <si>
    <t>`</t>
  </si>
  <si>
    <t>Prestasi s/d saat ini</t>
  </si>
  <si>
    <t>x</t>
  </si>
  <si>
    <t>Prestasi yang lalu</t>
  </si>
  <si>
    <t>Prestasi saat ini</t>
  </si>
  <si>
    <t>b</t>
  </si>
  <si>
    <t>Potongan Retensi</t>
  </si>
  <si>
    <t>Potongan Retensi s/d saat ini</t>
  </si>
  <si>
    <t>Potongan Retensi yang lalu</t>
  </si>
  <si>
    <t>Potongan Retensi saat ini</t>
  </si>
  <si>
    <t>c</t>
  </si>
  <si>
    <t>Pengembalian Uang Muka</t>
  </si>
  <si>
    <t>Pengembalian Uang Muka s/d saat ini</t>
  </si>
  <si>
    <t>Pengembalian Uang Muka yang lalu</t>
  </si>
  <si>
    <t>Pengembalian Uang saat ini</t>
  </si>
  <si>
    <t>d.</t>
  </si>
  <si>
    <t>Potongan Pembayaran</t>
  </si>
  <si>
    <t>JUMLAH SETELAH DIKURANGI RETENSI, UANG MUKA (a-b-c)</t>
  </si>
  <si>
    <t>PAJAK PERTAMBAHAN NILAI (PPN)</t>
  </si>
  <si>
    <t>TOTAL</t>
  </si>
  <si>
    <t xml:space="preserve">Total Pembayaran </t>
  </si>
  <si>
    <t>Demikian Berita Acara Pembayaran ini dibuat untuk dapat dipergunakan sebagaimana mestinya.</t>
  </si>
  <si>
    <t>BERITA ACARA PRESTASI PEKERJAAN</t>
  </si>
  <si>
    <t>I</t>
  </si>
  <si>
    <t xml:space="preserve"> </t>
  </si>
  <si>
    <t>Selaku Project Coordinator, Proyek Design and Build Perkuatan Dermaga Barat JICT Pelabuhan Tanjung Priok, dalam hal ini bertindak untuk dan atas nama Waskita - Nindya KSO, yang berkedudukan di Gedung Waskita IDSurvey TowerJl. M.T. Haryono Kavling No.10, Jatinegara, Jakarta Timur</t>
  </si>
  <si>
    <t xml:space="preserve">yang selanjutnya disebut PIHAK PERTAMA </t>
  </si>
  <si>
    <t>II</t>
  </si>
  <si>
    <t xml:space="preserve">yang selanjutnya disebut PIHAK KEDUA </t>
  </si>
  <si>
    <t>, tanggal :</t>
  </si>
  <si>
    <t>Rp.</t>
  </si>
  <si>
    <t xml:space="preserve">Waktu pelaksanaan </t>
  </si>
  <si>
    <t>s.d.</t>
  </si>
  <si>
    <t xml:space="preserve">Dengan rincian sebagai berikut : </t>
  </si>
  <si>
    <t>Volume</t>
  </si>
  <si>
    <t>Realisasi Volume Pekerjaan</t>
  </si>
  <si>
    <t>sesuai</t>
  </si>
  <si>
    <t>B A</t>
  </si>
  <si>
    <t xml:space="preserve">Periode Ini </t>
  </si>
  <si>
    <t>Sisa yang</t>
  </si>
  <si>
    <t>Harga</t>
  </si>
  <si>
    <t>No</t>
  </si>
  <si>
    <t>Macam Pekerjaan</t>
  </si>
  <si>
    <t>SPK /</t>
  </si>
  <si>
    <t>s / d</t>
  </si>
  <si>
    <t>yang</t>
  </si>
  <si>
    <t>belum</t>
  </si>
  <si>
    <t>Satuan</t>
  </si>
  <si>
    <t>Kontrak</t>
  </si>
  <si>
    <t>yang lalu</t>
  </si>
  <si>
    <t xml:space="preserve">Saat Ini </t>
  </si>
  <si>
    <t>ditagihkan</t>
  </si>
  <si>
    <t>di  BA kan</t>
  </si>
  <si>
    <t>1</t>
  </si>
  <si>
    <t>2</t>
  </si>
  <si>
    <t>6 = 4+5</t>
  </si>
  <si>
    <t>8 = 3 - 6</t>
  </si>
  <si>
    <t>10 = 7 x 9</t>
  </si>
  <si>
    <t>JUMLAH</t>
  </si>
  <si>
    <t>Maka PIHAK KEDUA berhak menerima pembayaran dengan perhitungan sebagai berikut :</t>
  </si>
  <si>
    <t>Prestasi s / d  saat ini</t>
  </si>
  <si>
    <t>=  Rp</t>
  </si>
  <si>
    <t xml:space="preserve"> ( dari kolom  10 )</t>
  </si>
  <si>
    <t>Prestasi s / d  yang lalu</t>
  </si>
  <si>
    <t xml:space="preserve"> ( - )</t>
  </si>
  <si>
    <t>Prestasi yang dapat dibayarkan saat ini</t>
  </si>
  <si>
    <t>Potongan :</t>
  </si>
  <si>
    <t xml:space="preserve"> -  Uang muka</t>
  </si>
  <si>
    <t xml:space="preserve"> -  Retensi</t>
  </si>
  <si>
    <t>Jumlah pembayaran yang diterima</t>
  </si>
  <si>
    <t>Demikian Berita Acara Prestasi Pekerjaan ini dibuat untuk dapat dipergunakan sebagaimana mestinya.</t>
  </si>
  <si>
    <t xml:space="preserve"> -  Lain-lain</t>
  </si>
  <si>
    <t>RINCIAN PROGRES PEKERJAAN</t>
  </si>
  <si>
    <r>
      <t xml:space="preserve"> PROYEK </t>
    </r>
    <r>
      <rPr>
        <b/>
        <i/>
        <sz val="16"/>
        <rFont val="Arial"/>
        <family val="2"/>
      </rPr>
      <t>DESIGN AND BUILD</t>
    </r>
    <r>
      <rPr>
        <b/>
        <sz val="16"/>
        <rFont val="Arial"/>
        <family val="2"/>
      </rPr>
      <t xml:space="preserve"> PERKUATAN DERMAGA BARAT JICT PELABUHAN TANJUNG PRIOK</t>
    </r>
  </si>
  <si>
    <t>NO.</t>
  </si>
  <si>
    <t>URAIAN</t>
  </si>
  <si>
    <t>SAT</t>
  </si>
  <si>
    <t>SESUAI DENGAN RAB</t>
  </si>
  <si>
    <t>VOLUME</t>
  </si>
  <si>
    <t>HARGA SATUAN (Rp)</t>
  </si>
  <si>
    <t>JUMLAH HARGA (Rp)</t>
  </si>
  <si>
    <t>BOBOT</t>
  </si>
  <si>
    <t>S/D PERIODE LALU</t>
  </si>
  <si>
    <t>PERIODE INI</t>
  </si>
  <si>
    <t>S/D PERIODE INI</t>
  </si>
  <si>
    <t>ALOKASI VOLUME PROGRES PER TERMIN - OTOMATIS dari sheet 'REKAP PROGRES' kolom J:O (TERMIN 1-6). Jangan diisi manual di sini.</t>
  </si>
  <si>
    <t>TOTAL BOBOT TERALOKASI</t>
  </si>
  <si>
    <t>( % )</t>
  </si>
  <si>
    <t>PROGRES</t>
  </si>
  <si>
    <t>HARGA SATUAN</t>
  </si>
  <si>
    <t>JUMLAH HARGA</t>
  </si>
  <si>
    <t>TERMIN 1</t>
  </si>
  <si>
    <t>TERMIN 2</t>
  </si>
  <si>
    <t>TERMIN 3</t>
  </si>
  <si>
    <t>TERMIN 4</t>
  </si>
  <si>
    <t>TERMIN 5</t>
  </si>
  <si>
    <t>TERMIN 6</t>
  </si>
  <si>
    <t>TOTAL ALOKASI</t>
  </si>
  <si>
    <t>SISA VOLUME</t>
  </si>
  <si>
    <t>STATUS</t>
  </si>
  <si>
    <t xml:space="preserve"> PROYEK DESIGN AND BUILD PERKUATAN DERMAGA BARAT JICT PELABUHAN TANJUNG PRIOK</t>
  </si>
  <si>
    <t>Mengetahui / Menyetujui,</t>
  </si>
  <si>
    <t>Diperiksa Oleh,</t>
  </si>
  <si>
    <t>Diajukan Oleh,</t>
  </si>
  <si>
    <t>SUBKONTRAKTOR</t>
  </si>
  <si>
    <t>Disetujui :</t>
  </si>
  <si>
    <t>Alokasi volume per termin diisi HANYA di sheet 'rincian ' (master termin 1). Sheet ini otomatis mengambil dari sana.</t>
  </si>
  <si>
    <t>REKAPITULASI KUANTITAS DAN HARGA</t>
  </si>
  <si>
    <t>Nomor SPK/Kontrak</t>
  </si>
  <si>
    <t>Tanggal SPK/Kontrak</t>
  </si>
  <si>
    <t>Pekerjaan</t>
  </si>
  <si>
    <t>Proyek</t>
  </si>
  <si>
    <t>URAIAN PEKERJAAN</t>
  </si>
  <si>
    <t>HARGA SATUAN (Rp.)</t>
  </si>
  <si>
    <t>JUMLAH HARGA (Rp.)</t>
  </si>
  <si>
    <t xml:space="preserve">PPN </t>
  </si>
  <si>
    <t>TOTAL HARGA</t>
  </si>
  <si>
    <t>TERBILANG :</t>
  </si>
  <si>
    <t>PIHAK PERTAMA,</t>
  </si>
  <si>
    <t>PIHAK KEDUA,</t>
  </si>
  <si>
    <t>ANGKA</t>
  </si>
  <si>
    <t>HURUF</t>
  </si>
  <si>
    <t>Tabel bantu angka -&gt; huruf untuk tanggal &amp; tahun pada BAPP / BAP / BAPR. Jangan diubah.</t>
  </si>
  <si>
    <t>Satu</t>
  </si>
  <si>
    <t>Dua</t>
  </si>
  <si>
    <t>Tiga</t>
  </si>
  <si>
    <t>Empat</t>
  </si>
  <si>
    <t>Lima</t>
  </si>
  <si>
    <t>Enam</t>
  </si>
  <si>
    <t>Tujuh</t>
  </si>
  <si>
    <t>Delapan</t>
  </si>
  <si>
    <t>Sembilan</t>
  </si>
  <si>
    <t>Sepuluh</t>
  </si>
  <si>
    <t>Sebelas</t>
  </si>
  <si>
    <t>Dua Belas</t>
  </si>
  <si>
    <t>Tiga Belas</t>
  </si>
  <si>
    <t>Empat Belas</t>
  </si>
  <si>
    <t>Lima Belas</t>
  </si>
  <si>
    <t>Enam Belas</t>
  </si>
  <si>
    <t>Tujuh Belas</t>
  </si>
  <si>
    <t>Delapan Belas</t>
  </si>
  <si>
    <t>Sembilan Belas</t>
  </si>
  <si>
    <t>Dua Puluh</t>
  </si>
  <si>
    <t>Dua Puluh Satu</t>
  </si>
  <si>
    <t>Dua Puluh Dua</t>
  </si>
  <si>
    <t>Dua Puluh Tiga</t>
  </si>
  <si>
    <t>Dua Puluh Empat</t>
  </si>
  <si>
    <t>Dua Puluh Lima</t>
  </si>
  <si>
    <t>Dua Puluh Enam</t>
  </si>
  <si>
    <t>Dua Puluh Tujuh</t>
  </si>
  <si>
    <t>Dua Puluh Delapan</t>
  </si>
  <si>
    <t>Dua Puluh Sembilan</t>
  </si>
  <si>
    <t>Tiga Puluh</t>
  </si>
  <si>
    <t>Tiga Puluh Satu</t>
  </si>
  <si>
    <t>Tiga Puluh Dua</t>
  </si>
  <si>
    <t>Tiga Puluh Tiga</t>
  </si>
  <si>
    <t>Tiga Puluh Empat</t>
  </si>
  <si>
    <t>Tiga Puluh Lima</t>
  </si>
  <si>
    <t>Tiga Puluh Enam</t>
  </si>
  <si>
    <t>Tiga Puluh Tujuh</t>
  </si>
  <si>
    <t>Tiga Puluh Delapan</t>
  </si>
  <si>
    <t>Tiga Puluh Sembilan</t>
  </si>
  <si>
    <t>Empat Puluh</t>
  </si>
  <si>
    <t>Empat Puluh Satu</t>
  </si>
  <si>
    <t>Empat Puluh Dua</t>
  </si>
  <si>
    <t>Empat Puluh Tiga</t>
  </si>
  <si>
    <t>Empat Puluh Empat</t>
  </si>
  <si>
    <t>Empat Puluh Lima</t>
  </si>
  <si>
    <t>Empat Puluh Enam</t>
  </si>
  <si>
    <t>Empat Puluh Tujuh</t>
  </si>
  <si>
    <t>Empat Puluh Delapan</t>
  </si>
  <si>
    <t>Empat Puluh Sembilan</t>
  </si>
  <si>
    <t>Lima Puluh</t>
  </si>
  <si>
    <t>Lima Puluh Satu</t>
  </si>
  <si>
    <t>Lima Puluh Dua</t>
  </si>
  <si>
    <t>Lima Puluh Tiga</t>
  </si>
  <si>
    <t>Lima Puluh Empat</t>
  </si>
  <si>
    <t>Lima Puluh Lima</t>
  </si>
  <si>
    <t>Lima Puluh Enam</t>
  </si>
  <si>
    <t>Lima Puluh Tujuh</t>
  </si>
  <si>
    <t>Lima Puluh Delapan</t>
  </si>
  <si>
    <t>Lima Puluh Sembilan</t>
  </si>
  <si>
    <t>Enam Puluh</t>
  </si>
  <si>
    <t>Enam Puluh Satu</t>
  </si>
  <si>
    <t>Enam Puluh Dua</t>
  </si>
  <si>
    <t>Enam Puluh Tiga</t>
  </si>
  <si>
    <t>Enam Puluh Empat</t>
  </si>
  <si>
    <t>Enam Puluh Lima</t>
  </si>
  <si>
    <t>Enam Puluh Enam</t>
  </si>
  <si>
    <t>Enam Puluh Tujuh</t>
  </si>
  <si>
    <t>Enam Puluh Delapan</t>
  </si>
  <si>
    <t>Enam Puluh Sembilan</t>
  </si>
  <si>
    <t>Tujuh Puluh</t>
  </si>
  <si>
    <t>Tujuh Puluh Satu</t>
  </si>
  <si>
    <t>Tujuh Puluh Dua</t>
  </si>
  <si>
    <t>Tujuh Puluh Tiga</t>
  </si>
  <si>
    <t>Tujuh Puluh Empat</t>
  </si>
  <si>
    <t>Tujuh Puluh Lima</t>
  </si>
  <si>
    <t>Tujuh Puluh Enam</t>
  </si>
  <si>
    <t>Tujuh Puluh Tujuh</t>
  </si>
  <si>
    <t>Tujuh Puluh Delapan</t>
  </si>
  <si>
    <t>Tujuh Puluh Sembilan</t>
  </si>
  <si>
    <t>Delapan Puluh</t>
  </si>
  <si>
    <t>Delapan Puluh Satu</t>
  </si>
  <si>
    <t>Delapan Puluh Dua</t>
  </si>
  <si>
    <t>Delapan Puluh Tiga</t>
  </si>
  <si>
    <t>Delapan Puluh Empat</t>
  </si>
  <si>
    <t>Delapan Puluh Lima</t>
  </si>
  <si>
    <t>Delapan Puluh Enam</t>
  </si>
  <si>
    <t>Delapan Puluh Tujuh</t>
  </si>
  <si>
    <t>Delapan Puluh Delapan</t>
  </si>
  <si>
    <t>Delapan Puluh Sembilan</t>
  </si>
  <si>
    <t>Sembilan Puluh</t>
  </si>
  <si>
    <t>Sembilan Puluh Satu</t>
  </si>
  <si>
    <t>Sembilan Puluh Dua</t>
  </si>
  <si>
    <t>Sembilan Puluh Tiga</t>
  </si>
  <si>
    <t>Sembilan Puluh Empat</t>
  </si>
  <si>
    <t>Sembilan Puluh Lima</t>
  </si>
  <si>
    <t>Sembilan Puluh Enam</t>
  </si>
  <si>
    <t>Sembilan Puluh Tujuh</t>
  </si>
  <si>
    <t>Sembilan Puluh Delapan</t>
  </si>
  <si>
    <t>Sembilan Puluh Sembilan</t>
  </si>
  <si>
    <t>INPUT VARIABEL TAGIHAN SUBKONTRAKTOR</t>
  </si>
  <si>
    <t>Isi hanya sel berwarna biru. Sheet lamp / rincian / BAPP / BAP 1 / BAPR mengambil datanya dari sini. Jangan mengubah tata letak sheet cetak.</t>
  </si>
  <si>
    <t>A. KONTRAK / SPKP</t>
  </si>
  <si>
    <t>Nomor SPKP / Kontrak</t>
  </si>
  <si>
    <t>Tanggal SPKP</t>
  </si>
  <si>
    <t>Nama Pekerjaan</t>
  </si>
  <si>
    <t>Nama Proyek</t>
  </si>
  <si>
    <r>
      <rPr>
        <i/>
        <sz val="12"/>
        <color rgb="FF0000FF"/>
        <rFont val="Arial"/>
        <family val="2"/>
      </rPr>
      <t xml:space="preserve">Design and Build </t>
    </r>
    <r>
      <rPr>
        <sz val="12"/>
        <color rgb="FF0000FF"/>
        <rFont val="Arial"/>
        <family val="2"/>
      </rPr>
      <t>Perkuatan Dermaga Barat JICT Pelabuhan Tanjung Priok</t>
    </r>
  </si>
  <si>
    <t>Mulai Pelaksanaan</t>
  </si>
  <si>
    <t>Akhir Pelaksanaan</t>
  </si>
  <si>
    <t>Nilai Kontrak (Exclude PPN)</t>
  </si>
  <si>
    <t>Tarif PPN</t>
  </si>
  <si>
    <t>B. PIHAK PERTAMA</t>
  </si>
  <si>
    <t>Nama Pihak Pertama</t>
  </si>
  <si>
    <t>Dedy Hariyanto</t>
  </si>
  <si>
    <t>Jabatan Pihak Pertama</t>
  </si>
  <si>
    <t>Kepala Proyek</t>
  </si>
  <si>
    <t>Jabatan pada Tanda Tangan BAPP</t>
  </si>
  <si>
    <t>Nama KSO</t>
  </si>
  <si>
    <t>WASKITA - NINDYA, KSO</t>
  </si>
  <si>
    <t>Alamat KSO</t>
  </si>
  <si>
    <t>Gedung Waskita IDSurvey Tower Jl. M.T. Haryono Kavling No.10, Jatinegara, Jakarta Timur</t>
  </si>
  <si>
    <t>Divisi</t>
  </si>
  <si>
    <t>DIVISI INFRASTRUKTUR</t>
  </si>
  <si>
    <t>C. PIHAK KEDUA (SUBKONTRAKTOR)</t>
  </si>
  <si>
    <t>Nama Direktur</t>
  </si>
  <si>
    <t>Jabatan Direktur</t>
  </si>
  <si>
    <t>Nama Perusahaan</t>
  </si>
  <si>
    <t>Alamat Perusahaan</t>
  </si>
  <si>
    <t>D. DOKUMEN BERITA ACARA</t>
  </si>
  <si>
    <t>Termin Aktif (pratinjau nomor/tanggal di sheet DATA saja)</t>
  </si>
  <si>
    <t>Tanggal BA (mengikuti Termin Aktif)</t>
  </si>
  <si>
    <t>Nomor BAPP</t>
  </si>
  <si>
    <t>Nomor BAP</t>
  </si>
  <si>
    <t>Nomor BAPR</t>
  </si>
  <si>
    <t>Nomor BAST</t>
  </si>
  <si>
    <t>Tanggal BAST</t>
  </si>
  <si>
    <t>Tanggal BA Retensi (BAPR)</t>
  </si>
  <si>
    <t>Kota Tanda Tangan</t>
  </si>
  <si>
    <t>Jakarta</t>
  </si>
  <si>
    <t>E. PRESTASI &amp; POTONGAN</t>
  </si>
  <si>
    <t>[referensi] Prestasi s/d lalu - tiap sheet kini pakai rincian-nya sendiri</t>
  </si>
  <si>
    <t>[referensi] Override manual prestasi lalu (tidak dipakai lagi)</t>
  </si>
  <si>
    <t>[referensi] Prestasi s/d lalu dipakai</t>
  </si>
  <si>
    <t>Prestasi s/d saat ini (%)</t>
  </si>
  <si>
    <t>Prestasi saat ini (%)</t>
  </si>
  <si>
    <t>Retensi Kontrak (%)</t>
  </si>
  <si>
    <t>Uang Muka Kontrak (%)</t>
  </si>
  <si>
    <t>Pengembalian Uang Muka pada BAP (%)</t>
  </si>
  <si>
    <t>Potongan Retensi pada BAP (%)</t>
  </si>
  <si>
    <t>F. TANGGAL DALAM HURUF (otomatis)</t>
  </si>
  <si>
    <t>Hari BA</t>
  </si>
  <si>
    <t>Tanggal BA (huruf)</t>
  </si>
  <si>
    <t>Bulan BA</t>
  </si>
  <si>
    <t>Tahun BA (huruf)</t>
  </si>
  <si>
    <t>Tanggal BA (dd mmmm yyyy)</t>
  </si>
  <si>
    <t>Hari BAPR</t>
  </si>
  <si>
    <t>Tanggal BAPR (huruf)</t>
  </si>
  <si>
    <t>Bulan BAPR</t>
  </si>
  <si>
    <t>Tahun BAPR (huruf)</t>
  </si>
  <si>
    <t>Tanggal BAPR (dd mmmm yyyy)</t>
  </si>
  <si>
    <t>G. PENANDATANGAN PERSETUJUAN</t>
  </si>
  <si>
    <t>Nama Pemberi Persetujuan</t>
  </si>
  <si>
    <t>Jabatan Pemberi Persetujuan</t>
  </si>
  <si>
    <t>H. KUASA KSO (BERLAKU DI BAP, LAMPIRAN, BAPR)</t>
  </si>
  <si>
    <t>Nama Kuasa KSO</t>
  </si>
  <si>
    <t>Stefanus Gunawan</t>
  </si>
  <si>
    <t>Jabatan Kuasa KSO</t>
  </si>
  <si>
    <t>Kuasa KSO</t>
  </si>
  <si>
    <t>Batas Nilai Wajib Kuasa KSO (Rp)</t>
  </si>
  <si>
    <t>Penanda Tangan BAP / Lampiran / BAPR</t>
  </si>
  <si>
    <t>Jabatan Penanda Tangan BAP / Lampiran / BAPR</t>
  </si>
  <si>
    <t>I. DATA REKANAN (otomatis dari sheet rekanan)</t>
  </si>
  <si>
    <t>Kunci Rekanan (Name Org di sheet rekanan)</t>
  </si>
  <si>
    <t>Baris ditemukan</t>
  </si>
  <si>
    <t>Nama Rekanan</t>
  </si>
  <si>
    <t>Alamat Rekanan</t>
  </si>
  <si>
    <t>NPWP Rekanan</t>
  </si>
  <si>
    <t>Telepon Rekanan</t>
  </si>
  <si>
    <t>Email Rekanan</t>
  </si>
  <si>
    <t>Bank Rekanan</t>
  </si>
  <si>
    <t>No. Rekening Rekanan</t>
  </si>
  <si>
    <t>Nama Rekening Rekanan</t>
  </si>
  <si>
    <t>Override manual alamat Pihak Kedua (kosongkan = pakai data rekanan)</t>
  </si>
  <si>
    <t>Override manual NPWP Pihak Kedua</t>
  </si>
  <si>
    <t>NPWP Pihak Kedua (dipakai)</t>
  </si>
  <si>
    <t>J. REKAP BOBOT PROGRES PER TERMIN (kontrol alokasi di sheet 'rincian ')</t>
  </si>
  <si>
    <t>Bobot Termin 1</t>
  </si>
  <si>
    <t>Bobot Termin 2</t>
  </si>
  <si>
    <t>Bobot Termin 3</t>
  </si>
  <si>
    <t>Bobot Termin 4</t>
  </si>
  <si>
    <t>Bobot Termin 5</t>
  </si>
  <si>
    <t>Bobot Termin 6</t>
  </si>
  <si>
    <t>Total Bobot Termin 1-6</t>
  </si>
  <si>
    <t>Status Alokasi</t>
  </si>
  <si>
    <t>Alokasi volume tiap termin diisi di sheet 'rincian ' kolom AL:AQ (TERMIN 1 s/d TERMIN 6)</t>
  </si>
  <si>
    <t>K. TANGGAL BA PER TERMIN (1 progres bulanan = 1 print)</t>
  </si>
  <si>
    <t>Tanggal BA Termin 1</t>
  </si>
  <si>
    <t>Tanggal BA Termin 2</t>
  </si>
  <si>
    <t>Tanggal BA Termin 3</t>
  </si>
  <si>
    <t>Tanggal BA Termin 4</t>
  </si>
  <si>
    <t>Tanggal BA Termin 5</t>
  </si>
  <si>
    <t>Tanggal BA Termin 6</t>
  </si>
  <si>
    <t>L. PENANDA TANGAN SHEET RINCIAN &amp; LAMPIRAN</t>
  </si>
  <si>
    <t>Nama Perusahaan pada TTD Rincian</t>
  </si>
  <si>
    <t>PT. WASKITA KARYA (Persero) Tbk.</t>
  </si>
  <si>
    <t>Divisi pada TTD Rincian</t>
  </si>
  <si>
    <t>Divisi Infrasturktur</t>
  </si>
  <si>
    <t>Nama Penyetuju (Mengetahui / Menyetujui)</t>
  </si>
  <si>
    <t>Jabatan Penyetuju</t>
  </si>
  <si>
    <t>Nama Pemeriksa (Diperiksa Oleh)</t>
  </si>
  <si>
    <t>I Gede Khresna Ardhya Putra</t>
  </si>
  <si>
    <t>Jabatan Pemeriksa</t>
  </si>
  <si>
    <t>Kasi Teknik &amp; Administrasi kontrak</t>
  </si>
  <si>
    <t>Nama Pengaju (Diajukan Oleh)</t>
  </si>
  <si>
    <t>Joko Supriyono</t>
  </si>
  <si>
    <t>Jabatan Pengaju</t>
  </si>
  <si>
    <t>Kasi Pengadaan, Logistik &amp; Peralatan</t>
  </si>
  <si>
    <t>KODE</t>
  </si>
  <si>
    <t>TAHAP</t>
  </si>
  <si>
    <t>KELOMPOK</t>
  </si>
  <si>
    <t>SATUAN</t>
  </si>
  <si>
    <t>VOL KONTRAK</t>
  </si>
  <si>
    <t>BOBOT %</t>
  </si>
  <si>
    <t>VOL TERPAKAI</t>
  </si>
  <si>
    <t>SISA VOL</t>
  </si>
  <si>
    <t>% PENYELESAIAN</t>
  </si>
  <si>
    <t>BOBOT TERPAKAI</t>
  </si>
  <si>
    <t>LAPORAN PROGRES PER ITEM PEKERJAAN</t>
  </si>
  <si>
    <t>Total Bobot Tercapai</t>
  </si>
  <si>
    <t>Item Selesai 100%</t>
  </si>
  <si>
    <t>Gunakan filter STATUS di sel B3 - pilih 'SELESAI 100%' untuk melihat item yang volumenya sudah habis / tercapai 100%.</t>
  </si>
  <si>
    <t>(Semua)</t>
  </si>
  <si>
    <t>Jumlah Harga (Rp)</t>
  </si>
  <si>
    <t>Bobot Kontrak</t>
  </si>
  <si>
    <t>Bobot Tercapai</t>
  </si>
  <si>
    <t>Vol Kontrak</t>
  </si>
  <si>
    <t>Vol Terpakai</t>
  </si>
  <si>
    <t>Sisa Vol</t>
  </si>
  <si>
    <t>TAHAP BIM</t>
  </si>
  <si>
    <t/>
  </si>
  <si>
    <t>BIM KEGIATAN DESIGN</t>
  </si>
  <si>
    <t>Dokumentasi gambar 2D Construction Drawing</t>
  </si>
  <si>
    <t>Informasi aset manajemen (Assembly code berbasis kode rab, dll)</t>
  </si>
  <si>
    <t>Informasi Assembly code berbasis kode rab</t>
  </si>
  <si>
    <t>Pembuatan BIM Execution Plan v.1.0</t>
  </si>
  <si>
    <t>Pemetaan Photogrametry Tahap Awal</t>
  </si>
  <si>
    <t>Pemodelan federasi (STR-MEP)</t>
  </si>
  <si>
    <t>Permodelan konsolidasi dan Clash Detection</t>
  </si>
  <si>
    <t>Permodelan LOD 200 (dari Gambar Tender)</t>
  </si>
  <si>
    <t>Permodelan LOD 300 (dari T.A Struktur)</t>
  </si>
  <si>
    <t>Permodelan LOD 400 (dari T.A Struktur)</t>
  </si>
  <si>
    <t>Quantity Take off LOD 400</t>
  </si>
  <si>
    <t>Training BIM CDE Perencanaan</t>
  </si>
  <si>
    <t>BIM KEGIATAN KONSTRUKSI</t>
  </si>
  <si>
    <t>BIM Model 4D-5D</t>
  </si>
  <si>
    <t>Dokumentasi gambar 2D Shopdrawing dan asbuilt</t>
  </si>
  <si>
    <t>Pelaksanaan Dashboard Project</t>
  </si>
  <si>
    <t>Pemetaan Photogrametry</t>
  </si>
  <si>
    <t>Pemodelan Federasi Model (STR-MEP)</t>
  </si>
  <si>
    <t>Progress Training CDE</t>
  </si>
  <si>
    <t>Schedule level 1-2 ra-ri</t>
  </si>
  <si>
    <t>Schedule level 3-4 ra-ri</t>
  </si>
  <si>
    <t>Update BIM Execution Plan v.2.0</t>
  </si>
  <si>
    <t>Update BIM Model LOD 500</t>
  </si>
  <si>
    <t>TAHAP DED</t>
  </si>
  <si>
    <t>BIAYA PENUNJANG</t>
  </si>
  <si>
    <t>Akomodasi Tenaga Ahli (Uang Makan)</t>
  </si>
  <si>
    <t>Akomodasi Tim Pendukung (Uang Makan)</t>
  </si>
  <si>
    <t>APD</t>
  </si>
  <si>
    <t>Asisten Ahli Dermaga</t>
  </si>
  <si>
    <t>Asisten Ahli Geotek</t>
  </si>
  <si>
    <t>Cost Estimator</t>
  </si>
  <si>
    <t>Drafter</t>
  </si>
  <si>
    <t>Lead Geotechnical Engineer- Tenaga Ahli Geotek</t>
  </si>
  <si>
    <t>Lead Mechanical and Electrical - Tenaga Ahli Mekanikal / Tenaga Listrik</t>
  </si>
  <si>
    <t>Lead Structural Engineer - Tenaga Ahli Dermaga</t>
  </si>
  <si>
    <t>Office Consumable</t>
  </si>
  <si>
    <t>Operation &amp; Maintenance Kendaraan Roda 4</t>
  </si>
  <si>
    <t>Sewa Kendaraan Roda 4 (2 unit)</t>
  </si>
  <si>
    <t>Sewa Laptop untuk (tenaga pendukung)</t>
  </si>
  <si>
    <t>Sewa Printer A3 colour</t>
  </si>
  <si>
    <t>Sewa Software Analisa Struktur</t>
  </si>
  <si>
    <t>Sewa Software Autodesk</t>
  </si>
  <si>
    <t>Team Leader - Tenaga Ahli Geotek</t>
  </si>
  <si>
    <t>Telepon dan Komunikasi</t>
  </si>
  <si>
    <t>Tenaga Administrasi</t>
  </si>
  <si>
    <t>Transportasi Personil Tim Ahli (Pulang-pergi)</t>
  </si>
  <si>
    <t>Transportasi Personil Tim Pendukung (Pulang-pergi)</t>
  </si>
  <si>
    <t>Tunjangan Perumahan:</t>
  </si>
  <si>
    <t>PEMBUATAN LAPORAN</t>
  </si>
  <si>
    <t>Hard Disk 1TB</t>
  </si>
  <si>
    <t>Laporan Draft Final</t>
  </si>
  <si>
    <t>Laporan Final</t>
  </si>
  <si>
    <t>Laporan Pendahuluan</t>
  </si>
  <si>
    <t>PROFESSIONAL INDEMNITY INSURANCE (PII)</t>
  </si>
  <si>
    <t>TENAGA AHLI</t>
  </si>
  <si>
    <t>Lead Geotechnical Engineer- Tenaga Ahli Geotek (S3 ≥ 10 Tahun) Ahli Utama</t>
  </si>
  <si>
    <t>Lead Mechanical and Electrical - Tenaga Ahli Mekanikal / Tenaga Listrik (S1 ≥ 7 Tahun) Ahli Madya</t>
  </si>
  <si>
    <t>Lead Structural Engineer - Tenaga Ahli Dermaga (S3 ≥ 10 Tahun) Ahli Utama</t>
  </si>
  <si>
    <t>Team Leader - Tenaga Ahli Geotek (S3 ≥ 10 Tahun) Ahli Utama</t>
  </si>
  <si>
    <t>TENAGA PENDUKUNG</t>
  </si>
  <si>
    <t>Asisten Ahli Dermaga - (S2 ≥ 6 Tahun) Ahli Madya</t>
  </si>
  <si>
    <t>Asisten Ahli Geotek - (S2 ≥ 5 Tahun) Ahli Madya</t>
  </si>
  <si>
    <t>Cost Estimator (S1 ≥ 1 Tahun)</t>
  </si>
  <si>
    <t>Drafter (S1 ≥ 1 Tahun)</t>
  </si>
  <si>
    <t>Tenaga Administrasi (S1 ≥ 1 Tahun)</t>
  </si>
  <si>
    <t>TAHAP PELAKSANAAN (PENDAMPINGAN KONSTRUKSI)</t>
  </si>
  <si>
    <t>BIAYA LANGSUNG NON PERSONIL</t>
  </si>
  <si>
    <t>Akomodasi Personil (Uang Makan + Penginapan)</t>
  </si>
  <si>
    <t>Transportasi Personil (Pulang-pergi)</t>
  </si>
  <si>
    <t>BIAYA LANGSUNG PERSONIL</t>
  </si>
  <si>
    <t>Asisten Ahli</t>
  </si>
  <si>
    <t>Lead Geophysics Engineer - Tenaga Ahli Geofisika (S1 ≥ 7 Tahun) Ahli Madya</t>
  </si>
  <si>
    <t>TAHAP SURVEY</t>
  </si>
  <si>
    <t>Pengujian Laboratorium</t>
  </si>
  <si>
    <t>Atterberg Limit (PL, LL, IP)</t>
  </si>
  <si>
    <t>Engineering Properties Test</t>
  </si>
  <si>
    <t>Grain Size Analysis (GSA) inc. Hydrometer Analysis</t>
  </si>
  <si>
    <t>Index Properties Test</t>
  </si>
  <si>
    <t>Triaxial Test UU/UCT/Direct Shear</t>
  </si>
  <si>
    <t>Vane Shear Test</t>
  </si>
  <si>
    <t>Volumetri &amp; Gravimetri (Water Content, Bulk Density &amp; Dry Density, Specific Gravity, Void Ratio, &amp; Porositas Tanah)</t>
  </si>
  <si>
    <t>Penyelidikan Tanah di Darat</t>
  </si>
  <si>
    <t>Core Box</t>
  </si>
  <si>
    <t>Pengeboran Dalam (Boring) 20 Titik @ 60m</t>
  </si>
  <si>
    <t>Sampling Interval 5 m</t>
  </si>
  <si>
    <t>Standard Penetration Test Interval 2 m</t>
  </si>
  <si>
    <t>Penyelidikan Tanah di Laut / Perairan</t>
  </si>
  <si>
    <t>Pengeboran Dalam (Boring) 22 Titik @ 60m</t>
  </si>
  <si>
    <t>Persiapan Bathymetri</t>
  </si>
  <si>
    <t>Keamanan</t>
  </si>
  <si>
    <t>Mobilisasi dan Demobilisasi Peralatan (incl Operator)</t>
  </si>
  <si>
    <t>Persiapan dan Peralatan Penyelidikan Tanah di Darat</t>
  </si>
  <si>
    <t>Moving, Positioning, Setup Mesin Bor</t>
  </si>
  <si>
    <t>Persiapan dan Peralatan Penyelidikan Tanah di Laut</t>
  </si>
  <si>
    <t>Bagan / Platform (On Water Boring)</t>
  </si>
  <si>
    <t>Sewa Perahu</t>
  </si>
  <si>
    <t>Persiapan GPR</t>
  </si>
  <si>
    <t>Persiapan Hidrooceanografi</t>
  </si>
  <si>
    <t>Persiapan Penyelidikan Tanah</t>
  </si>
  <si>
    <t>Persiapan Topografi</t>
  </si>
  <si>
    <t>Survey Bathymetri</t>
  </si>
  <si>
    <t>Pelaporan</t>
  </si>
  <si>
    <t>Survey GPR</t>
  </si>
  <si>
    <t>Survey Hidrooceanografi</t>
  </si>
  <si>
    <t>Survey Kecepatan Arus dan Gelombang</t>
  </si>
  <si>
    <t>Survey Pasang Surut</t>
  </si>
  <si>
    <t>Survey Topografi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</si>
</sst>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3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Rp&quot;#,##0.00_);\(&quot;Rp&quot;#,##0.00\)"/>
    <numFmt numFmtId="167" formatCode="&quot;Rp&quot;#,##0.00_);[Red]\(&quot;Rp&quot;#,##0.00\)"/>
    <numFmt numFmtId="168" formatCode="_(&quot;Rp&quot;* #,##0_);_(&quot;Rp&quot;* \(#,##0\);_(&quot;Rp&quot;* &quot;-&quot;_);_(@_)"/>
    <numFmt numFmtId="169" formatCode="_(&quot;Rp&quot;* #,##0.00_);_(&quot;Rp&quot;* \(#,##0.00\);_(&quot;Rp&quot;* &quot;-&quot;??_);_(@_)"/>
    <numFmt numFmtId="170" formatCode="_(* #.##0_);_(* \(#.##0\);_(* &quot;-&quot;_);_(@_)"/>
    <numFmt numFmtId="171" formatCode="_(* #,##0.00_);_(* \(#,##0.00\);_(* &quot;-&quot;_);_(@_)"/>
    <numFmt numFmtId="172" formatCode="_(* #,##0_);_(* \(#,##0\);_(* &quot;-&quot;??_);_(@_)"/>
    <numFmt numFmtId="173" formatCode="_(* #,##0.000_);_(* \(#,##0.000\);_(* &quot;-&quot;_);_(@_)"/>
    <numFmt numFmtId="174" formatCode="_(* #,##0.00_);_(* \(#,##0.00\);_(* \-??_);_(@_)"/>
    <numFmt numFmtId="175" formatCode="_-* #,##0.00_-;\-* #,##0.00_-;_-* &quot;-&quot;_-;_-@_-"/>
    <numFmt numFmtId="176" formatCode="0.000%"/>
    <numFmt numFmtId="177" formatCode="[$-421]dd\ mmmm\ yyyy;@"/>
    <numFmt numFmtId="178" formatCode="0.0%"/>
    <numFmt numFmtId="179" formatCode="#,##0.00_ ;\-#,##0.00\ "/>
    <numFmt numFmtId="180" formatCode="_(* #,##0.0_);_(* \(#,##0.0\);_(* &quot;-&quot;_);_(@_)"/>
    <numFmt numFmtId="181" formatCode="_([$Rp-421]* #,##0.00_);_([$Rp-421]* \(#,##0.00\);_([$Rp-421]* &quot;-&quot;??_);_(@_)"/>
    <numFmt numFmtId="182" formatCode="_(* #,##0.0_);_(* \(#,##0.0\);_(* &quot;-&quot;??_);_(@_)"/>
    <numFmt numFmtId="183" formatCode="\\#,##0.00;[Red]&quot;\\\\\\-&quot;#,##0.00"/>
    <numFmt numFmtId="184" formatCode="\\#,##0;[Red]&quot;\\-&quot;#,##0"/>
    <numFmt numFmtId="185" formatCode="_-* #,##0_-;\-* #,##0_-;_-* \-_-;_-@_-"/>
    <numFmt numFmtId="186" formatCode="_(* #,##0.0_);_(* \(#,##0.0\);_(* \-??_);_(@_)"/>
    <numFmt numFmtId="187" formatCode="#,##0.0_);\(#,##0.00\)"/>
    <numFmt numFmtId="188" formatCode="\£#,##0;&quot;-£&quot;#,##0"/>
    <numFmt numFmtId="189" formatCode="&quot;£&quot;#,##0;\-&quot;£&quot;#,##0"/>
    <numFmt numFmtId="190" formatCode="General_)"/>
    <numFmt numFmtId="191" formatCode="_-&quot;Rp.&quot;* #,##0_-;&quot;-Rp.&quot;* #,##0_-;_-&quot;Rp.&quot;* \-_-;_-@_-"/>
    <numFmt numFmtId="192" formatCode="_([$¥ -421]* #,##0.00_);_([$¥ -421]* \(#,##0.00\);_([$¥ -421]* &quot;-&quot;??_);_(@_)"/>
    <numFmt numFmtId="193" formatCode="#,##0.00000_);[Red]\(#,##0.00000\)"/>
    <numFmt numFmtId="194" formatCode="#,##0.000000_);[Red]\(#,##0.000000\)"/>
    <numFmt numFmtId="195" formatCode="dd\-mmm\-yy_)"/>
    <numFmt numFmtId="196" formatCode="\$#,##0.000_);&quot;($&quot;#,##0.00\)"/>
    <numFmt numFmtId="197" formatCode="_(* #,##0_);_(* \(#,##0\);_(* \-_);_(@_)"/>
    <numFmt numFmtId="198" formatCode="#,##0.00\ ;\(#,##0.00\)"/>
    <numFmt numFmtId="199" formatCode="#,##0\ ;&quot; (&quot;#,##0\);&quot; - &quot;;@\ "/>
    <numFmt numFmtId="200" formatCode="&quot;£&quot;#,##0.00;[Red]\-&quot;£&quot;#,##0.00"/>
    <numFmt numFmtId="201" formatCode="#,##0.00\ ;&quot; (&quot;#,##0.00\);&quot; -&quot;#\ ;@\ "/>
    <numFmt numFmtId="202" formatCode="#,##0.0_);[Red]\(#,##0.0\)"/>
    <numFmt numFmtId="203" formatCode="#,##0.000"/>
    <numFmt numFmtId="204" formatCode="#,##0.000_);\(#,##0.000\)"/>
    <numFmt numFmtId="205" formatCode="&quot;A &quot;0"/>
    <numFmt numFmtId="206" formatCode="_(* #,##0.0000_);_(* \(#,##0.0000\);_(* &quot;-&quot;????_);_(@_)"/>
    <numFmt numFmtId="207" formatCode="#,##0.00;[Red]#,##0.00"/>
    <numFmt numFmtId="208" formatCode="mmm\ d&quot;, &quot;yy"/>
    <numFmt numFmtId="209" formatCode="#,##0.000\ ;&quot; (&quot;#,##0.000\);&quot; -&quot;#\ ;@\ "/>
    <numFmt numFmtId="210" formatCode="#,###.000"/>
    <numFmt numFmtId="211" formatCode="#,###.00"/>
    <numFmt numFmtId="212" formatCode="#,##0;[Red]#,##0"/>
    <numFmt numFmtId="213" formatCode="#,##0.00_);\(#,##0.0\)"/>
    <numFmt numFmtId="214" formatCode="0###0"/>
    <numFmt numFmtId="215" formatCode="_(* #,##0.0000000000_);_(* \(#,##0.0000000000\);_(* \-??_);_(@_)"/>
    <numFmt numFmtId="216" formatCode="#,##0_);[Red]\(#,##0\);;@"/>
    <numFmt numFmtId="217" formatCode="_(* #,##0_);_(* &quot;\&quot;&quot;\&quot;&quot;\&quot;\(#,##0&quot;\&quot;&quot;\&quot;&quot;\&quot;\);_(* &quot;-&quot;_);_(@_)"/>
    <numFmt numFmtId="218" formatCode="_(* #,##0.00_);_(* &quot;\&quot;&quot;\&quot;&quot;\&quot;\(#,##0.00&quot;\&quot;&quot;\&quot;&quot;\&quot;\);_(* &quot;-&quot;??_);_(@_)"/>
    <numFmt numFmtId="219" formatCode="_([$€-2]* #,##0.00_);_([$€-2]* \(#,##0.00\);_([$€-2]* \-??_)"/>
    <numFmt numFmtId="220" formatCode="_(* #,##0.00000000000000_);_(* \(#,##0.00000000000000\);_(* \-??_);_(@_)"/>
    <numFmt numFmtId="221" formatCode="General\ ;[Red]\(General\)"/>
    <numFmt numFmtId="222" formatCode="#."/>
    <numFmt numFmtId="223" formatCode="0.00_)"/>
    <numFmt numFmtId="224" formatCode="_(* #,##0.00000000000000_);_(* \(#,##0.00000000000000\);_(* &quot;-&quot;??_);_(@_)"/>
    <numFmt numFmtId="225" formatCode="0.000"/>
    <numFmt numFmtId="226" formatCode="#,##0.00&quot;  &quot;"/>
    <numFmt numFmtId="227" formatCode="_ * #,##0_ ;_ * \-#,##0_ ;_ * \-??_ ;_ @_ "/>
    <numFmt numFmtId="228" formatCode="_ * #,##0_ ;_ * \-#,##0_ ;_ * &quot;-&quot;??_ ;_ @_ "/>
    <numFmt numFmtId="229" formatCode="#,##0.00\ "/>
    <numFmt numFmtId="230" formatCode="_-* #,##0.00_-;\-* #,##0.00_-;_-* \-??_-;_-@_-"/>
    <numFmt numFmtId="231" formatCode="0##0"/>
    <numFmt numFmtId="232" formatCode="_-\$* #,##0_-;&quot;-$&quot;* #,##0_-;_-\$* \-_-;_-@_-"/>
    <numFmt numFmtId="233" formatCode="_-\$* #,##0.00_-;&quot;-$&quot;* #,##0.00_-;_-\$* \-??_-;_-@_-"/>
    <numFmt numFmtId="234" formatCode="0&quot;    &quot;"/>
    <numFmt numFmtId="235" formatCode="#,##0.00&quot;   &quot;"/>
    <numFmt numFmtId="236" formatCode="_(&quot;$&quot;* #,##0_);_(&quot;$&quot;* &quot;\&quot;&quot;\&quot;&quot;\&quot;\(#,##0&quot;\&quot;&quot;\&quot;&quot;\&quot;\);_(&quot;$&quot;* &quot;-&quot;_);_(@_)"/>
    <numFmt numFmtId="237" formatCode="_(&quot;$&quot;* #,##0.00_);_(&quot;$&quot;* &quot;\&quot;&quot;\&quot;&quot;\&quot;\(#,##0.00&quot;\&quot;&quot;\&quot;&quot;\&quot;\);_(&quot;$&quot;* &quot;-&quot;??_);_(@_)"/>
    <numFmt numFmtId="238" formatCode="_-* #,##0.0\ _F_-;\-* #,##0.0\ _F_-;_-* \-?\ _F_-;_-@_-"/>
    <numFmt numFmtId="239" formatCode="_(* #,##0_);_(* \(#,##0\);_(* \-??_);_(@_)"/>
    <numFmt numFmtId="240" formatCode="_-* #,##0\ _F_-;\-* #,##0\ _F_-;_-* \-??\ _F_-;_-@_-"/>
    <numFmt numFmtId="241" formatCode="_-* #,##0.0\ _F_-;\-* #,##0.0\ _F_-;_-* \-??\ _F_-;_-@_-"/>
    <numFmt numFmtId="242" formatCode="\\#,##0.00;[Red]&quot;\-&quot;#,##0.00"/>
    <numFmt numFmtId="243" formatCode="\\#,##0;[Red]&quot;\-&quot;#,##0"/>
    <numFmt numFmtId="244" formatCode="_(&quot;Rp&quot;* #,##0_);_(&quot;Rp&quot;* \(#,##0\);_(&quot;Rp&quot;* &quot;-&quot;??_);_(@_)"/>
    <numFmt numFmtId="245" formatCode="_-* #,##0_-;\-* #,##0_-;_-* &quot;-&quot;??_-;_-@_-"/>
    <numFmt numFmtId="246" formatCode="[$-F800]dddd\,\ mmmm\ dd\,\ yyyy"/>
    <numFmt numFmtId="247" formatCode="_([$Rp-421]* #,##0_);_([$Rp-421]* \(#,##0\);_([$Rp-421]* &quot;-&quot;_);_(@_)"/>
    <numFmt numFmtId="248" formatCode="[$-409]d\-mmm\-yyyy;@"/>
    <numFmt numFmtId="249" formatCode="_-&quot;Rp&quot;* #,##0_-;\-&quot;Rp&quot;* #,##0_-;_-&quot;Rp&quot;* &quot;-&quot;??_-;_-@_-"/>
    <numFmt numFmtId="250" formatCode="dd\ mmmm\ yyyy"/>
  </numFmts>
  <fonts count="181"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name val="Arial"/>
      <family val="2"/>
    </font>
    <font>
      <sz val="12"/>
      <name val="Times New Roman"/>
      <family val="1"/>
    </font>
    <font>
      <b/>
      <u/>
      <sz val="16"/>
      <name val="Tahoma"/>
      <family val="2"/>
    </font>
    <font>
      <sz val="12"/>
      <name val="Tahoma"/>
      <family val="2"/>
    </font>
    <font>
      <b/>
      <sz val="12"/>
      <name val="Tahoma"/>
      <family val="2"/>
    </font>
    <font>
      <sz val="10"/>
      <name val="Tahoma"/>
      <family val="2"/>
    </font>
    <font>
      <sz val="10"/>
      <name val="Arial"/>
      <family val="2"/>
    </font>
    <font>
      <b/>
      <u/>
      <sz val="12"/>
      <name val="Tahoma"/>
      <family val="2"/>
    </font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  <charset val="1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i/>
      <sz val="11"/>
      <color indexed="8"/>
      <name val="Comic Sans MS"/>
      <family val="4"/>
    </font>
    <font>
      <u/>
      <sz val="11"/>
      <color indexed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1"/>
      <name val="Tahoma"/>
      <family val="2"/>
    </font>
    <font>
      <b/>
      <sz val="11"/>
      <color indexed="8"/>
      <name val="Arial"/>
      <family val="2"/>
    </font>
    <font>
      <b/>
      <u/>
      <sz val="11"/>
      <color indexed="8"/>
      <name val="Arial"/>
      <family val="2"/>
    </font>
    <font>
      <b/>
      <u/>
      <sz val="16"/>
      <color indexed="8"/>
      <name val="Clarendon Condensed"/>
      <charset val="1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10"/>
      <name val="Tahoma"/>
      <family val="2"/>
    </font>
    <font>
      <sz val="14"/>
      <name val="Arial"/>
      <family val="2"/>
    </font>
    <font>
      <b/>
      <u/>
      <sz val="14"/>
      <name val="Arial"/>
      <family val="2"/>
    </font>
    <font>
      <b/>
      <sz val="14"/>
      <name val="Tahoma"/>
      <family val="2"/>
    </font>
    <font>
      <sz val="14"/>
      <name val="Tahoma"/>
      <family val="2"/>
    </font>
    <font>
      <b/>
      <sz val="16"/>
      <name val="Arial"/>
      <family val="2"/>
    </font>
    <font>
      <u/>
      <sz val="14"/>
      <name val="Arial"/>
      <family val="2"/>
    </font>
    <font>
      <b/>
      <sz val="18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sz val="12"/>
      <name val="DUTCH"/>
    </font>
    <font>
      <sz val="12"/>
      <color theme="0"/>
      <name val="Arial"/>
      <family val="2"/>
    </font>
    <font>
      <sz val="10"/>
      <name val="???"/>
      <family val="3"/>
    </font>
    <font>
      <sz val="10"/>
      <name val="Helv"/>
      <family val="2"/>
    </font>
    <font>
      <sz val="1"/>
      <color indexed="8"/>
      <name val="Courier"/>
      <family val="3"/>
    </font>
    <font>
      <sz val="14"/>
      <name val="‚l‚r –¾’©"/>
      <family val="1"/>
      <charset val="128"/>
    </font>
    <font>
      <sz val="12"/>
      <name val="Courier"/>
      <family val="3"/>
    </font>
    <font>
      <sz val="1"/>
      <color indexed="8"/>
      <name val="Courier New"/>
      <family val="3"/>
    </font>
    <font>
      <sz val="14"/>
      <name val="–¾’©"/>
      <charset val="128"/>
    </font>
    <font>
      <sz val="9.5"/>
      <name val="lr ¾©"/>
      <family val="1"/>
    </font>
    <font>
      <sz val="11"/>
      <color indexed="8"/>
      <name val="Calibri"/>
      <family val="2"/>
      <charset val="1"/>
    </font>
    <font>
      <sz val="11"/>
      <color indexed="9"/>
      <name val="Calibri"/>
      <family val="2"/>
    </font>
    <font>
      <sz val="11"/>
      <color indexed="9"/>
      <name val="Calibri"/>
      <family val="2"/>
      <charset val="1"/>
    </font>
    <font>
      <b/>
      <u/>
      <sz val="18"/>
      <color indexed="9"/>
      <name val="Tahoma"/>
      <family val="2"/>
    </font>
    <font>
      <sz val="8"/>
      <name val="Times New Roman"/>
      <family val="1"/>
    </font>
    <font>
      <sz val="9"/>
      <name val="¹ÙÅÁÃ¼"/>
      <family val="1"/>
    </font>
    <font>
      <sz val="11"/>
      <color indexed="20"/>
      <name val="Calibri"/>
      <family val="2"/>
    </font>
    <font>
      <sz val="11"/>
      <color indexed="20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MS Sans Serif"/>
      <family val="2"/>
    </font>
    <font>
      <sz val="11"/>
      <name val="Arial Narrow"/>
      <family val="2"/>
    </font>
    <font>
      <sz val="12"/>
      <name val="¹UAAA¼"/>
      <family val="3"/>
    </font>
    <font>
      <sz val="12"/>
      <name val="¹ÙÅÁÃ¼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b/>
      <sz val="11"/>
      <color indexed="9"/>
      <name val="Calibri"/>
      <family val="2"/>
    </font>
    <font>
      <sz val="10"/>
      <name val="SWISS"/>
    </font>
    <font>
      <sz val="10"/>
      <name val="Arial2"/>
    </font>
    <font>
      <sz val="10"/>
      <color indexed="8"/>
      <name val="Arial"/>
      <family val="2"/>
      <charset val="1"/>
    </font>
    <font>
      <sz val="10"/>
      <name val="Geneva"/>
    </font>
    <font>
      <sz val="10"/>
      <name val="MS Serif"/>
      <family val="1"/>
    </font>
    <font>
      <b/>
      <u/>
      <sz val="11"/>
      <name val="Times New Roman"/>
      <family val="1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 Narrow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</font>
    <font>
      <b/>
      <sz val="11"/>
      <color indexed="56"/>
      <name val="Calibri"/>
      <family val="2"/>
      <charset val="1"/>
    </font>
    <font>
      <b/>
      <sz val="1"/>
      <color indexed="8"/>
      <name val="Courier"/>
      <family val="3"/>
    </font>
    <font>
      <b/>
      <sz val="8"/>
      <name val="MS Sans Serif"/>
      <family val="2"/>
    </font>
    <font>
      <u/>
      <sz val="10"/>
      <color indexed="12"/>
      <name val="Tahoma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62"/>
      <name val="Calibri"/>
      <family val="2"/>
      <charset val="1"/>
    </font>
    <font>
      <b/>
      <sz val="18"/>
      <color indexed="56"/>
      <name val="Cambria"/>
      <family val="2"/>
      <charset val="1"/>
    </font>
    <font>
      <sz val="11"/>
      <name val="Arial"/>
      <family val="2"/>
    </font>
    <font>
      <b/>
      <sz val="11"/>
      <color indexed="63"/>
      <name val="Calibri"/>
      <family val="2"/>
      <charset val="1"/>
    </font>
    <font>
      <sz val="11"/>
      <color indexed="52"/>
      <name val="Calibri"/>
      <family val="2"/>
    </font>
    <font>
      <sz val="11"/>
      <color indexed="52"/>
      <name val="Calibri"/>
      <family val="2"/>
      <charset val="1"/>
    </font>
    <font>
      <b/>
      <sz val="12"/>
      <name val="SWISS"/>
    </font>
    <font>
      <sz val="9"/>
      <name val="Arial"/>
      <family val="2"/>
    </font>
    <font>
      <sz val="10"/>
      <name val="Century Gothic"/>
      <family val="2"/>
    </font>
    <font>
      <b/>
      <sz val="9"/>
      <name val="Arial"/>
      <family val="2"/>
    </font>
    <font>
      <sz val="12"/>
      <name val="Book Antiqua"/>
      <family val="1"/>
    </font>
    <font>
      <sz val="11"/>
      <color indexed="60"/>
      <name val="Calibri"/>
      <family val="2"/>
      <charset val="1"/>
    </font>
    <font>
      <sz val="11"/>
      <color indexed="60"/>
      <name val="Calibri"/>
      <family val="2"/>
    </font>
    <font>
      <sz val="10"/>
      <name val="Times New Roman"/>
      <family val="1"/>
    </font>
    <font>
      <sz val="7"/>
      <name val="Small Fonts"/>
      <family val="2"/>
    </font>
    <font>
      <b/>
      <i/>
      <sz val="16"/>
      <name val="Helv"/>
    </font>
    <font>
      <sz val="10"/>
      <name val="Helv"/>
    </font>
    <font>
      <sz val="10"/>
      <name val="Arial Narrow"/>
      <family val="2"/>
    </font>
    <font>
      <sz val="10"/>
      <name val="Courier"/>
      <family val="3"/>
    </font>
    <font>
      <sz val="12"/>
      <name val="SWISS"/>
    </font>
    <font>
      <sz val="10"/>
      <name val="Arial1"/>
    </font>
    <font>
      <sz val="9"/>
      <name val="Arial Narrow"/>
      <family val="2"/>
    </font>
    <font>
      <sz val="10"/>
      <name val="SWISS"/>
      <family val="2"/>
    </font>
    <font>
      <b/>
      <sz val="11"/>
      <color indexed="63"/>
      <name val="Calibri"/>
      <family val="2"/>
    </font>
    <font>
      <b/>
      <sz val="10"/>
      <color indexed="8"/>
      <name val="Univers"/>
      <family val="2"/>
    </font>
    <font>
      <sz val="8"/>
      <name val="MS Sans Serif"/>
      <family val="2"/>
    </font>
    <font>
      <sz val="12"/>
      <name val="SWISS"/>
      <family val="2"/>
    </font>
    <font>
      <sz val="10"/>
      <name val="Helv"/>
      <charset val="204"/>
    </font>
    <font>
      <b/>
      <sz val="12"/>
      <color indexed="18"/>
      <name val="Times New Roman"/>
      <family val="1"/>
    </font>
    <font>
      <b/>
      <sz val="8"/>
      <color indexed="8"/>
      <name val="Arial"/>
      <family val="2"/>
    </font>
    <font>
      <sz val="10"/>
      <name val="VNI-Times"/>
    </font>
    <font>
      <b/>
      <sz val="10"/>
      <name val="Arial Narrow"/>
      <family val="2"/>
    </font>
    <font>
      <sz val="11"/>
      <color indexed="10"/>
      <name val="Calibri"/>
      <family val="2"/>
      <charset val="1"/>
    </font>
    <font>
      <sz val="10"/>
      <name val="VNI-Univer"/>
    </font>
    <font>
      <sz val="24"/>
      <color indexed="13"/>
      <name val="Arial"/>
      <family val="2"/>
    </font>
    <font>
      <b/>
      <sz val="18"/>
      <color indexed="56"/>
      <name val="Cambria"/>
      <family val="2"/>
    </font>
    <font>
      <b/>
      <i/>
      <sz val="12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Calibri"/>
      <family val="2"/>
      <charset val="1"/>
    </font>
    <font>
      <b/>
      <sz val="10"/>
      <name val="Century Gothic"/>
      <family val="2"/>
    </font>
    <font>
      <sz val="12"/>
      <color indexed="10"/>
      <name val="Arial Narrow"/>
      <family val="2"/>
    </font>
    <font>
      <u/>
      <sz val="10"/>
      <color indexed="14"/>
      <name val="Courier New"/>
      <family val="3"/>
    </font>
    <font>
      <sz val="10"/>
      <name val="VNI-Helve-Condense"/>
    </font>
    <font>
      <sz val="11"/>
      <color indexed="10"/>
      <name val="Calibri"/>
      <family val="2"/>
    </font>
    <font>
      <sz val="12"/>
      <name val="뼻뮝"/>
      <family val="1"/>
    </font>
    <font>
      <sz val="10"/>
      <name val="굴림체"/>
      <family val="3"/>
    </font>
    <font>
      <sz val="12"/>
      <name val="新細明體"/>
      <charset val="136"/>
    </font>
    <font>
      <sz val="14"/>
      <name val="ＭＳ 明朝"/>
      <family val="1"/>
      <charset val="128"/>
    </font>
    <font>
      <sz val="10"/>
      <color theme="0"/>
      <name val="Arial"/>
      <family val="2"/>
    </font>
    <font>
      <b/>
      <u/>
      <sz val="12"/>
      <color theme="0"/>
      <name val="Arial"/>
      <family val="2"/>
    </font>
    <font>
      <b/>
      <sz val="10"/>
      <color indexed="8"/>
      <name val="Arial"/>
      <family val="2"/>
    </font>
    <font>
      <b/>
      <u/>
      <sz val="11"/>
      <color theme="0"/>
      <name val="Arial"/>
      <family val="2"/>
    </font>
    <font>
      <sz val="10"/>
      <name val="Geneva"/>
      <family val="2"/>
    </font>
    <font>
      <u val="singleAccounting"/>
      <sz val="12"/>
      <name val="Tahoma"/>
      <family val="2"/>
    </font>
    <font>
      <b/>
      <sz val="11"/>
      <name val="Arial"/>
      <family val="2"/>
    </font>
    <font>
      <sz val="11"/>
      <color theme="1"/>
      <name val="Tahoma"/>
      <family val="2"/>
    </font>
    <font>
      <b/>
      <i/>
      <sz val="11"/>
      <name val="Arial"/>
      <family val="2"/>
    </font>
    <font>
      <sz val="12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2"/>
      <color rgb="FFFF0000"/>
      <name val="Tahoma"/>
      <family val="2"/>
    </font>
    <font>
      <b/>
      <sz val="12"/>
      <color rgb="FFFF0000"/>
      <name val="Tahoma"/>
      <family val="2"/>
    </font>
    <font>
      <b/>
      <i/>
      <sz val="12"/>
      <name val="Tahoma"/>
      <family val="2"/>
    </font>
    <font>
      <b/>
      <sz val="20"/>
      <name val="Tahoma"/>
      <family val="2"/>
    </font>
    <font>
      <b/>
      <i/>
      <sz val="16"/>
      <name val="Arial"/>
      <family val="2"/>
    </font>
    <font>
      <b/>
      <sz val="13"/>
      <name val="Arial"/>
      <family val="2"/>
    </font>
    <font>
      <sz val="12"/>
      <color rgb="FF0000FF"/>
      <name val="Arial"/>
      <family val="2"/>
    </font>
    <font>
      <sz val="12"/>
      <color rgb="FF008000"/>
      <name val="Arial"/>
      <family val="2"/>
    </font>
    <font>
      <sz val="12"/>
      <color rgb="FF0000FF"/>
      <name val="Tahoma"/>
      <family val="2"/>
    </font>
    <font>
      <sz val="12"/>
      <color rgb="FF0000FF"/>
      <name val="Times New Roman"/>
      <family val="1"/>
    </font>
    <font>
      <i/>
      <sz val="12"/>
      <name val="Arial"/>
      <family val="2"/>
    </font>
    <font>
      <sz val="14"/>
      <color rgb="FF008000"/>
      <name val="Tahoma"/>
      <family val="2"/>
    </font>
    <font>
      <i/>
      <sz val="12"/>
      <color rgb="FF0000FF"/>
      <name val="Arial"/>
      <family val="2"/>
    </font>
    <font>
      <b/>
      <sz val="11"/>
      <name val="Arial"/>
      <family val="2"/>
      <charset val="1"/>
    </font>
    <font>
      <b/>
      <sz val="11"/>
      <color theme="1"/>
      <name val="Tahoma"/>
      <family val="2"/>
      <charset val="1"/>
    </font>
  </fonts>
  <fills count="57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41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12"/>
        <bgColor indexed="39"/>
      </patternFill>
    </fill>
    <fill>
      <patternFill patternType="solid">
        <fgColor indexed="1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2"/>
      </patternFill>
    </fill>
    <fill>
      <patternFill patternType="solid">
        <fgColor indexed="22"/>
        <bgColor indexed="31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22"/>
      </patternFill>
    </fill>
    <fill>
      <patternFill patternType="solid">
        <fgColor indexed="13"/>
        <bgColor indexed="34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9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2"/>
      </patternFill>
    </fill>
    <fill>
      <patternFill patternType="solid">
        <fgColor indexed="9"/>
        <bgColor indexed="26"/>
      </patternFill>
    </fill>
    <fill>
      <patternFill patternType="solid">
        <fgColor indexed="41"/>
        <bgColor indexed="31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</fills>
  <borders count="15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double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 style="double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727">
    <xf numFmtId="0" fontId="0" fillId="0" borderId="0"/>
    <xf numFmtId="41" fontId="15" fillId="0" borderId="0" applyFont="0" applyFill="0" applyBorder="0" applyAlignment="0" applyProtection="0"/>
    <xf numFmtId="170" fontId="21" fillId="0" borderId="0" applyFont="0" applyFill="0" applyBorder="0" applyAlignment="0" applyProtection="0"/>
    <xf numFmtId="0" fontId="15" fillId="0" borderId="0"/>
    <xf numFmtId="0" fontId="21" fillId="0" borderId="0"/>
    <xf numFmtId="0" fontId="23" fillId="0" borderId="0"/>
    <xf numFmtId="170" fontId="21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174" fontId="25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21" fillId="0" borderId="0"/>
    <xf numFmtId="174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174" fontId="25" fillId="0" borderId="0" applyFont="0" applyFill="0" applyBorder="0" applyAlignment="0" applyProtection="0"/>
    <xf numFmtId="174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6" fillId="0" borderId="0"/>
    <xf numFmtId="0" fontId="15" fillId="2" borderId="0"/>
    <xf numFmtId="43" fontId="21" fillId="0" borderId="0" applyFont="0" applyFill="0" applyBorder="0" applyAlignment="0" applyProtection="0"/>
    <xf numFmtId="0" fontId="13" fillId="0" borderId="0"/>
    <xf numFmtId="0" fontId="12" fillId="0" borderId="0"/>
    <xf numFmtId="0" fontId="42" fillId="0" borderId="0"/>
    <xf numFmtId="41" fontId="43" fillId="0" borderId="0" applyFont="0" applyFill="0" applyBorder="0" applyAlignment="0" applyProtection="0"/>
    <xf numFmtId="0" fontId="11" fillId="0" borderId="0"/>
    <xf numFmtId="165" fontId="18" fillId="0" borderId="0" applyFont="0" applyFill="0" applyBorder="0" applyAlignment="0" applyProtection="0"/>
    <xf numFmtId="41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23" fillId="0" borderId="0"/>
    <xf numFmtId="0" fontId="9" fillId="0" borderId="0"/>
    <xf numFmtId="41" fontId="9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7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/>
    <xf numFmtId="0" fontId="5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1" fillId="0" borderId="0"/>
    <xf numFmtId="0" fontId="55" fillId="0" borderId="0"/>
    <xf numFmtId="183" fontId="21" fillId="0" borderId="0" applyFill="0" applyBorder="0" applyAlignment="0" applyProtection="0"/>
    <xf numFmtId="0" fontId="21" fillId="0" borderId="0" applyFill="0" applyBorder="0" applyAlignment="0" applyProtection="0"/>
    <xf numFmtId="184" fontId="21" fillId="0" borderId="0" applyFill="0" applyBorder="0" applyAlignment="0" applyProtection="0"/>
    <xf numFmtId="40" fontId="21" fillId="0" borderId="0" applyFill="0" applyBorder="0" applyAlignment="0" applyProtection="0"/>
    <xf numFmtId="38" fontId="21" fillId="0" borderId="0" applyFill="0" applyBorder="0" applyAlignment="0" applyProtection="0"/>
    <xf numFmtId="185" fontId="21" fillId="0" borderId="0" applyFill="0" applyBorder="0" applyAlignment="0" applyProtection="0"/>
    <xf numFmtId="9" fontId="21" fillId="0" borderId="0" applyFill="0" applyBorder="0" applyAlignment="0" applyProtection="0"/>
    <xf numFmtId="0" fontId="57" fillId="0" borderId="0"/>
    <xf numFmtId="0" fontId="21" fillId="0" borderId="0"/>
    <xf numFmtId="0" fontId="21" fillId="0" borderId="0"/>
    <xf numFmtId="0" fontId="58" fillId="0" borderId="0"/>
    <xf numFmtId="0" fontId="2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1" fillId="0" borderId="0"/>
    <xf numFmtId="0" fontId="21" fillId="0" borderId="0"/>
    <xf numFmtId="0" fontId="58" fillId="0" borderId="0"/>
    <xf numFmtId="0" fontId="58" fillId="0" borderId="0"/>
    <xf numFmtId="0" fontId="58" fillId="0" borderId="0"/>
    <xf numFmtId="0" fontId="21" fillId="0" borderId="0"/>
    <xf numFmtId="0" fontId="21" fillId="0" borderId="0"/>
    <xf numFmtId="0" fontId="58" fillId="0" borderId="0"/>
    <xf numFmtId="0" fontId="21" fillId="0" borderId="0"/>
    <xf numFmtId="0" fontId="58" fillId="0" borderId="0"/>
    <xf numFmtId="0" fontId="21" fillId="0" borderId="0"/>
    <xf numFmtId="0" fontId="21" fillId="0" borderId="0"/>
    <xf numFmtId="0" fontId="58" fillId="0" borderId="0"/>
    <xf numFmtId="0" fontId="58" fillId="0" borderId="0"/>
    <xf numFmtId="0" fontId="21" fillId="0" borderId="0"/>
    <xf numFmtId="0" fontId="58" fillId="0" borderId="0"/>
    <xf numFmtId="0" fontId="16" fillId="0" borderId="0"/>
    <xf numFmtId="0" fontId="16" fillId="0" borderId="0"/>
    <xf numFmtId="0" fontId="21" fillId="0" borderId="0"/>
    <xf numFmtId="0" fontId="58" fillId="0" borderId="0"/>
    <xf numFmtId="0" fontId="21" fillId="0" borderId="0"/>
    <xf numFmtId="0" fontId="58" fillId="0" borderId="0"/>
    <xf numFmtId="0" fontId="2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1" fillId="0" borderId="0"/>
    <xf numFmtId="0" fontId="58" fillId="0" borderId="0"/>
    <xf numFmtId="0" fontId="21" fillId="0" borderId="0"/>
    <xf numFmtId="0" fontId="21" fillId="0" borderId="0"/>
    <xf numFmtId="0" fontId="58" fillId="0" borderId="0"/>
    <xf numFmtId="0" fontId="58" fillId="0" borderId="0"/>
    <xf numFmtId="0" fontId="58" fillId="0" borderId="0"/>
    <xf numFmtId="0" fontId="21" fillId="0" borderId="0"/>
    <xf numFmtId="0" fontId="58" fillId="0" borderId="0"/>
    <xf numFmtId="0" fontId="21" fillId="0" borderId="0"/>
    <xf numFmtId="0" fontId="21" fillId="0" borderId="0"/>
    <xf numFmtId="0" fontId="58" fillId="0" borderId="0"/>
    <xf numFmtId="0" fontId="58" fillId="0" borderId="0"/>
    <xf numFmtId="0" fontId="21" fillId="0" borderId="0"/>
    <xf numFmtId="0" fontId="58" fillId="0" borderId="0"/>
    <xf numFmtId="0" fontId="58" fillId="0" borderId="0"/>
    <xf numFmtId="0" fontId="21" fillId="0" borderId="0"/>
    <xf numFmtId="0" fontId="21" fillId="0" borderId="0"/>
    <xf numFmtId="0" fontId="21" fillId="0" borderId="0"/>
    <xf numFmtId="0" fontId="58" fillId="0" borderId="0"/>
    <xf numFmtId="0" fontId="58" fillId="0" borderId="0"/>
    <xf numFmtId="0" fontId="58" fillId="0" borderId="0"/>
    <xf numFmtId="0" fontId="21" fillId="0" borderId="0"/>
    <xf numFmtId="0" fontId="58" fillId="0" borderId="0"/>
    <xf numFmtId="0" fontId="58" fillId="0" borderId="0"/>
    <xf numFmtId="0" fontId="21" fillId="0" borderId="0"/>
    <xf numFmtId="0" fontId="58" fillId="0" borderId="0"/>
    <xf numFmtId="0" fontId="21" fillId="0" borderId="0"/>
    <xf numFmtId="0" fontId="21" fillId="0" borderId="0"/>
    <xf numFmtId="0" fontId="58" fillId="0" borderId="0"/>
    <xf numFmtId="0" fontId="58" fillId="0" borderId="0"/>
    <xf numFmtId="0" fontId="21" fillId="0" borderId="0"/>
    <xf numFmtId="0" fontId="21" fillId="0" borderId="0"/>
    <xf numFmtId="0" fontId="58" fillId="0" borderId="0"/>
    <xf numFmtId="0" fontId="58" fillId="0" borderId="0"/>
    <xf numFmtId="0" fontId="58" fillId="0" borderId="0"/>
    <xf numFmtId="0" fontId="21" fillId="0" borderId="0"/>
    <xf numFmtId="0" fontId="21" fillId="0" borderId="0"/>
    <xf numFmtId="0" fontId="58" fillId="0" borderId="0"/>
    <xf numFmtId="0" fontId="21" fillId="0" borderId="0"/>
    <xf numFmtId="0" fontId="58" fillId="0" borderId="0"/>
    <xf numFmtId="0" fontId="21" fillId="0" borderId="0"/>
    <xf numFmtId="0" fontId="21" fillId="0" borderId="0"/>
    <xf numFmtId="0" fontId="58" fillId="0" borderId="0"/>
    <xf numFmtId="0" fontId="58" fillId="0" borderId="0"/>
    <xf numFmtId="0" fontId="21" fillId="0" borderId="0"/>
    <xf numFmtId="0" fontId="58" fillId="0" borderId="0"/>
    <xf numFmtId="0" fontId="16" fillId="0" borderId="0"/>
    <xf numFmtId="0" fontId="58" fillId="0" borderId="0"/>
    <xf numFmtId="0" fontId="16" fillId="0" borderId="0"/>
    <xf numFmtId="0" fontId="16" fillId="0" borderId="0"/>
    <xf numFmtId="0" fontId="58" fillId="0" borderId="0"/>
    <xf numFmtId="0" fontId="21" fillId="0" borderId="0"/>
    <xf numFmtId="0" fontId="21" fillId="0" borderId="0"/>
    <xf numFmtId="0" fontId="58" fillId="0" borderId="0"/>
    <xf numFmtId="0" fontId="2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1" fillId="0" borderId="0"/>
    <xf numFmtId="0" fontId="58" fillId="0" borderId="0"/>
    <xf numFmtId="0" fontId="21" fillId="0" borderId="0"/>
    <xf numFmtId="0" fontId="21" fillId="0" borderId="0"/>
    <xf numFmtId="0" fontId="58" fillId="0" borderId="0"/>
    <xf numFmtId="0" fontId="58" fillId="0" borderId="0"/>
    <xf numFmtId="0" fontId="58" fillId="0" borderId="0"/>
    <xf numFmtId="0" fontId="21" fillId="0" borderId="0"/>
    <xf numFmtId="0" fontId="58" fillId="0" borderId="0"/>
    <xf numFmtId="0" fontId="21" fillId="0" borderId="0"/>
    <xf numFmtId="0" fontId="21" fillId="0" borderId="0"/>
    <xf numFmtId="0" fontId="58" fillId="0" borderId="0"/>
    <xf numFmtId="0" fontId="58" fillId="0" borderId="0"/>
    <xf numFmtId="0" fontId="21" fillId="0" borderId="0"/>
    <xf numFmtId="0" fontId="58" fillId="0" borderId="0"/>
    <xf numFmtId="0" fontId="58" fillId="0" borderId="0"/>
    <xf numFmtId="0" fontId="21" fillId="0" borderId="0"/>
    <xf numFmtId="0" fontId="21" fillId="0" borderId="0"/>
    <xf numFmtId="0" fontId="21" fillId="0" borderId="0"/>
    <xf numFmtId="0" fontId="58" fillId="0" borderId="0"/>
    <xf numFmtId="0" fontId="58" fillId="0" borderId="0"/>
    <xf numFmtId="0" fontId="58" fillId="0" borderId="0"/>
    <xf numFmtId="0" fontId="21" fillId="0" borderId="0"/>
    <xf numFmtId="0" fontId="58" fillId="0" borderId="0"/>
    <xf numFmtId="0" fontId="58" fillId="0" borderId="0"/>
    <xf numFmtId="0" fontId="21" fillId="0" borderId="0"/>
    <xf numFmtId="0" fontId="16" fillId="0" borderId="0"/>
    <xf numFmtId="0" fontId="16" fillId="0" borderId="0"/>
    <xf numFmtId="0" fontId="21" fillId="0" borderId="0"/>
    <xf numFmtId="0" fontId="21" fillId="0" borderId="0"/>
    <xf numFmtId="0" fontId="58" fillId="0" borderId="0"/>
    <xf numFmtId="0" fontId="2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1" fillId="0" borderId="0"/>
    <xf numFmtId="0" fontId="21" fillId="0" borderId="0"/>
    <xf numFmtId="0" fontId="58" fillId="0" borderId="0"/>
    <xf numFmtId="0" fontId="58" fillId="0" borderId="0"/>
    <xf numFmtId="0" fontId="58" fillId="0" borderId="0"/>
    <xf numFmtId="0" fontId="21" fillId="0" borderId="0"/>
    <xf numFmtId="0" fontId="21" fillId="0" borderId="0"/>
    <xf numFmtId="0" fontId="58" fillId="0" borderId="0"/>
    <xf numFmtId="0" fontId="21" fillId="0" borderId="0"/>
    <xf numFmtId="0" fontId="58" fillId="0" borderId="0"/>
    <xf numFmtId="0" fontId="21" fillId="0" borderId="0"/>
    <xf numFmtId="0" fontId="21" fillId="0" borderId="0"/>
    <xf numFmtId="0" fontId="58" fillId="0" borderId="0"/>
    <xf numFmtId="0" fontId="58" fillId="0" borderId="0"/>
    <xf numFmtId="0" fontId="21" fillId="0" borderId="0"/>
    <xf numFmtId="0" fontId="59" fillId="0" borderId="0">
      <protection locked="0"/>
    </xf>
    <xf numFmtId="0" fontId="59" fillId="0" borderId="0">
      <protection locked="0"/>
    </xf>
    <xf numFmtId="0" fontId="60" fillId="0" borderId="0"/>
    <xf numFmtId="0" fontId="59" fillId="0" borderId="0">
      <protection locked="0"/>
    </xf>
    <xf numFmtId="0" fontId="59" fillId="0" borderId="0">
      <protection locked="0"/>
    </xf>
    <xf numFmtId="186" fontId="21" fillId="0" borderId="0">
      <protection locked="0"/>
    </xf>
    <xf numFmtId="39" fontId="61" fillId="0" borderId="0"/>
    <xf numFmtId="182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65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7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8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188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8" fontId="21" fillId="0" borderId="0">
      <protection locked="0"/>
    </xf>
    <xf numFmtId="189" fontId="21" fillId="0" borderId="0">
      <protection locked="0"/>
    </xf>
    <xf numFmtId="189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0" fontId="59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65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6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" fontId="63" fillId="0" borderId="0"/>
    <xf numFmtId="191" fontId="21" fillId="0" borderId="0" applyBorder="0"/>
    <xf numFmtId="191" fontId="21" fillId="0" borderId="0" applyBorder="0"/>
    <xf numFmtId="0" fontId="59" fillId="0" borderId="0">
      <protection locked="0"/>
    </xf>
    <xf numFmtId="0" fontId="59" fillId="0" borderId="0">
      <protection locked="0"/>
    </xf>
    <xf numFmtId="0" fontId="64" fillId="0" borderId="0" applyBorder="0"/>
    <xf numFmtId="0" fontId="21" fillId="0" borderId="0"/>
    <xf numFmtId="0" fontId="25" fillId="0" borderId="0"/>
    <xf numFmtId="0" fontId="21" fillId="0" borderId="0"/>
    <xf numFmtId="0" fontId="65" fillId="0" borderId="0"/>
    <xf numFmtId="0" fontId="25" fillId="0" borderId="0"/>
    <xf numFmtId="0" fontId="21" fillId="0" borderId="0"/>
    <xf numFmtId="0" fontId="65" fillId="0" borderId="0"/>
    <xf numFmtId="9" fontId="21" fillId="0" borderId="0" applyFill="0" applyBorder="0" applyAlignment="0" applyProtection="0"/>
    <xf numFmtId="37" fontId="25" fillId="7" borderId="0" applyBorder="0" applyAlignment="0" applyProtection="0"/>
    <xf numFmtId="37" fontId="25" fillId="8" borderId="0" applyBorder="0" applyAlignment="0" applyProtection="0"/>
    <xf numFmtId="0" fontId="65" fillId="8" borderId="0" applyNumberFormat="0" applyBorder="0" applyAlignment="0" applyProtection="0"/>
    <xf numFmtId="37" fontId="25" fillId="9" borderId="0" applyBorder="0" applyAlignment="0" applyProtection="0"/>
    <xf numFmtId="0" fontId="65" fillId="9" borderId="0" applyNumberFormat="0" applyBorder="0" applyAlignment="0" applyProtection="0"/>
    <xf numFmtId="37" fontId="25" fillId="10" borderId="0" applyBorder="0" applyAlignment="0" applyProtection="0"/>
    <xf numFmtId="0" fontId="65" fillId="10" borderId="0" applyNumberFormat="0" applyBorder="0" applyAlignment="0" applyProtection="0"/>
    <xf numFmtId="37" fontId="25" fillId="11" borderId="0" applyBorder="0" applyAlignment="0" applyProtection="0"/>
    <xf numFmtId="0" fontId="65" fillId="11" borderId="0" applyNumberFormat="0" applyBorder="0" applyAlignment="0" applyProtection="0"/>
    <xf numFmtId="37" fontId="25" fillId="12" borderId="0" applyBorder="0" applyAlignment="0" applyProtection="0"/>
    <xf numFmtId="37" fontId="25" fillId="13" borderId="0" applyBorder="0" applyAlignment="0" applyProtection="0"/>
    <xf numFmtId="0" fontId="65" fillId="13" borderId="0" applyNumberFormat="0" applyBorder="0" applyAlignment="0" applyProtection="0"/>
    <xf numFmtId="37" fontId="25" fillId="14" borderId="0" applyBorder="0" applyAlignment="0" applyProtection="0"/>
    <xf numFmtId="37" fontId="25" fillId="15" borderId="0" applyBorder="0" applyAlignment="0" applyProtection="0"/>
    <xf numFmtId="0" fontId="65" fillId="15" borderId="0" applyNumberFormat="0" applyBorder="0" applyAlignment="0" applyProtection="0"/>
    <xf numFmtId="37" fontId="25" fillId="16" borderId="0" applyBorder="0" applyAlignment="0" applyProtection="0"/>
    <xf numFmtId="0" fontId="65" fillId="16" borderId="0" applyNumberFormat="0" applyBorder="0" applyAlignment="0" applyProtection="0"/>
    <xf numFmtId="37" fontId="25" fillId="17" borderId="0" applyBorder="0" applyAlignment="0" applyProtection="0"/>
    <xf numFmtId="0" fontId="65" fillId="17" borderId="0" applyNumberFormat="0" applyBorder="0" applyAlignment="0" applyProtection="0"/>
    <xf numFmtId="37" fontId="25" fillId="18" borderId="0" applyBorder="0" applyAlignment="0" applyProtection="0"/>
    <xf numFmtId="0" fontId="65" fillId="18" borderId="0" applyNumberFormat="0" applyBorder="0" applyAlignment="0" applyProtection="0"/>
    <xf numFmtId="37" fontId="25" fillId="11" borderId="0" applyBorder="0" applyAlignment="0" applyProtection="0"/>
    <xf numFmtId="0" fontId="65" fillId="11" borderId="0" applyNumberFormat="0" applyBorder="0" applyAlignment="0" applyProtection="0"/>
    <xf numFmtId="37" fontId="25" fillId="16" borderId="0" applyBorder="0" applyAlignment="0" applyProtection="0"/>
    <xf numFmtId="0" fontId="65" fillId="16" borderId="0" applyNumberFormat="0" applyBorder="0" applyAlignment="0" applyProtection="0"/>
    <xf numFmtId="37" fontId="25" fillId="19" borderId="0" applyBorder="0" applyAlignment="0" applyProtection="0"/>
    <xf numFmtId="0" fontId="65" fillId="19" borderId="0" applyNumberFormat="0" applyBorder="0" applyAlignment="0" applyProtection="0"/>
    <xf numFmtId="37" fontId="66" fillId="20" borderId="0" applyBorder="0" applyAlignment="0" applyProtection="0"/>
    <xf numFmtId="0" fontId="67" fillId="20" borderId="0" applyNumberFormat="0" applyBorder="0" applyAlignment="0" applyProtection="0"/>
    <xf numFmtId="37" fontId="66" fillId="17" borderId="0" applyBorder="0" applyAlignment="0" applyProtection="0"/>
    <xf numFmtId="0" fontId="67" fillId="17" borderId="0" applyNumberFormat="0" applyBorder="0" applyAlignment="0" applyProtection="0"/>
    <xf numFmtId="37" fontId="66" fillId="18" borderId="0" applyBorder="0" applyAlignment="0" applyProtection="0"/>
    <xf numFmtId="0" fontId="67" fillId="18" borderId="0" applyNumberFormat="0" applyBorder="0" applyAlignment="0" applyProtection="0"/>
    <xf numFmtId="37" fontId="66" fillId="21" borderId="0" applyBorder="0" applyAlignment="0" applyProtection="0"/>
    <xf numFmtId="0" fontId="67" fillId="21" borderId="0" applyNumberFormat="0" applyBorder="0" applyAlignment="0" applyProtection="0"/>
    <xf numFmtId="37" fontId="66" fillId="22" borderId="0" applyBorder="0" applyAlignment="0" applyProtection="0"/>
    <xf numFmtId="0" fontId="67" fillId="22" borderId="0" applyNumberFormat="0" applyBorder="0" applyAlignment="0" applyProtection="0"/>
    <xf numFmtId="37" fontId="66" fillId="23" borderId="0" applyBorder="0" applyAlignment="0" applyProtection="0"/>
    <xf numFmtId="0" fontId="67" fillId="23" borderId="0" applyNumberFormat="0" applyBorder="0" applyAlignment="0" applyProtection="0"/>
    <xf numFmtId="0" fontId="68" fillId="24" borderId="0" applyNumberFormat="0" applyBorder="0" applyAlignment="0"/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4" borderId="0" applyNumberFormat="0" applyBorder="0" applyAlignment="0"/>
    <xf numFmtId="0" fontId="68" fillId="24" borderId="0" applyNumberFormat="0" applyBorder="0" applyAlignment="0"/>
    <xf numFmtId="0" fontId="68" fillId="25" borderId="0" applyNumberFormat="0" applyBorder="0" applyAlignment="0">
      <alignment horizontal="center"/>
    </xf>
    <xf numFmtId="0" fontId="68" fillId="24" borderId="0" applyNumberFormat="0" applyBorder="0" applyAlignment="0"/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4" borderId="0" applyNumberFormat="0" applyBorder="0" applyAlignment="0"/>
    <xf numFmtId="0" fontId="68" fillId="24" borderId="0" applyNumberFormat="0" applyBorder="0" applyAlignment="0"/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4" borderId="0" applyNumberFormat="0" applyBorder="0" applyAlignment="0"/>
    <xf numFmtId="0" fontId="68" fillId="24" borderId="0" applyNumberFormat="0" applyBorder="0" applyAlignment="0"/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4" borderId="0" applyNumberFormat="0" applyBorder="0" applyAlignment="0"/>
    <xf numFmtId="0" fontId="68" fillId="24" borderId="0" applyNumberFormat="0" applyBorder="0" applyAlignment="0"/>
    <xf numFmtId="0" fontId="68" fillId="24" borderId="0" applyNumberFormat="0" applyBorder="0" applyAlignment="0"/>
    <xf numFmtId="0" fontId="68" fillId="25" borderId="0" applyNumberFormat="0" applyBorder="0" applyAlignment="0">
      <alignment horizontal="center"/>
    </xf>
    <xf numFmtId="0" fontId="68" fillId="24" borderId="0" applyNumberFormat="0" applyBorder="0" applyAlignment="0"/>
    <xf numFmtId="0" fontId="68" fillId="24" borderId="0" applyNumberFormat="0" applyBorder="0" applyAlignment="0"/>
    <xf numFmtId="39" fontId="68" fillId="24" borderId="0" applyBorder="0" applyAlignment="0"/>
    <xf numFmtId="39" fontId="68" fillId="24" borderId="0" applyBorder="0" applyAlignment="0"/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4" borderId="0" applyNumberFormat="0" applyBorder="0" applyAlignment="0"/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5" borderId="0" applyNumberFormat="0" applyBorder="0" applyAlignment="0">
      <alignment horizontal="center"/>
    </xf>
    <xf numFmtId="0" fontId="68" fillId="24" borderId="0" applyNumberFormat="0" applyBorder="0" applyAlignment="0"/>
    <xf numFmtId="0" fontId="68" fillId="24" borderId="0" applyNumberFormat="0" applyBorder="0" applyAlignment="0"/>
    <xf numFmtId="0" fontId="68" fillId="24" borderId="0" applyNumberFormat="0" applyBorder="0" applyAlignment="0"/>
    <xf numFmtId="0" fontId="68" fillId="24" borderId="0" applyNumberFormat="0" applyBorder="0" applyAlignment="0"/>
    <xf numFmtId="0" fontId="68" fillId="24" borderId="0" applyNumberFormat="0" applyBorder="0" applyAlignment="0"/>
    <xf numFmtId="0" fontId="68" fillId="25" borderId="0" applyNumberFormat="0" applyBorder="0" applyAlignment="0">
      <alignment horizontal="center"/>
    </xf>
    <xf numFmtId="0" fontId="68" fillId="24" borderId="0" applyNumberFormat="0" applyBorder="0" applyAlignment="0"/>
    <xf numFmtId="0" fontId="21" fillId="0" borderId="0"/>
    <xf numFmtId="37" fontId="66" fillId="26" borderId="0" applyBorder="0" applyAlignment="0" applyProtection="0"/>
    <xf numFmtId="0" fontId="67" fillId="26" borderId="0" applyNumberFormat="0" applyBorder="0" applyAlignment="0" applyProtection="0"/>
    <xf numFmtId="37" fontId="66" fillId="27" borderId="0" applyBorder="0" applyAlignment="0" applyProtection="0"/>
    <xf numFmtId="0" fontId="67" fillId="27" borderId="0" applyNumberFormat="0" applyBorder="0" applyAlignment="0" applyProtection="0"/>
    <xf numFmtId="37" fontId="66" fillId="28" borderId="0" applyBorder="0" applyAlignment="0" applyProtection="0"/>
    <xf numFmtId="0" fontId="67" fillId="28" borderId="0" applyNumberFormat="0" applyBorder="0" applyAlignment="0" applyProtection="0"/>
    <xf numFmtId="37" fontId="66" fillId="21" borderId="0" applyBorder="0" applyAlignment="0" applyProtection="0"/>
    <xf numFmtId="0" fontId="67" fillId="21" borderId="0" applyNumberFormat="0" applyBorder="0" applyAlignment="0" applyProtection="0"/>
    <xf numFmtId="37" fontId="66" fillId="22" borderId="0" applyBorder="0" applyAlignment="0" applyProtection="0"/>
    <xf numFmtId="0" fontId="67" fillId="22" borderId="0" applyNumberFormat="0" applyBorder="0" applyAlignment="0" applyProtection="0"/>
    <xf numFmtId="37" fontId="66" fillId="29" borderId="0" applyBorder="0" applyAlignment="0" applyProtection="0"/>
    <xf numFmtId="0" fontId="67" fillId="29" borderId="0" applyNumberFormat="0" applyBorder="0" applyAlignment="0" applyProtection="0"/>
    <xf numFmtId="181" fontId="21" fillId="0" borderId="0"/>
    <xf numFmtId="192" fontId="21" fillId="0" borderId="84">
      <alignment horizontal="left" indent="1"/>
    </xf>
    <xf numFmtId="193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69" fillId="0" borderId="0">
      <alignment horizontal="center" wrapText="1"/>
      <protection locked="0"/>
    </xf>
    <xf numFmtId="0" fontId="21" fillId="0" borderId="0" applyFill="0" applyBorder="0">
      <alignment vertical="center"/>
    </xf>
    <xf numFmtId="0" fontId="21" fillId="0" borderId="0"/>
    <xf numFmtId="194" fontId="21" fillId="0" borderId="0" applyFill="0" applyBorder="0" applyAlignment="0" applyProtection="0"/>
    <xf numFmtId="0" fontId="21" fillId="0" borderId="0" applyFill="0" applyBorder="0" applyAlignment="0" applyProtection="0"/>
    <xf numFmtId="9" fontId="70" fillId="0" borderId="0"/>
    <xf numFmtId="195" fontId="21" fillId="0" borderId="0" applyFill="0" applyBorder="0" applyAlignment="0" applyProtection="0"/>
    <xf numFmtId="0" fontId="21" fillId="0" borderId="0" applyFill="0" applyBorder="0" applyAlignment="0" applyProtection="0"/>
    <xf numFmtId="37" fontId="71" fillId="9" borderId="0" applyBorder="0" applyAlignment="0" applyProtection="0"/>
    <xf numFmtId="0" fontId="72" fillId="9" borderId="0" applyNumberFormat="0" applyBorder="0" applyAlignment="0" applyProtection="0"/>
    <xf numFmtId="0" fontId="73" fillId="30" borderId="0" applyNumberFormat="0" applyBorder="0" applyAlignment="0" applyProtection="0"/>
    <xf numFmtId="0" fontId="1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85" applyNumberFormat="0" applyBorder="0">
      <alignment horizontal="center"/>
    </xf>
    <xf numFmtId="0" fontId="75" fillId="0" borderId="0" applyNumberFormat="0" applyFill="0" applyBorder="0" applyAlignment="0" applyProtection="0"/>
    <xf numFmtId="0" fontId="76" fillId="0" borderId="86" applyNumberFormat="0" applyFill="0" applyAlignment="0" applyProtection="0"/>
    <xf numFmtId="0" fontId="77" fillId="0" borderId="0" applyNumberFormat="0" applyFill="0" applyBorder="0" applyAlignment="0" applyProtection="0">
      <alignment vertical="center"/>
    </xf>
    <xf numFmtId="0" fontId="78" fillId="0" borderId="0"/>
    <xf numFmtId="0" fontId="79" fillId="0" borderId="0"/>
    <xf numFmtId="0" fontId="78" fillId="0" borderId="0"/>
    <xf numFmtId="196" fontId="21" fillId="0" borderId="0" applyFill="0" applyBorder="0" applyAlignment="0"/>
    <xf numFmtId="37" fontId="80" fillId="31" borderId="87" applyAlignment="0" applyProtection="0"/>
    <xf numFmtId="0" fontId="81" fillId="31" borderId="87" applyNumberFormat="0" applyAlignment="0" applyProtection="0"/>
    <xf numFmtId="0" fontId="21" fillId="32" borderId="88" applyNumberFormat="0" applyFont="0" applyAlignment="0" applyProtection="0"/>
    <xf numFmtId="0" fontId="82" fillId="33" borderId="89" applyNumberFormat="0" applyAlignment="0" applyProtection="0"/>
    <xf numFmtId="37" fontId="83" fillId="34" borderId="89" applyAlignment="0" applyProtection="0"/>
    <xf numFmtId="0" fontId="82" fillId="34" borderId="89" applyNumberFormat="0" applyAlignment="0" applyProtection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38" fontId="76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84" fillId="0" borderId="0" applyFill="0" applyBorder="0" applyAlignment="0" applyProtection="0"/>
    <xf numFmtId="197" fontId="84" fillId="0" borderId="0" applyFill="0" applyBorder="0" applyAlignment="0" applyProtection="0"/>
    <xf numFmtId="0" fontId="21" fillId="0" borderId="0" applyFill="0" applyBorder="0" applyAlignment="0" applyProtection="0"/>
    <xf numFmtId="174" fontId="21" fillId="0" borderId="0" applyFill="0" applyBorder="0" applyAlignment="0" applyProtection="0"/>
    <xf numFmtId="41" fontId="21" fillId="0" borderId="0" applyFont="0" applyFill="0" applyBorder="0" applyAlignment="0" applyProtection="0"/>
    <xf numFmtId="0" fontId="21" fillId="0" borderId="0" applyFill="0" applyBorder="0" applyAlignment="0" applyProtection="0"/>
    <xf numFmtId="198" fontId="21" fillId="0" borderId="0" applyFill="0" applyBorder="0" applyAlignment="0" applyProtection="0"/>
    <xf numFmtId="41" fontId="21" fillId="0" borderId="0" applyFont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 applyFill="0" applyBorder="0" applyAlignment="0" applyProtection="0"/>
    <xf numFmtId="41" fontId="21" fillId="0" borderId="0" applyFont="0" applyFill="0" applyBorder="0" applyAlignment="0" applyProtection="0"/>
    <xf numFmtId="171" fontId="21" fillId="0" borderId="0" applyFill="0" applyBorder="0" applyAlignment="0" applyProtection="0"/>
    <xf numFmtId="167" fontId="21" fillId="0" borderId="0" applyFill="0" applyBorder="0" applyAlignment="0" applyProtection="0"/>
    <xf numFmtId="167" fontId="21" fillId="0" borderId="0" applyFill="0" applyBorder="0" applyAlignment="0" applyProtection="0"/>
    <xf numFmtId="197" fontId="65" fillId="0" borderId="0" applyFill="0" applyBorder="0" applyAlignment="0" applyProtection="0"/>
    <xf numFmtId="199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197" fontId="21" fillId="0" borderId="0" applyFill="0" applyBorder="0" applyAlignment="0" applyProtection="0"/>
    <xf numFmtId="197" fontId="21" fillId="0" borderId="0" applyFill="0" applyBorder="0" applyAlignment="0" applyProtection="0"/>
    <xf numFmtId="199" fontId="58" fillId="0" borderId="0" applyFill="0" applyBorder="0" applyAlignment="0" applyProtection="0"/>
    <xf numFmtId="199" fontId="58" fillId="0" borderId="0" applyFill="0" applyBorder="0" applyAlignment="0" applyProtection="0"/>
    <xf numFmtId="199" fontId="58" fillId="0" borderId="0" applyFill="0" applyBorder="0" applyAlignment="0" applyProtection="0"/>
    <xf numFmtId="199" fontId="58" fillId="0" borderId="0" applyFill="0" applyBorder="0" applyAlignment="0" applyProtection="0"/>
    <xf numFmtId="199" fontId="58" fillId="0" borderId="0" applyFill="0" applyBorder="0" applyAlignment="0" applyProtection="0"/>
    <xf numFmtId="1" fontId="85" fillId="0" borderId="0" applyFill="0" applyBorder="0" applyAlignment="0" applyProtection="0"/>
    <xf numFmtId="198" fontId="21" fillId="0" borderId="0" applyFill="0" applyBorder="0" applyAlignment="0" applyProtection="0"/>
    <xf numFmtId="180" fontId="21" fillId="0" borderId="0" applyFill="0" applyBorder="0" applyAlignment="0" applyProtection="0"/>
    <xf numFmtId="180" fontId="21" fillId="0" borderId="0" applyFill="0" applyBorder="0" applyAlignment="0" applyProtection="0"/>
    <xf numFmtId="41" fontId="21" fillId="0" borderId="0" applyFont="0" applyFill="0" applyBorder="0" applyAlignment="0" applyProtection="0"/>
    <xf numFmtId="41" fontId="86" fillId="0" borderId="0" applyFont="0" applyFill="0" applyBorder="0" applyAlignment="0" applyProtection="0"/>
    <xf numFmtId="197" fontId="21" fillId="0" borderId="0" applyFill="0" applyBorder="0" applyAlignment="0" applyProtection="0"/>
    <xf numFmtId="41" fontId="86" fillId="0" borderId="0" applyFont="0" applyFill="0" applyBorder="0" applyAlignment="0" applyProtection="0"/>
    <xf numFmtId="197" fontId="21" fillId="0" borderId="0" applyFill="0" applyBorder="0" applyAlignment="0" applyProtection="0"/>
    <xf numFmtId="41" fontId="43" fillId="0" borderId="17" applyBorder="0" applyAlignment="0"/>
    <xf numFmtId="197" fontId="21" fillId="0" borderId="0"/>
    <xf numFmtId="38" fontId="87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21" fillId="0" borderId="0" applyFill="0" applyBorder="0" applyAlignment="0" applyProtection="0"/>
    <xf numFmtId="200" fontId="21" fillId="0" borderId="0" applyFill="0" applyBorder="0" applyAlignment="0" applyProtection="0"/>
    <xf numFmtId="43" fontId="21" fillId="0" borderId="0" applyFont="0" applyFill="0" applyBorder="0" applyAlignment="0" applyProtection="0"/>
    <xf numFmtId="174" fontId="21" fillId="0" borderId="0" applyFill="0" applyBorder="0" applyAlignment="0" applyProtection="0"/>
    <xf numFmtId="174" fontId="21" fillId="0" borderId="0" applyFill="0" applyBorder="0" applyAlignment="0" applyProtection="0"/>
    <xf numFmtId="197" fontId="25" fillId="0" borderId="0" applyFill="0" applyBorder="0" applyAlignment="0" applyProtection="0"/>
    <xf numFmtId="43" fontId="25" fillId="0" borderId="0" applyFont="0" applyFill="0" applyBorder="0" applyAlignment="0" applyProtection="0"/>
    <xf numFmtId="201" fontId="21" fillId="0" borderId="0" applyFill="0" applyBorder="0" applyAlignment="0" applyProtection="0"/>
    <xf numFmtId="174" fontId="21" fillId="0" borderId="0" applyFill="0" applyBorder="0" applyAlignment="0" applyProtection="0"/>
    <xf numFmtId="174" fontId="21" fillId="0" borderId="0" applyFill="0" applyBorder="0" applyAlignment="0" applyProtection="0"/>
    <xf numFmtId="174" fontId="21" fillId="0" borderId="0" applyFill="0" applyBorder="0" applyAlignment="0" applyProtection="0"/>
    <xf numFmtId="174" fontId="21" fillId="0" borderId="0" applyFill="0" applyBorder="0" applyAlignment="0" applyProtection="0"/>
    <xf numFmtId="43" fontId="21" fillId="0" borderId="0" applyFont="0" applyFill="0" applyBorder="0" applyAlignment="0" applyProtection="0"/>
    <xf numFmtId="202" fontId="21" fillId="0" borderId="0" applyFill="0" applyBorder="0" applyAlignment="0" applyProtection="0"/>
    <xf numFmtId="174" fontId="21" fillId="0" borderId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202" fontId="21" fillId="0" borderId="0" applyFill="0" applyBorder="0" applyAlignment="0" applyProtection="0"/>
    <xf numFmtId="43" fontId="21" fillId="0" borderId="0" applyFont="0" applyFill="0" applyBorder="0" applyAlignment="0" applyProtection="0"/>
    <xf numFmtId="202" fontId="21" fillId="0" borderId="0" applyFill="0" applyBorder="0" applyAlignment="0" applyProtection="0"/>
    <xf numFmtId="202" fontId="21" fillId="0" borderId="0" applyFill="0" applyBorder="0" applyAlignment="0" applyProtection="0"/>
    <xf numFmtId="202" fontId="21" fillId="0" borderId="0" applyFill="0" applyBorder="0" applyAlignment="0" applyProtection="0"/>
    <xf numFmtId="202" fontId="21" fillId="0" borderId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1" fillId="0" borderId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65" fillId="0" borderId="0" applyFont="0" applyFill="0" applyBorder="0" applyAlignment="0" applyProtection="0"/>
    <xf numFmtId="174" fontId="25" fillId="0" borderId="0" applyFill="0" applyBorder="0" applyAlignment="0" applyProtection="0"/>
    <xf numFmtId="0" fontId="21" fillId="0" borderId="0" applyFont="0" applyFill="0" applyBorder="0" applyAlignment="0" applyProtection="0"/>
    <xf numFmtId="43" fontId="21" fillId="0" borderId="0" applyFill="0" applyBorder="0" applyAlignment="0" applyProtection="0"/>
    <xf numFmtId="43" fontId="21" fillId="0" borderId="0" applyFill="0" applyBorder="0" applyAlignment="0" applyProtection="0"/>
    <xf numFmtId="43" fontId="65" fillId="0" borderId="0" applyFont="0" applyFill="0" applyBorder="0" applyAlignment="0" applyProtection="0"/>
    <xf numFmtId="43" fontId="25" fillId="0" borderId="0" applyFont="0" applyFill="0" applyBorder="0" applyAlignment="0" applyProtection="0"/>
    <xf numFmtId="203" fontId="21" fillId="0" borderId="0" applyFill="0" applyBorder="0" applyAlignment="0" applyProtection="0"/>
    <xf numFmtId="201" fontId="21" fillId="0" borderId="0" applyFill="0" applyBorder="0" applyAlignment="0" applyProtection="0"/>
    <xf numFmtId="0" fontId="21" fillId="0" borderId="0" applyFill="0" applyBorder="0" applyAlignment="0" applyProtection="0"/>
    <xf numFmtId="43" fontId="65" fillId="0" borderId="0" applyFont="0" applyFill="0" applyBorder="0" applyAlignment="0" applyProtection="0"/>
    <xf numFmtId="166" fontId="21" fillId="0" borderId="0" applyFill="0" applyBorder="0" applyAlignment="0" applyProtection="0"/>
    <xf numFmtId="204" fontId="21" fillId="0" borderId="0" applyFill="0" applyBorder="0" applyAlignment="0" applyProtection="0"/>
    <xf numFmtId="0" fontId="21" fillId="0" borderId="0" applyFill="0" applyBorder="0" applyAlignment="0" applyProtection="0"/>
    <xf numFmtId="205" fontId="21" fillId="0" borderId="0" applyFill="0" applyBorder="0" applyAlignment="0" applyProtection="0"/>
    <xf numFmtId="199" fontId="21" fillId="0" borderId="0" applyFill="0" applyBorder="0" applyAlignment="0" applyProtection="0"/>
    <xf numFmtId="206" fontId="21" fillId="0" borderId="0" applyFont="0" applyFill="0" applyBorder="0" applyAlignment="0" applyProtection="0"/>
    <xf numFmtId="207" fontId="21" fillId="0" borderId="0" applyFont="0" applyFill="0" applyBorder="0" applyAlignment="0" applyProtection="0"/>
    <xf numFmtId="208" fontId="21" fillId="0" borderId="0" applyFont="0" applyFill="0" applyBorder="0" applyAlignment="0" applyProtection="0"/>
    <xf numFmtId="209" fontId="21" fillId="0" borderId="0" applyFont="0" applyFill="0" applyBorder="0" applyAlignment="0" applyProtection="0"/>
    <xf numFmtId="210" fontId="21" fillId="0" borderId="0" applyFont="0" applyFill="0" applyBorder="0" applyAlignment="0" applyProtection="0"/>
    <xf numFmtId="0" fontId="21" fillId="0" borderId="0" applyFill="0" applyBorder="0" applyAlignment="0" applyProtection="0"/>
    <xf numFmtId="211" fontId="21" fillId="0" borderId="0" applyFill="0" applyBorder="0" applyAlignment="0" applyProtection="0"/>
    <xf numFmtId="212" fontId="58" fillId="0" borderId="0" applyFill="0" applyBorder="0" applyAlignment="0" applyProtection="0"/>
    <xf numFmtId="212" fontId="58" fillId="0" borderId="0" applyFill="0" applyBorder="0" applyAlignment="0" applyProtection="0"/>
    <xf numFmtId="171" fontId="21" fillId="0" borderId="0" applyFill="0" applyBorder="0" applyAlignment="0" applyProtection="0"/>
    <xf numFmtId="199" fontId="21" fillId="0" borderId="0" applyFill="0" applyBorder="0" applyAlignment="0" applyProtection="0"/>
    <xf numFmtId="198" fontId="21" fillId="0" borderId="0" applyFill="0" applyBorder="0" applyAlignment="0" applyProtection="0"/>
    <xf numFmtId="43" fontId="21" fillId="0" borderId="0" applyFont="0" applyFill="0" applyBorder="0" applyAlignment="0" applyProtection="0"/>
    <xf numFmtId="172" fontId="25" fillId="0" borderId="0" applyFill="0" applyBorder="0" applyAlignment="0" applyProtection="0"/>
    <xf numFmtId="174" fontId="25" fillId="0" borderId="0" applyFill="0" applyBorder="0" applyAlignment="0" applyProtection="0"/>
    <xf numFmtId="43" fontId="21" fillId="0" borderId="0" applyFont="0" applyFill="0" applyBorder="0" applyAlignment="0" applyProtection="0"/>
    <xf numFmtId="207" fontId="21" fillId="0" borderId="0" applyFill="0" applyBorder="0" applyAlignment="0" applyProtection="0"/>
    <xf numFmtId="213" fontId="21" fillId="0" borderId="0">
      <protection locked="0"/>
    </xf>
    <xf numFmtId="0" fontId="88" fillId="0" borderId="0" applyNumberFormat="0" applyAlignment="0"/>
    <xf numFmtId="214" fontId="89" fillId="0" borderId="0" applyFill="0">
      <alignment horizontal="left" vertical="top"/>
      <protection locked="0"/>
    </xf>
    <xf numFmtId="168" fontId="86" fillId="0" borderId="0" applyFont="0" applyFill="0" applyBorder="0" applyAlignment="0" applyProtection="0"/>
    <xf numFmtId="44" fontId="21" fillId="0" borderId="0" applyFont="0" applyFill="0" applyBorder="0" applyAlignment="0" applyProtection="0"/>
    <xf numFmtId="215" fontId="21" fillId="0" borderId="0">
      <protection locked="0"/>
    </xf>
    <xf numFmtId="0" fontId="21" fillId="31" borderId="0" applyBorder="0"/>
    <xf numFmtId="0" fontId="15" fillId="0" borderId="0"/>
    <xf numFmtId="0" fontId="15" fillId="0" borderId="90"/>
    <xf numFmtId="0" fontId="62" fillId="0" borderId="0">
      <protection locked="0"/>
    </xf>
    <xf numFmtId="0" fontId="21" fillId="0" borderId="0" applyNumberFormat="0">
      <alignment horizontal="center"/>
    </xf>
    <xf numFmtId="216" fontId="21" fillId="0" borderId="0" applyFill="0" applyBorder="0">
      <alignment horizontal="left" vertical="top" wrapText="1"/>
      <protection locked="0"/>
    </xf>
    <xf numFmtId="217" fontId="21" fillId="0" borderId="0" applyFont="0" applyFill="0" applyBorder="0" applyAlignment="0" applyProtection="0"/>
    <xf numFmtId="218" fontId="21" fillId="0" borderId="0" applyFont="0" applyFill="0" applyBorder="0" applyAlignment="0" applyProtection="0"/>
    <xf numFmtId="0" fontId="90" fillId="0" borderId="0" applyNumberFormat="0" applyAlignment="0"/>
    <xf numFmtId="219" fontId="21" fillId="0" borderId="0" applyFill="0" applyBorder="0" applyAlignment="0" applyProtection="0"/>
    <xf numFmtId="166" fontId="25" fillId="0" borderId="0"/>
    <xf numFmtId="0" fontId="25" fillId="0" borderId="0"/>
    <xf numFmtId="37" fontId="91" fillId="0" borderId="0" applyFill="0" applyBorder="0" applyAlignment="0" applyProtection="0"/>
    <xf numFmtId="0" fontId="92" fillId="0" borderId="0" applyNumberFormat="0" applyFill="0" applyBorder="0" applyAlignment="0" applyProtection="0"/>
    <xf numFmtId="0" fontId="59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186" fontId="21" fillId="0" borderId="0">
      <protection locked="0"/>
    </xf>
    <xf numFmtId="220" fontId="21" fillId="0" borderId="0">
      <protection locked="0"/>
    </xf>
    <xf numFmtId="221" fontId="21" fillId="0" borderId="0">
      <alignment horizontal="left"/>
      <protection locked="0"/>
    </xf>
    <xf numFmtId="37" fontId="93" fillId="10" borderId="0" applyBorder="0" applyAlignment="0" applyProtection="0"/>
    <xf numFmtId="0" fontId="73" fillId="10" borderId="0" applyNumberFormat="0" applyBorder="0" applyAlignment="0" applyProtection="0"/>
    <xf numFmtId="0" fontId="94" fillId="31" borderId="0" applyNumberFormat="0" applyBorder="0" applyAlignment="0" applyProtection="0"/>
    <xf numFmtId="176" fontId="21" fillId="0" borderId="0" applyFill="0" applyBorder="0" applyAlignment="0"/>
    <xf numFmtId="0" fontId="95" fillId="0" borderId="0">
      <alignment horizontal="left"/>
    </xf>
    <xf numFmtId="0" fontId="36" fillId="0" borderId="91" applyNumberFormat="0" applyAlignment="0" applyProtection="0"/>
    <xf numFmtId="0" fontId="36" fillId="0" borderId="92">
      <alignment horizontal="left" vertical="center"/>
    </xf>
    <xf numFmtId="37" fontId="96" fillId="0" borderId="93" applyFill="0" applyAlignment="0" applyProtection="0"/>
    <xf numFmtId="0" fontId="97" fillId="0" borderId="93" applyNumberFormat="0" applyFill="0" applyAlignment="0" applyProtection="0"/>
    <xf numFmtId="37" fontId="98" fillId="0" borderId="94" applyFill="0" applyAlignment="0" applyProtection="0"/>
    <xf numFmtId="0" fontId="99" fillId="0" borderId="94" applyNumberFormat="0" applyFill="0" applyAlignment="0" applyProtection="0"/>
    <xf numFmtId="37" fontId="100" fillId="0" borderId="95" applyFill="0" applyAlignment="0" applyProtection="0"/>
    <xf numFmtId="0" fontId="101" fillId="0" borderId="95" applyNumberFormat="0" applyFill="0" applyAlignment="0" applyProtection="0"/>
    <xf numFmtId="37" fontId="100" fillId="0" borderId="0" applyFill="0" applyBorder="0" applyAlignment="0" applyProtection="0"/>
    <xf numFmtId="0" fontId="101" fillId="0" borderId="0" applyNumberFormat="0" applyFill="0" applyBorder="0" applyAlignment="0" applyProtection="0"/>
    <xf numFmtId="222" fontId="102" fillId="0" borderId="0">
      <protection locked="0"/>
    </xf>
    <xf numFmtId="187" fontId="21" fillId="0" borderId="0">
      <protection locked="0"/>
    </xf>
    <xf numFmtId="187" fontId="21" fillId="0" borderId="0">
      <protection locked="0"/>
    </xf>
    <xf numFmtId="0" fontId="103" fillId="0" borderId="96">
      <alignment horizontal="center"/>
    </xf>
    <xf numFmtId="0" fontId="103" fillId="0" borderId="0">
      <alignment horizontal="center"/>
    </xf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94" fillId="35" borderId="0" applyNumberFormat="0" applyBorder="0" applyAlignment="0" applyProtection="0"/>
    <xf numFmtId="37" fontId="106" fillId="14" borderId="87" applyAlignment="0" applyProtection="0"/>
    <xf numFmtId="37" fontId="106" fillId="15" borderId="87" applyAlignment="0" applyProtection="0"/>
    <xf numFmtId="0" fontId="107" fillId="15" borderId="87" applyNumberFormat="0" applyAlignment="0" applyProtection="0"/>
    <xf numFmtId="0" fontId="107" fillId="15" borderId="87" applyNumberFormat="0" applyAlignment="0" applyProtection="0"/>
    <xf numFmtId="0" fontId="107" fillId="15" borderId="87" applyNumberFormat="0" applyAlignment="0" applyProtection="0"/>
    <xf numFmtId="0" fontId="108" fillId="0" borderId="0" applyNumberFormat="0" applyFill="0" applyBorder="0" applyAlignment="0" applyProtection="0"/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109" fillId="0" borderId="0">
      <alignment horizontal="left"/>
    </xf>
    <xf numFmtId="214" fontId="109" fillId="0" borderId="0">
      <alignment horizontal="left"/>
    </xf>
    <xf numFmtId="0" fontId="110" fillId="36" borderId="97" applyNumberFormat="0" applyAlignment="0" applyProtection="0"/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109" fillId="0" borderId="0" applyFill="0" applyBorder="0">
      <alignment horizontal="left"/>
    </xf>
    <xf numFmtId="214" fontId="109" fillId="0" borderId="0" applyFill="0" applyBorder="0">
      <alignment horizontal="left"/>
    </xf>
    <xf numFmtId="0" fontId="27" fillId="37" borderId="98"/>
    <xf numFmtId="0" fontId="21" fillId="0" borderId="0" applyNumberFormat="0" applyFill="0" applyBorder="0" applyProtection="0">
      <alignment horizontal="left" vertical="center"/>
    </xf>
    <xf numFmtId="40" fontId="21" fillId="0" borderId="0">
      <protection locked="0"/>
    </xf>
    <xf numFmtId="37" fontId="111" fillId="0" borderId="99" applyFill="0" applyAlignment="0" applyProtection="0"/>
    <xf numFmtId="0" fontId="112" fillId="0" borderId="99" applyNumberFormat="0" applyFill="0" applyAlignment="0" applyProtection="0"/>
    <xf numFmtId="39" fontId="113" fillId="0" borderId="100"/>
    <xf numFmtId="0" fontId="114" fillId="0" borderId="100">
      <alignment horizontal="center"/>
    </xf>
    <xf numFmtId="214" fontId="109" fillId="0" borderId="0" applyFill="0" applyBorder="0">
      <alignment horizontal="left"/>
    </xf>
    <xf numFmtId="214" fontId="115" fillId="0" borderId="0" applyFont="0" applyFill="0" applyBorder="0">
      <alignment horizontal="left"/>
    </xf>
    <xf numFmtId="214" fontId="115" fillId="0" borderId="0" applyFont="0" applyFill="0" applyBorder="0">
      <alignment horizontal="left"/>
    </xf>
    <xf numFmtId="0" fontId="114" fillId="0" borderId="19">
      <alignment horizontal="center"/>
    </xf>
    <xf numFmtId="0" fontId="114" fillId="0" borderId="19">
      <alignment horizontal="center"/>
    </xf>
    <xf numFmtId="0" fontId="114" fillId="0" borderId="19">
      <alignment horizontal="center"/>
    </xf>
    <xf numFmtId="0" fontId="114" fillId="0" borderId="19">
      <alignment horizontal="center"/>
    </xf>
    <xf numFmtId="214" fontId="115" fillId="0" borderId="0" applyFont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0" fontId="114" fillId="0" borderId="19">
      <alignment horizontal="center"/>
    </xf>
    <xf numFmtId="0" fontId="114" fillId="0" borderId="19">
      <alignment horizontal="center"/>
    </xf>
    <xf numFmtId="0" fontId="114" fillId="0" borderId="19">
      <alignment horizontal="center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115" fillId="0" borderId="0" applyFont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0" fontId="114" fillId="0" borderId="19">
      <alignment horizontal="center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214" fontId="21" fillId="0" borderId="0" applyFill="0" applyBorder="0">
      <alignment horizontal="left"/>
    </xf>
    <xf numFmtId="0" fontId="114" fillId="0" borderId="100">
      <alignment horizontal="center"/>
    </xf>
    <xf numFmtId="214" fontId="115" fillId="0" borderId="0" applyFont="0" applyFill="0" applyBorder="0">
      <alignment horizontal="left"/>
    </xf>
    <xf numFmtId="214" fontId="115" fillId="0" borderId="0" applyFont="0" applyFill="0" applyBorder="0">
      <alignment horizontal="left"/>
    </xf>
    <xf numFmtId="0" fontId="114" fillId="0" borderId="100">
      <alignment horizontal="center"/>
    </xf>
    <xf numFmtId="214" fontId="21" fillId="0" borderId="0" applyFill="0" applyBorder="0">
      <alignment horizontal="left"/>
    </xf>
    <xf numFmtId="214" fontId="109" fillId="0" borderId="0" applyFill="0" applyBorder="0">
      <alignment horizontal="left"/>
    </xf>
    <xf numFmtId="0" fontId="114" fillId="0" borderId="100">
      <alignment horizontal="center"/>
    </xf>
    <xf numFmtId="0" fontId="114" fillId="0" borderId="19">
      <alignment horizontal="center"/>
    </xf>
    <xf numFmtId="214" fontId="21" fillId="0" borderId="0" applyFill="0" applyBorder="0">
      <alignment horizontal="left"/>
    </xf>
    <xf numFmtId="216" fontId="116" fillId="0" borderId="0">
      <alignment horizontal="left" vertical="top"/>
      <protection locked="0"/>
    </xf>
    <xf numFmtId="0" fontId="117" fillId="0" borderId="0"/>
    <xf numFmtId="216" fontId="21" fillId="0" borderId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38" fontId="76" fillId="0" borderId="0" applyFont="0" applyFill="0" applyBorder="0" applyAlignment="0" applyProtection="0"/>
    <xf numFmtId="40" fontId="76" fillId="0" borderId="0" applyFont="0" applyFill="0" applyBorder="0" applyAlignment="0" applyProtection="0"/>
    <xf numFmtId="214" fontId="21" fillId="0" borderId="0" applyFill="0" applyBorder="0">
      <alignment horizontal="left"/>
    </xf>
    <xf numFmtId="42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6" fontId="76" fillId="0" borderId="0" applyFont="0" applyFill="0" applyBorder="0" applyAlignment="0" applyProtection="0"/>
    <xf numFmtId="8" fontId="76" fillId="0" borderId="0" applyFont="0" applyFill="0" applyBorder="0" applyAlignment="0" applyProtection="0"/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21" fillId="0" borderId="0">
      <alignment horizontal="left"/>
    </xf>
    <xf numFmtId="214" fontId="109" fillId="0" borderId="0">
      <alignment horizontal="left"/>
    </xf>
    <xf numFmtId="214" fontId="109" fillId="0" borderId="0">
      <alignment horizontal="left"/>
    </xf>
    <xf numFmtId="0" fontId="118" fillId="38" borderId="0" applyNumberFormat="0" applyBorder="0" applyAlignment="0" applyProtection="0"/>
    <xf numFmtId="37" fontId="119" fillId="39" borderId="0" applyBorder="0" applyAlignment="0" applyProtection="0"/>
    <xf numFmtId="0" fontId="118" fillId="39" borderId="0" applyNumberFormat="0" applyBorder="0" applyAlignment="0" applyProtection="0"/>
    <xf numFmtId="0" fontId="120" fillId="0" borderId="0"/>
    <xf numFmtId="37" fontId="121" fillId="0" borderId="0"/>
    <xf numFmtId="37" fontId="121" fillId="0" borderId="0"/>
    <xf numFmtId="223" fontId="122" fillId="0" borderId="0"/>
    <xf numFmtId="0" fontId="21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0" fillId="0" borderId="0" applyNumberFormat="0" applyAlignment="0">
      <alignment horizontal="center"/>
    </xf>
    <xf numFmtId="224" fontId="15" fillId="0" borderId="0"/>
    <xf numFmtId="0" fontId="21" fillId="0" borderId="0"/>
    <xf numFmtId="205" fontId="15" fillId="0" borderId="0"/>
    <xf numFmtId="203" fontId="15" fillId="0" borderId="0"/>
    <xf numFmtId="203" fontId="15" fillId="0" borderId="0"/>
    <xf numFmtId="203" fontId="15" fillId="0" borderId="0"/>
    <xf numFmtId="0" fontId="25" fillId="0" borderId="0"/>
    <xf numFmtId="203" fontId="15" fillId="0" borderId="0"/>
    <xf numFmtId="205" fontId="15" fillId="0" borderId="0"/>
    <xf numFmtId="0" fontId="21" fillId="0" borderId="0"/>
    <xf numFmtId="0" fontId="25" fillId="0" borderId="0"/>
    <xf numFmtId="203" fontId="15" fillId="0" borderId="0"/>
    <xf numFmtId="205" fontId="15" fillId="0" borderId="0"/>
    <xf numFmtId="0" fontId="21" fillId="0" borderId="0"/>
    <xf numFmtId="203" fontId="15" fillId="0" borderId="0"/>
    <xf numFmtId="225" fontId="15" fillId="0" borderId="0"/>
    <xf numFmtId="0" fontId="21" fillId="0" borderId="0"/>
    <xf numFmtId="0" fontId="7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5" fillId="0" borderId="0"/>
    <xf numFmtId="3" fontId="124" fillId="0" borderId="0"/>
    <xf numFmtId="0" fontId="15" fillId="0" borderId="0"/>
    <xf numFmtId="0" fontId="21" fillId="0" borderId="0"/>
    <xf numFmtId="0" fontId="21" fillId="0" borderId="0"/>
    <xf numFmtId="0" fontId="65" fillId="0" borderId="0"/>
    <xf numFmtId="44" fontId="1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168" fontId="15" fillId="0" borderId="0"/>
    <xf numFmtId="0" fontId="65" fillId="0" borderId="0"/>
    <xf numFmtId="0" fontId="15" fillId="3" borderId="0"/>
    <xf numFmtId="0" fontId="7" fillId="0" borderId="0"/>
    <xf numFmtId="0" fontId="25" fillId="0" borderId="0"/>
    <xf numFmtId="0" fontId="21" fillId="0" borderId="0"/>
    <xf numFmtId="0" fontId="65" fillId="0" borderId="0"/>
    <xf numFmtId="0" fontId="125" fillId="0" borderId="0"/>
    <xf numFmtId="0" fontId="125" fillId="0" borderId="0"/>
    <xf numFmtId="0" fontId="15" fillId="0" borderId="0"/>
    <xf numFmtId="0" fontId="15" fillId="2" borderId="0"/>
    <xf numFmtId="0" fontId="15" fillId="2" borderId="0"/>
    <xf numFmtId="0" fontId="126" fillId="0" borderId="0"/>
    <xf numFmtId="0" fontId="21" fillId="0" borderId="0"/>
    <xf numFmtId="0" fontId="21" fillId="0" borderId="0"/>
    <xf numFmtId="0" fontId="7" fillId="0" borderId="0"/>
    <xf numFmtId="0" fontId="21" fillId="0" borderId="0"/>
    <xf numFmtId="0" fontId="25" fillId="0" borderId="0"/>
    <xf numFmtId="0" fontId="25" fillId="0" borderId="0"/>
    <xf numFmtId="0" fontId="86" fillId="0" borderId="0"/>
    <xf numFmtId="0" fontId="15" fillId="2" borderId="0"/>
    <xf numFmtId="0" fontId="86" fillId="0" borderId="0"/>
    <xf numFmtId="0" fontId="2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7" fillId="0" borderId="0"/>
    <xf numFmtId="225" fontId="15" fillId="0" borderId="0"/>
    <xf numFmtId="0" fontId="21" fillId="0" borderId="0"/>
    <xf numFmtId="0" fontId="30" fillId="0" borderId="0"/>
    <xf numFmtId="0" fontId="15" fillId="0" borderId="0"/>
    <xf numFmtId="0" fontId="15" fillId="0" borderId="0"/>
    <xf numFmtId="0" fontId="127" fillId="0" borderId="0"/>
    <xf numFmtId="0" fontId="127" fillId="0" borderId="0"/>
    <xf numFmtId="0" fontId="21" fillId="0" borderId="0"/>
    <xf numFmtId="37" fontId="123" fillId="0" borderId="0"/>
    <xf numFmtId="205" fontId="15" fillId="0" borderId="0"/>
    <xf numFmtId="4" fontId="128" fillId="0" borderId="0"/>
    <xf numFmtId="0" fontId="120" fillId="0" borderId="17" applyAlignment="0" applyProtection="0">
      <alignment horizontal="center"/>
    </xf>
    <xf numFmtId="0" fontId="75" fillId="0" borderId="0" applyFill="0" applyAlignment="0" applyProtection="0"/>
    <xf numFmtId="37" fontId="129" fillId="35" borderId="101" applyAlignment="0" applyProtection="0"/>
    <xf numFmtId="0" fontId="21" fillId="35" borderId="101" applyNumberFormat="0" applyAlignment="0" applyProtection="0"/>
    <xf numFmtId="221" fontId="21" fillId="0" borderId="0">
      <protection locked="0"/>
    </xf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37" fontId="130" fillId="31" borderId="97" applyAlignment="0" applyProtection="0"/>
    <xf numFmtId="0" fontId="110" fillId="31" borderId="97" applyNumberFormat="0" applyAlignment="0" applyProtection="0"/>
    <xf numFmtId="14" fontId="69" fillId="0" borderId="0">
      <alignment horizontal="center" wrapText="1"/>
      <protection locked="0"/>
    </xf>
    <xf numFmtId="10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76" fillId="0" borderId="1" applyNumberFormat="0" applyBorder="0"/>
    <xf numFmtId="39" fontId="131" fillId="40" borderId="98"/>
    <xf numFmtId="40" fontId="21" fillId="0" borderId="0">
      <protection locked="0"/>
    </xf>
    <xf numFmtId="40" fontId="21" fillId="0" borderId="0">
      <protection locked="0"/>
    </xf>
    <xf numFmtId="0" fontId="21" fillId="41" borderId="0" applyNumberFormat="0" applyBorder="0" applyAlignment="0"/>
    <xf numFmtId="0" fontId="15" fillId="0" borderId="0"/>
    <xf numFmtId="0" fontId="94" fillId="0" borderId="0" applyNumberFormat="0" applyFill="0" applyBorder="0" applyAlignment="0" applyProtection="0"/>
    <xf numFmtId="0" fontId="21" fillId="0" borderId="0"/>
    <xf numFmtId="216" fontId="21" fillId="0" borderId="0">
      <alignment horizontal="left"/>
    </xf>
    <xf numFmtId="0" fontId="21" fillId="42" borderId="102" applyNumberFormat="0" applyAlignment="0"/>
    <xf numFmtId="0" fontId="21" fillId="8" borderId="102" applyNumberFormat="0" applyAlignment="0"/>
    <xf numFmtId="39" fontId="113" fillId="0" borderId="100"/>
    <xf numFmtId="0" fontId="132" fillId="0" borderId="0" applyNumberFormat="0" applyFill="0" applyBorder="0" applyAlignment="0"/>
    <xf numFmtId="37" fontId="133" fillId="43" borderId="0"/>
    <xf numFmtId="0" fontId="58" fillId="0" borderId="0"/>
    <xf numFmtId="0" fontId="58" fillId="0" borderId="0"/>
    <xf numFmtId="0" fontId="134" fillId="0" borderId="0"/>
    <xf numFmtId="0" fontId="21" fillId="0" borderId="0"/>
    <xf numFmtId="0" fontId="135" fillId="0" borderId="0" applyNumberFormat="0" applyProtection="0">
      <alignment wrapText="1"/>
    </xf>
    <xf numFmtId="40" fontId="136" fillId="0" borderId="0" applyBorder="0">
      <alignment horizontal="right"/>
    </xf>
    <xf numFmtId="40" fontId="136" fillId="0" borderId="0" applyBorder="0">
      <alignment horizontal="right"/>
    </xf>
    <xf numFmtId="216" fontId="21" fillId="0" borderId="0">
      <protection locked="0"/>
    </xf>
    <xf numFmtId="216" fontId="115" fillId="0" borderId="0" applyFill="0" applyProtection="0"/>
    <xf numFmtId="0" fontId="114" fillId="44" borderId="0" applyNumberFormat="0" applyAlignment="0"/>
    <xf numFmtId="226" fontId="137" fillId="0" borderId="103">
      <alignment horizontal="right" vertical="center"/>
    </xf>
    <xf numFmtId="227" fontId="21" fillId="0" borderId="103">
      <alignment horizontal="right" vertical="center"/>
    </xf>
    <xf numFmtId="227" fontId="21" fillId="0" borderId="103">
      <alignment horizontal="right" vertical="center"/>
    </xf>
    <xf numFmtId="228" fontId="21" fillId="0" borderId="104">
      <alignment horizontal="right" vertical="center"/>
    </xf>
    <xf numFmtId="227" fontId="21" fillId="0" borderId="103">
      <alignment horizontal="right" vertical="center"/>
    </xf>
    <xf numFmtId="228" fontId="21" fillId="0" borderId="105">
      <alignment horizontal="right" vertical="center"/>
    </xf>
    <xf numFmtId="228" fontId="21" fillId="0" borderId="105">
      <alignment horizontal="right" vertical="center"/>
    </xf>
    <xf numFmtId="0" fontId="138" fillId="0" borderId="0">
      <alignment horizontal="center"/>
    </xf>
    <xf numFmtId="0" fontId="15" fillId="0" borderId="98"/>
    <xf numFmtId="0" fontId="139" fillId="0" borderId="0" applyNumberFormat="0" applyFill="0" applyBorder="0" applyAlignment="0" applyProtection="0"/>
    <xf numFmtId="229" fontId="140" fillId="0" borderId="103">
      <alignment horizontal="center"/>
    </xf>
    <xf numFmtId="0" fontId="21" fillId="0" borderId="0"/>
    <xf numFmtId="0" fontId="141" fillId="24" borderId="0"/>
    <xf numFmtId="37" fontId="142" fillId="0" borderId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43" fillId="0" borderId="106" applyNumberFormat="0" applyFill="0" applyProtection="0">
      <alignment horizontal="center"/>
    </xf>
    <xf numFmtId="37" fontId="144" fillId="0" borderId="107" applyFill="0" applyAlignment="0" applyProtection="0"/>
    <xf numFmtId="0" fontId="145" fillId="0" borderId="107" applyNumberFormat="0" applyFill="0" applyAlignment="0" applyProtection="0"/>
    <xf numFmtId="216" fontId="146" fillId="0" borderId="0"/>
    <xf numFmtId="0" fontId="27" fillId="0" borderId="108"/>
    <xf numFmtId="0" fontId="27" fillId="0" borderId="98"/>
    <xf numFmtId="0" fontId="21" fillId="45" borderId="109" applyNumberFormat="0" applyBorder="0" applyAlignment="0">
      <alignment horizontal="center"/>
    </xf>
    <xf numFmtId="185" fontId="21" fillId="0" borderId="0" applyFill="0" applyBorder="0" applyAlignment="0" applyProtection="0"/>
    <xf numFmtId="230" fontId="21" fillId="0" borderId="0" applyFill="0" applyBorder="0" applyAlignment="0" applyProtection="0"/>
    <xf numFmtId="9" fontId="147" fillId="3" borderId="0"/>
    <xf numFmtId="178" fontId="15" fillId="43" borderId="0"/>
    <xf numFmtId="231" fontId="115" fillId="0" borderId="0" applyFill="0">
      <alignment horizontal="center"/>
    </xf>
    <xf numFmtId="216" fontId="21" fillId="0" borderId="0">
      <alignment horizontal="center"/>
      <protection locked="0"/>
    </xf>
    <xf numFmtId="0" fontId="148" fillId="0" borderId="0"/>
    <xf numFmtId="232" fontId="21" fillId="0" borderId="0" applyFill="0" applyBorder="0" applyAlignment="0" applyProtection="0"/>
    <xf numFmtId="233" fontId="21" fillId="0" borderId="0" applyFill="0" applyBorder="0" applyAlignment="0" applyProtection="0"/>
    <xf numFmtId="234" fontId="149" fillId="0" borderId="0"/>
    <xf numFmtId="235" fontId="149" fillId="0" borderId="98"/>
    <xf numFmtId="236" fontId="21" fillId="0" borderId="0" applyFont="0" applyFill="0" applyBorder="0" applyAlignment="0" applyProtection="0"/>
    <xf numFmtId="237" fontId="21" fillId="0" borderId="0" applyFont="0" applyFill="0" applyBorder="0" applyAlignment="0" applyProtection="0"/>
    <xf numFmtId="37" fontId="150" fillId="0" borderId="0" applyFill="0" applyBorder="0" applyAlignment="0" applyProtection="0"/>
    <xf numFmtId="0" fontId="139" fillId="0" borderId="0" applyNumberFormat="0" applyFill="0" applyBorder="0" applyAlignment="0" applyProtection="0"/>
    <xf numFmtId="0" fontId="21" fillId="0" borderId="0" applyNumberFormat="0" applyFill="0" applyBorder="0" applyProtection="0">
      <alignment horizontal="center" vertical="center" wrapText="1"/>
    </xf>
    <xf numFmtId="0" fontId="105" fillId="0" borderId="0" applyNumberFormat="0" applyFill="0" applyBorder="0" applyAlignment="0" applyProtection="0"/>
    <xf numFmtId="40" fontId="21" fillId="0" borderId="0" applyFill="0" applyBorder="0" applyAlignment="0" applyProtection="0"/>
    <xf numFmtId="38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9" fontId="21" fillId="0" borderId="0" applyFill="0" applyBorder="0" applyAlignment="0" applyProtection="0"/>
    <xf numFmtId="0" fontId="151" fillId="0" borderId="0"/>
    <xf numFmtId="41" fontId="21" fillId="0" borderId="0" applyFont="0" applyFill="0" applyBorder="0" applyAlignment="0" applyProtection="0"/>
    <xf numFmtId="238" fontId="21" fillId="0" borderId="0" applyFill="0" applyBorder="0" applyAlignment="0" applyProtection="0"/>
    <xf numFmtId="239" fontId="21" fillId="0" borderId="0" applyFill="0" applyBorder="0" applyAlignment="0" applyProtection="0"/>
    <xf numFmtId="240" fontId="21" fillId="0" borderId="0" applyFill="0" applyBorder="0" applyAlignment="0" applyProtection="0"/>
    <xf numFmtId="241" fontId="21" fillId="0" borderId="0" applyFill="0" applyBorder="0" applyAlignment="0" applyProtection="0"/>
    <xf numFmtId="0" fontId="152" fillId="0" borderId="0"/>
    <xf numFmtId="0" fontId="153" fillId="0" borderId="0"/>
    <xf numFmtId="185" fontId="21" fillId="0" borderId="0" applyFill="0" applyBorder="0" applyAlignment="0" applyProtection="0"/>
    <xf numFmtId="230" fontId="21" fillId="0" borderId="0" applyFill="0" applyBorder="0" applyAlignment="0" applyProtection="0"/>
    <xf numFmtId="0" fontId="154" fillId="0" borderId="0"/>
    <xf numFmtId="174" fontId="21" fillId="0" borderId="0" applyFill="0" applyBorder="0" applyAlignment="0" applyProtection="0"/>
    <xf numFmtId="38" fontId="21" fillId="0" borderId="0" applyFill="0" applyBorder="0" applyAlignment="0" applyProtection="0"/>
    <xf numFmtId="0" fontId="114" fillId="0" borderId="0" applyBorder="0">
      <alignment vertical="center"/>
    </xf>
    <xf numFmtId="0" fontId="35" fillId="0" borderId="0" applyNumberFormat="0" applyFill="0" applyBorder="0" applyAlignment="0" applyProtection="0"/>
    <xf numFmtId="232" fontId="21" fillId="0" borderId="0" applyFill="0" applyBorder="0" applyAlignment="0" applyProtection="0"/>
    <xf numFmtId="233" fontId="21" fillId="0" borderId="0" applyFill="0" applyBorder="0" applyAlignment="0" applyProtection="0"/>
    <xf numFmtId="242" fontId="21" fillId="0" borderId="0" applyFill="0" applyBorder="0" applyAlignment="0" applyProtection="0"/>
    <xf numFmtId="243" fontId="21" fillId="0" borderId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0" fontId="5" fillId="0" borderId="0"/>
    <xf numFmtId="41" fontId="5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92" fontId="21" fillId="0" borderId="110">
      <alignment horizontal="left" indent="1"/>
    </xf>
    <xf numFmtId="0" fontId="75" fillId="0" borderId="117" applyNumberFormat="0" applyBorder="0">
      <alignment horizontal="center"/>
    </xf>
    <xf numFmtId="37" fontId="80" fillId="31" borderId="118" applyAlignment="0" applyProtection="0"/>
    <xf numFmtId="0" fontId="81" fillId="31" borderId="118" applyNumberFormat="0" applyAlignment="0" applyProtection="0"/>
    <xf numFmtId="0" fontId="21" fillId="32" borderId="119" applyNumberFormat="0" applyFont="0" applyAlignment="0" applyProtection="0"/>
    <xf numFmtId="38" fontId="159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5" fillId="0" borderId="5"/>
    <xf numFmtId="0" fontId="36" fillId="0" borderId="120" applyNumberFormat="0" applyAlignment="0" applyProtection="0"/>
    <xf numFmtId="0" fontId="36" fillId="0" borderId="10">
      <alignment horizontal="left" vertical="center"/>
    </xf>
    <xf numFmtId="37" fontId="106" fillId="14" borderId="118" applyAlignment="0" applyProtection="0"/>
    <xf numFmtId="37" fontId="106" fillId="15" borderId="118" applyAlignment="0" applyProtection="0"/>
    <xf numFmtId="0" fontId="107" fillId="15" borderId="118" applyNumberFormat="0" applyAlignment="0" applyProtection="0"/>
    <xf numFmtId="0" fontId="107" fillId="15" borderId="118" applyNumberFormat="0" applyAlignment="0" applyProtection="0"/>
    <xf numFmtId="0" fontId="107" fillId="15" borderId="118" applyNumberFormat="0" applyAlignment="0" applyProtection="0"/>
    <xf numFmtId="0" fontId="110" fillId="36" borderId="121" applyNumberFormat="0" applyAlignment="0" applyProtection="0"/>
    <xf numFmtId="0" fontId="27" fillId="37" borderId="5"/>
    <xf numFmtId="0" fontId="4" fillId="0" borderId="0"/>
    <xf numFmtId="0" fontId="4" fillId="0" borderId="0"/>
    <xf numFmtId="0" fontId="4" fillId="0" borderId="0"/>
    <xf numFmtId="0" fontId="4" fillId="0" borderId="0"/>
    <xf numFmtId="37" fontId="129" fillId="35" borderId="119" applyAlignment="0" applyProtection="0"/>
    <xf numFmtId="0" fontId="21" fillId="35" borderId="119" applyNumberFormat="0" applyAlignment="0" applyProtection="0"/>
    <xf numFmtId="37" fontId="130" fillId="31" borderId="121" applyAlignment="0" applyProtection="0"/>
    <xf numFmtId="0" fontId="110" fillId="31" borderId="121" applyNumberFormat="0" applyAlignment="0" applyProtection="0"/>
    <xf numFmtId="0" fontId="21" fillId="42" borderId="10" applyNumberFormat="0" applyAlignment="0"/>
    <xf numFmtId="0" fontId="21" fillId="8" borderId="10" applyNumberFormat="0" applyAlignment="0"/>
    <xf numFmtId="226" fontId="137" fillId="0" borderId="9">
      <alignment horizontal="right" vertical="center"/>
    </xf>
    <xf numFmtId="227" fontId="21" fillId="0" borderId="9">
      <alignment horizontal="right" vertical="center"/>
    </xf>
    <xf numFmtId="227" fontId="21" fillId="0" borderId="9">
      <alignment horizontal="right" vertical="center"/>
    </xf>
    <xf numFmtId="228" fontId="21" fillId="0" borderId="122">
      <alignment horizontal="right" vertical="center"/>
    </xf>
    <xf numFmtId="227" fontId="21" fillId="0" borderId="9">
      <alignment horizontal="right" vertical="center"/>
    </xf>
    <xf numFmtId="228" fontId="21" fillId="0" borderId="122">
      <alignment horizontal="right" vertical="center"/>
    </xf>
    <xf numFmtId="228" fontId="21" fillId="0" borderId="122">
      <alignment horizontal="right" vertical="center"/>
    </xf>
    <xf numFmtId="0" fontId="15" fillId="0" borderId="5"/>
    <xf numFmtId="229" fontId="140" fillId="0" borderId="9">
      <alignment horizontal="center"/>
    </xf>
    <xf numFmtId="0" fontId="143" fillId="0" borderId="123" applyNumberFormat="0" applyFill="0" applyProtection="0">
      <alignment horizontal="center"/>
    </xf>
    <xf numFmtId="37" fontId="144" fillId="0" borderId="124" applyFill="0" applyAlignment="0" applyProtection="0"/>
    <xf numFmtId="0" fontId="145" fillId="0" borderId="124" applyNumberFormat="0" applyFill="0" applyAlignment="0" applyProtection="0"/>
    <xf numFmtId="0" fontId="27" fillId="0" borderId="5"/>
    <xf numFmtId="235" fontId="149" fillId="0" borderId="5"/>
    <xf numFmtId="0" fontId="21" fillId="0" borderId="0"/>
    <xf numFmtId="41" fontId="3" fillId="0" borderId="0" applyFont="0" applyFill="0" applyBorder="0" applyAlignment="0" applyProtection="0"/>
    <xf numFmtId="0" fontId="15" fillId="0" borderId="0"/>
    <xf numFmtId="41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5" fillId="0" borderId="0"/>
    <xf numFmtId="43" fontId="2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21" fillId="0" borderId="0"/>
    <xf numFmtId="0" fontId="164" fillId="0" borderId="0"/>
    <xf numFmtId="41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</cellStyleXfs>
  <cellXfs count="738">
    <xf numFmtId="0" fontId="0" fillId="0" borderId="0" xfId="0"/>
    <xf numFmtId="0" fontId="16" fillId="0" borderId="0" xfId="0" applyFont="1"/>
    <xf numFmtId="0" fontId="16" fillId="0" borderId="2" xfId="0" applyFont="1" applyBorder="1"/>
    <xf numFmtId="0" fontId="16" fillId="0" borderId="0" xfId="0" applyFont="1" applyAlignment="1">
      <alignment horizontal="left" indent="4"/>
    </xf>
    <xf numFmtId="0" fontId="16" fillId="0" borderId="3" xfId="0" applyFont="1" applyBorder="1"/>
    <xf numFmtId="0" fontId="18" fillId="0" borderId="0" xfId="0" applyFont="1" applyAlignment="1">
      <alignment horizontal="center"/>
    </xf>
    <xf numFmtId="0" fontId="18" fillId="0" borderId="0" xfId="0" applyFont="1"/>
    <xf numFmtId="0" fontId="16" fillId="0" borderId="3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horizontal="left"/>
    </xf>
    <xf numFmtId="0" fontId="20" fillId="0" borderId="0" xfId="0" applyFont="1"/>
    <xf numFmtId="169" fontId="18" fillId="0" borderId="0" xfId="2" applyNumberFormat="1" applyFont="1" applyBorder="1" applyAlignment="1">
      <alignment horizontal="center"/>
    </xf>
    <xf numFmtId="169" fontId="18" fillId="0" borderId="0" xfId="2" applyNumberFormat="1" applyFont="1" applyBorder="1" applyAlignment="1"/>
    <xf numFmtId="0" fontId="18" fillId="0" borderId="4" xfId="0" applyFont="1" applyBorder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justify" wrapText="1"/>
    </xf>
    <xf numFmtId="0" fontId="19" fillId="0" borderId="0" xfId="0" applyFont="1" applyAlignment="1">
      <alignment horizontal="center"/>
    </xf>
    <xf numFmtId="0" fontId="16" fillId="0" borderId="6" xfId="0" applyFont="1" applyBorder="1"/>
    <xf numFmtId="0" fontId="18" fillId="0" borderId="7" xfId="0" applyFont="1" applyBorder="1"/>
    <xf numFmtId="0" fontId="16" fillId="0" borderId="8" xfId="0" applyFont="1" applyBorder="1"/>
    <xf numFmtId="0" fontId="22" fillId="0" borderId="0" xfId="0" applyFont="1"/>
    <xf numFmtId="43" fontId="18" fillId="0" borderId="0" xfId="0" applyNumberFormat="1" applyFont="1"/>
    <xf numFmtId="0" fontId="16" fillId="0" borderId="15" xfId="0" applyFont="1" applyBorder="1"/>
    <xf numFmtId="0" fontId="15" fillId="2" borderId="0" xfId="30"/>
    <xf numFmtId="0" fontId="15" fillId="3" borderId="26" xfId="30" applyFill="1" applyBorder="1"/>
    <xf numFmtId="0" fontId="15" fillId="3" borderId="27" xfId="30" applyFill="1" applyBorder="1"/>
    <xf numFmtId="0" fontId="27" fillId="3" borderId="27" xfId="30" applyFont="1" applyFill="1" applyBorder="1" applyAlignment="1">
      <alignment horizontal="left"/>
    </xf>
    <xf numFmtId="0" fontId="15" fillId="3" borderId="28" xfId="30" applyFill="1" applyBorder="1"/>
    <xf numFmtId="0" fontId="28" fillId="3" borderId="29" xfId="30" applyFont="1" applyFill="1" applyBorder="1" applyAlignment="1">
      <alignment horizontal="centerContinuous"/>
    </xf>
    <xf numFmtId="0" fontId="28" fillId="3" borderId="0" xfId="30" applyFont="1" applyFill="1" applyAlignment="1">
      <alignment horizontal="centerContinuous"/>
    </xf>
    <xf numFmtId="0" fontId="29" fillId="3" borderId="0" xfId="30" applyFont="1" applyFill="1" applyAlignment="1">
      <alignment horizontal="centerContinuous"/>
    </xf>
    <xf numFmtId="0" fontId="29" fillId="3" borderId="30" xfId="30" applyFont="1" applyFill="1" applyBorder="1" applyAlignment="1">
      <alignment horizontal="centerContinuous"/>
    </xf>
    <xf numFmtId="0" fontId="15" fillId="3" borderId="0" xfId="30" applyFill="1"/>
    <xf numFmtId="0" fontId="30" fillId="3" borderId="29" xfId="30" applyFont="1" applyFill="1" applyBorder="1"/>
    <xf numFmtId="0" fontId="30" fillId="3" borderId="0" xfId="30" applyFont="1" applyFill="1"/>
    <xf numFmtId="0" fontId="31" fillId="3" borderId="0" xfId="30" applyFont="1" applyFill="1" applyAlignment="1">
      <alignment horizontal="center"/>
    </xf>
    <xf numFmtId="0" fontId="15" fillId="3" borderId="30" xfId="30" applyFill="1" applyBorder="1"/>
    <xf numFmtId="0" fontId="15" fillId="3" borderId="30" xfId="30" applyFill="1" applyBorder="1" applyAlignment="1">
      <alignment horizontal="centerContinuous"/>
    </xf>
    <xf numFmtId="0" fontId="32" fillId="3" borderId="0" xfId="30" applyFont="1" applyFill="1"/>
    <xf numFmtId="0" fontId="32" fillId="3" borderId="0" xfId="30" applyFont="1" applyFill="1" applyAlignment="1">
      <alignment horizontal="left"/>
    </xf>
    <xf numFmtId="0" fontId="32" fillId="3" borderId="0" xfId="30" applyFont="1" applyFill="1" applyAlignment="1">
      <alignment horizontal="centerContinuous"/>
    </xf>
    <xf numFmtId="0" fontId="32" fillId="3" borderId="30" xfId="30" applyFont="1" applyFill="1" applyBorder="1"/>
    <xf numFmtId="0" fontId="15" fillId="3" borderId="32" xfId="30" applyFill="1" applyBorder="1" applyAlignment="1">
      <alignment horizontal="centerContinuous"/>
    </xf>
    <xf numFmtId="0" fontId="30" fillId="3" borderId="34" xfId="30" applyFont="1" applyFill="1" applyBorder="1" applyAlignment="1">
      <alignment horizontal="center"/>
    </xf>
    <xf numFmtId="0" fontId="30" fillId="3" borderId="9" xfId="30" applyFont="1" applyFill="1" applyBorder="1" applyAlignment="1">
      <alignment horizontal="centerContinuous"/>
    </xf>
    <xf numFmtId="0" fontId="30" fillId="3" borderId="10" xfId="30" applyFont="1" applyFill="1" applyBorder="1" applyAlignment="1">
      <alignment horizontal="centerContinuous"/>
    </xf>
    <xf numFmtId="0" fontId="30" fillId="3" borderId="5" xfId="30" applyFont="1" applyFill="1" applyBorder="1" applyAlignment="1">
      <alignment horizontal="centerContinuous"/>
    </xf>
    <xf numFmtId="0" fontId="15" fillId="3" borderId="35" xfId="30" applyFill="1" applyBorder="1" applyAlignment="1">
      <alignment horizontal="centerContinuous"/>
    </xf>
    <xf numFmtId="0" fontId="27" fillId="3" borderId="0" xfId="30" applyFont="1" applyFill="1" applyAlignment="1">
      <alignment horizontal="left"/>
    </xf>
    <xf numFmtId="0" fontId="32" fillId="3" borderId="12" xfId="30" applyFont="1" applyFill="1" applyBorder="1" applyAlignment="1">
      <alignment horizontal="center" vertical="center"/>
    </xf>
    <xf numFmtId="0" fontId="32" fillId="3" borderId="14" xfId="30" applyFont="1" applyFill="1" applyBorder="1" applyAlignment="1">
      <alignment horizontal="center" vertical="center"/>
    </xf>
    <xf numFmtId="0" fontId="21" fillId="0" borderId="0" xfId="9"/>
    <xf numFmtId="0" fontId="21" fillId="0" borderId="0" xfId="9" applyAlignment="1">
      <alignment horizontal="center" vertical="center"/>
    </xf>
    <xf numFmtId="0" fontId="15" fillId="0" borderId="0" xfId="9" applyFont="1"/>
    <xf numFmtId="43" fontId="36" fillId="0" borderId="0" xfId="27" applyFont="1" applyBorder="1" applyAlignment="1">
      <alignment vertical="center"/>
    </xf>
    <xf numFmtId="0" fontId="32" fillId="3" borderId="0" xfId="30" applyFont="1" applyFill="1" applyAlignment="1">
      <alignment horizontal="center"/>
    </xf>
    <xf numFmtId="0" fontId="20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5" fillId="0" borderId="0" xfId="9" applyFont="1" applyAlignment="1">
      <alignment horizontal="center"/>
    </xf>
    <xf numFmtId="171" fontId="21" fillId="0" borderId="0" xfId="1" applyNumberFormat="1" applyFont="1" applyAlignment="1">
      <alignment vertical="center"/>
    </xf>
    <xf numFmtId="0" fontId="32" fillId="3" borderId="13" xfId="30" applyFont="1" applyFill="1" applyBorder="1" applyAlignment="1">
      <alignment vertical="center"/>
    </xf>
    <xf numFmtId="3" fontId="15" fillId="0" borderId="0" xfId="9" applyNumberFormat="1" applyFont="1"/>
    <xf numFmtId="0" fontId="19" fillId="0" borderId="0" xfId="0" applyFont="1" applyAlignment="1">
      <alignment horizontal="left" vertical="top"/>
    </xf>
    <xf numFmtId="3" fontId="18" fillId="0" borderId="0" xfId="0" applyNumberFormat="1" applyFont="1" applyAlignment="1">
      <alignment horizontal="left"/>
    </xf>
    <xf numFmtId="0" fontId="32" fillId="3" borderId="44" xfId="30" applyFont="1" applyFill="1" applyBorder="1" applyAlignment="1">
      <alignment horizontal="center" vertical="center"/>
    </xf>
    <xf numFmtId="0" fontId="18" fillId="0" borderId="0" xfId="0" applyFont="1" applyAlignment="1">
      <alignment horizontal="right" vertical="top"/>
    </xf>
    <xf numFmtId="165" fontId="15" fillId="0" borderId="0" xfId="9" applyNumberFormat="1" applyFont="1"/>
    <xf numFmtId="10" fontId="18" fillId="0" borderId="0" xfId="0" applyNumberFormat="1" applyFont="1"/>
    <xf numFmtId="0" fontId="36" fillId="0" borderId="0" xfId="9" applyFont="1"/>
    <xf numFmtId="43" fontId="0" fillId="0" borderId="0" xfId="27" applyFont="1" applyBorder="1"/>
    <xf numFmtId="0" fontId="19" fillId="0" borderId="0" xfId="0" applyFont="1"/>
    <xf numFmtId="177" fontId="18" fillId="0" borderId="0" xfId="0" applyNumberFormat="1" applyFont="1"/>
    <xf numFmtId="171" fontId="15" fillId="0" borderId="0" xfId="1" applyNumberFormat="1" applyFont="1" applyBorder="1" applyAlignment="1">
      <alignment vertical="center"/>
    </xf>
    <xf numFmtId="171" fontId="30" fillId="3" borderId="39" xfId="1" applyNumberFormat="1" applyFont="1" applyFill="1" applyBorder="1" applyAlignment="1">
      <alignment vertical="center"/>
    </xf>
    <xf numFmtId="0" fontId="32" fillId="3" borderId="0" xfId="30" applyFont="1" applyFill="1" applyAlignment="1">
      <alignment horizontal="center" vertical="center"/>
    </xf>
    <xf numFmtId="0" fontId="32" fillId="3" borderId="13" xfId="30" applyFont="1" applyFill="1" applyBorder="1" applyAlignment="1">
      <alignment horizontal="centerContinuous" vertical="center"/>
    </xf>
    <xf numFmtId="0" fontId="32" fillId="3" borderId="33" xfId="30" applyFont="1" applyFill="1" applyBorder="1" applyAlignment="1">
      <alignment horizontal="centerContinuous" vertical="center"/>
    </xf>
    <xf numFmtId="0" fontId="30" fillId="3" borderId="31" xfId="30" applyFont="1" applyFill="1" applyBorder="1" applyAlignment="1">
      <alignment vertical="center"/>
    </xf>
    <xf numFmtId="0" fontId="32" fillId="3" borderId="11" xfId="30" applyFont="1" applyFill="1" applyBorder="1" applyAlignment="1">
      <alignment horizontal="center" vertical="center"/>
    </xf>
    <xf numFmtId="0" fontId="32" fillId="3" borderId="11" xfId="30" applyFont="1" applyFill="1" applyBorder="1" applyAlignment="1">
      <alignment horizontal="centerContinuous" vertical="center"/>
    </xf>
    <xf numFmtId="0" fontId="30" fillId="3" borderId="29" xfId="30" applyFont="1" applyFill="1" applyBorder="1" applyAlignment="1">
      <alignment vertical="center"/>
    </xf>
    <xf numFmtId="0" fontId="32" fillId="3" borderId="33" xfId="30" applyFont="1" applyFill="1" applyBorder="1" applyAlignment="1">
      <alignment vertical="center"/>
    </xf>
    <xf numFmtId="0" fontId="32" fillId="3" borderId="14" xfId="30" applyFont="1" applyFill="1" applyBorder="1" applyAlignment="1">
      <alignment horizontal="centerContinuous" vertical="center"/>
    </xf>
    <xf numFmtId="0" fontId="30" fillId="3" borderId="29" xfId="30" applyFont="1" applyFill="1" applyBorder="1" applyAlignment="1">
      <alignment horizontal="centerContinuous" vertical="center"/>
    </xf>
    <xf numFmtId="0" fontId="32" fillId="3" borderId="0" xfId="30" applyFont="1" applyFill="1" applyAlignment="1">
      <alignment horizontal="centerContinuous" vertical="center"/>
    </xf>
    <xf numFmtId="0" fontId="21" fillId="0" borderId="0" xfId="9" applyAlignment="1">
      <alignment horizontal="center"/>
    </xf>
    <xf numFmtId="171" fontId="30" fillId="3" borderId="39" xfId="1" applyNumberFormat="1" applyFont="1" applyFill="1" applyBorder="1" applyAlignment="1">
      <alignment horizontal="center" vertical="center"/>
    </xf>
    <xf numFmtId="0" fontId="27" fillId="0" borderId="0" xfId="9" applyFont="1"/>
    <xf numFmtId="0" fontId="0" fillId="0" borderId="0" xfId="9" applyFont="1" applyAlignment="1">
      <alignment horizontal="left"/>
    </xf>
    <xf numFmtId="0" fontId="36" fillId="5" borderId="20" xfId="9" applyFont="1" applyFill="1" applyBorder="1" applyAlignment="1">
      <alignment horizontal="center" vertical="center" wrapText="1"/>
    </xf>
    <xf numFmtId="175" fontId="15" fillId="0" borderId="56" xfId="1" applyNumberFormat="1" applyFont="1" applyFill="1" applyBorder="1" applyAlignment="1">
      <alignment horizontal="left" vertical="center"/>
    </xf>
    <xf numFmtId="43" fontId="0" fillId="0" borderId="57" xfId="27" applyFont="1" applyFill="1" applyBorder="1" applyAlignment="1">
      <alignment horizontal="center" vertical="center"/>
    </xf>
    <xf numFmtId="43" fontId="0" fillId="0" borderId="55" xfId="27" applyFont="1" applyBorder="1" applyAlignment="1">
      <alignment horizontal="left" vertical="center"/>
    </xf>
    <xf numFmtId="171" fontId="21" fillId="0" borderId="0" xfId="1" applyNumberFormat="1" applyFont="1" applyBorder="1" applyAlignment="1">
      <alignment vertical="center"/>
    </xf>
    <xf numFmtId="0" fontId="35" fillId="0" borderId="53" xfId="9" applyFont="1" applyBorder="1" applyAlignment="1">
      <alignment horizontal="center"/>
    </xf>
    <xf numFmtId="0" fontId="21" fillId="0" borderId="54" xfId="9" applyBorder="1"/>
    <xf numFmtId="0" fontId="18" fillId="6" borderId="0" xfId="68" applyFont="1" applyFill="1" applyAlignment="1">
      <alignment vertical="center"/>
    </xf>
    <xf numFmtId="171" fontId="18" fillId="0" borderId="0" xfId="55" applyNumberFormat="1" applyFont="1" applyFill="1" applyAlignment="1" applyProtection="1">
      <alignment vertical="center"/>
    </xf>
    <xf numFmtId="0" fontId="48" fillId="6" borderId="0" xfId="68" applyFont="1" applyFill="1" applyAlignment="1">
      <alignment horizontal="center" vertical="center"/>
    </xf>
    <xf numFmtId="0" fontId="47" fillId="6" borderId="0" xfId="68" applyFont="1" applyFill="1" applyAlignment="1">
      <alignment vertical="center"/>
    </xf>
    <xf numFmtId="0" fontId="48" fillId="6" borderId="0" xfId="68" applyFont="1" applyFill="1" applyAlignment="1">
      <alignment vertical="center"/>
    </xf>
    <xf numFmtId="0" fontId="48" fillId="0" borderId="0" xfId="68" applyFont="1" applyAlignment="1">
      <alignment horizontal="right" vertical="center"/>
    </xf>
    <xf numFmtId="0" fontId="18" fillId="0" borderId="0" xfId="68" applyFont="1" applyAlignment="1">
      <alignment vertical="center"/>
    </xf>
    <xf numFmtId="172" fontId="18" fillId="0" borderId="0" xfId="69" applyNumberFormat="1" applyFont="1" applyFill="1" applyBorder="1" applyAlignment="1" applyProtection="1">
      <alignment vertical="center"/>
    </xf>
    <xf numFmtId="165" fontId="18" fillId="0" borderId="0" xfId="69" applyFont="1" applyFill="1" applyAlignment="1" applyProtection="1">
      <alignment horizontal="center" vertical="center"/>
    </xf>
    <xf numFmtId="165" fontId="18" fillId="0" borderId="0" xfId="69" applyFont="1" applyFill="1" applyAlignment="1" applyProtection="1">
      <alignment horizontal="right" vertical="center"/>
    </xf>
    <xf numFmtId="171" fontId="18" fillId="0" borderId="0" xfId="55" applyNumberFormat="1" applyFont="1" applyFill="1" applyAlignment="1" applyProtection="1">
      <alignment horizontal="right" vertical="center" indent="2"/>
    </xf>
    <xf numFmtId="0" fontId="27" fillId="0" borderId="0" xfId="68" applyFont="1" applyAlignment="1">
      <alignment horizontal="right" vertical="center"/>
    </xf>
    <xf numFmtId="0" fontId="36" fillId="0" borderId="0" xfId="68" applyFont="1" applyAlignment="1">
      <alignment vertical="center"/>
    </xf>
    <xf numFmtId="172" fontId="36" fillId="0" borderId="0" xfId="69" applyNumberFormat="1" applyFont="1" applyFill="1" applyBorder="1" applyAlignment="1" applyProtection="1">
      <alignment vertical="center"/>
    </xf>
    <xf numFmtId="0" fontId="36" fillId="0" borderId="0" xfId="68" applyFont="1" applyAlignment="1">
      <alignment horizontal="center" vertical="center"/>
    </xf>
    <xf numFmtId="165" fontId="36" fillId="0" borderId="0" xfId="69" applyFont="1" applyFill="1" applyBorder="1" applyAlignment="1" applyProtection="1">
      <alignment vertical="center"/>
    </xf>
    <xf numFmtId="165" fontId="36" fillId="0" borderId="0" xfId="69" applyFont="1" applyFill="1" applyBorder="1" applyAlignment="1" applyProtection="1">
      <alignment horizontal="right" vertical="center"/>
    </xf>
    <xf numFmtId="171" fontId="15" fillId="0" borderId="0" xfId="55" applyNumberFormat="1" applyFont="1" applyFill="1" applyBorder="1" applyAlignment="1" applyProtection="1">
      <alignment vertical="center"/>
    </xf>
    <xf numFmtId="171" fontId="15" fillId="0" borderId="0" xfId="55" applyNumberFormat="1" applyFont="1" applyFill="1" applyBorder="1" applyAlignment="1" applyProtection="1">
      <alignment horizontal="right" vertical="center" indent="2"/>
    </xf>
    <xf numFmtId="171" fontId="15" fillId="0" borderId="0" xfId="55" applyNumberFormat="1" applyFont="1" applyFill="1" applyAlignment="1" applyProtection="1">
      <alignment vertical="center"/>
    </xf>
    <xf numFmtId="171" fontId="27" fillId="0" borderId="65" xfId="55" applyNumberFormat="1" applyFont="1" applyFill="1" applyBorder="1" applyAlignment="1">
      <alignment horizontal="center" vertical="center"/>
    </xf>
    <xf numFmtId="171" fontId="27" fillId="0" borderId="74" xfId="70" applyNumberFormat="1" applyFont="1" applyFill="1" applyBorder="1" applyAlignment="1" applyProtection="1">
      <alignment vertical="center"/>
    </xf>
    <xf numFmtId="0" fontId="27" fillId="0" borderId="76" xfId="68" quotePrefix="1" applyFont="1" applyBorder="1" applyAlignment="1">
      <alignment horizontal="center" vertical="center"/>
    </xf>
    <xf numFmtId="0" fontId="46" fillId="0" borderId="22" xfId="68" applyFont="1" applyBorder="1" applyAlignment="1">
      <alignment horizontal="left" vertical="center"/>
    </xf>
    <xf numFmtId="172" fontId="27" fillId="0" borderId="23" xfId="69" applyNumberFormat="1" applyFont="1" applyFill="1" applyBorder="1" applyAlignment="1" applyProtection="1">
      <alignment horizontal="center" vertical="center"/>
    </xf>
    <xf numFmtId="0" fontId="27" fillId="0" borderId="23" xfId="68" applyFont="1" applyBorder="1" applyAlignment="1">
      <alignment horizontal="center" vertical="center"/>
    </xf>
    <xf numFmtId="165" fontId="27" fillId="0" borderId="24" xfId="69" applyFont="1" applyFill="1" applyBorder="1" applyAlignment="1" applyProtection="1">
      <alignment horizontal="center" vertical="center"/>
    </xf>
    <xf numFmtId="165" fontId="27" fillId="0" borderId="24" xfId="69" applyFont="1" applyFill="1" applyBorder="1" applyAlignment="1" applyProtection="1">
      <alignment horizontal="right" vertical="center"/>
    </xf>
    <xf numFmtId="171" fontId="27" fillId="0" borderId="24" xfId="55" applyNumberFormat="1" applyFont="1" applyFill="1" applyBorder="1" applyAlignment="1" applyProtection="1">
      <alignment vertical="center"/>
    </xf>
    <xf numFmtId="171" fontId="27" fillId="0" borderId="24" xfId="55" applyNumberFormat="1" applyFont="1" applyFill="1" applyBorder="1" applyAlignment="1" applyProtection="1">
      <alignment horizontal="right" vertical="center" indent="2"/>
    </xf>
    <xf numFmtId="171" fontId="27" fillId="0" borderId="77" xfId="55" applyNumberFormat="1" applyFont="1" applyFill="1" applyBorder="1" applyAlignment="1" applyProtection="1">
      <alignment vertical="center"/>
    </xf>
    <xf numFmtId="165" fontId="45" fillId="0" borderId="24" xfId="69" applyFont="1" applyFill="1" applyBorder="1" applyAlignment="1" applyProtection="1">
      <alignment horizontal="center" vertical="center"/>
    </xf>
    <xf numFmtId="171" fontId="45" fillId="0" borderId="24" xfId="55" applyNumberFormat="1" applyFont="1" applyFill="1" applyBorder="1" applyAlignment="1" applyProtection="1">
      <alignment horizontal="right" vertical="center" indent="2"/>
    </xf>
    <xf numFmtId="171" fontId="45" fillId="0" borderId="24" xfId="55" applyNumberFormat="1" applyFont="1" applyFill="1" applyBorder="1" applyAlignment="1">
      <alignment horizontal="right" vertical="center" indent="2"/>
    </xf>
    <xf numFmtId="171" fontId="45" fillId="0" borderId="24" xfId="55" applyNumberFormat="1" applyFont="1" applyFill="1" applyBorder="1" applyAlignment="1">
      <alignment vertical="center"/>
    </xf>
    <xf numFmtId="0" fontId="45" fillId="0" borderId="23" xfId="68" applyFont="1" applyBorder="1" applyAlignment="1">
      <alignment horizontal="center" vertical="center"/>
    </xf>
    <xf numFmtId="43" fontId="45" fillId="0" borderId="24" xfId="19" applyNumberFormat="1" applyFont="1" applyFill="1" applyBorder="1" applyAlignment="1" applyProtection="1">
      <alignment vertical="center"/>
    </xf>
    <xf numFmtId="174" fontId="45" fillId="0" borderId="23" xfId="19" applyFont="1" applyFill="1" applyBorder="1" applyAlignment="1" applyProtection="1">
      <alignment vertical="center"/>
    </xf>
    <xf numFmtId="43" fontId="45" fillId="0" borderId="24" xfId="19" applyNumberFormat="1" applyFont="1" applyFill="1" applyBorder="1" applyAlignment="1" applyProtection="1">
      <alignment horizontal="right" vertical="center"/>
    </xf>
    <xf numFmtId="0" fontId="27" fillId="0" borderId="78" xfId="68" applyFont="1" applyBorder="1" applyAlignment="1">
      <alignment horizontal="center" vertical="center"/>
    </xf>
    <xf numFmtId="0" fontId="27" fillId="0" borderId="51" xfId="68" applyFont="1" applyBorder="1" applyAlignment="1">
      <alignment horizontal="center" vertical="center"/>
    </xf>
    <xf numFmtId="0" fontId="27" fillId="0" borderId="52" xfId="68" applyFont="1" applyBorder="1" applyAlignment="1">
      <alignment horizontal="center" vertical="center"/>
    </xf>
    <xf numFmtId="43" fontId="27" fillId="0" borderId="50" xfId="60" applyNumberFormat="1" applyFont="1" applyFill="1" applyBorder="1" applyAlignment="1" applyProtection="1">
      <alignment horizontal="center" vertical="center"/>
    </xf>
    <xf numFmtId="43" fontId="45" fillId="0" borderId="50" xfId="60" applyNumberFormat="1" applyFont="1" applyFill="1" applyBorder="1" applyAlignment="1" applyProtection="1">
      <alignment horizontal="center" vertical="center"/>
    </xf>
    <xf numFmtId="43" fontId="27" fillId="0" borderId="50" xfId="60" applyNumberFormat="1" applyFont="1" applyFill="1" applyBorder="1" applyAlignment="1" applyProtection="1">
      <alignment horizontal="right" vertical="center"/>
    </xf>
    <xf numFmtId="10" fontId="15" fillId="0" borderId="50" xfId="7" applyNumberFormat="1" applyFont="1" applyFill="1" applyBorder="1" applyAlignment="1" applyProtection="1">
      <alignment horizontal="left" vertical="center"/>
    </xf>
    <xf numFmtId="0" fontId="45" fillId="0" borderId="79" xfId="68" applyFont="1" applyBorder="1" applyAlignment="1">
      <alignment horizontal="right" vertical="center"/>
    </xf>
    <xf numFmtId="0" fontId="27" fillId="0" borderId="80" xfId="68" applyFont="1" applyBorder="1" applyAlignment="1">
      <alignment vertical="center"/>
    </xf>
    <xf numFmtId="172" fontId="45" fillId="0" borderId="80" xfId="19" applyNumberFormat="1" applyFont="1" applyFill="1" applyBorder="1" applyAlignment="1" applyProtection="1">
      <alignment vertical="center"/>
    </xf>
    <xf numFmtId="0" fontId="45" fillId="0" borderId="80" xfId="68" applyFont="1" applyBorder="1" applyAlignment="1">
      <alignment vertical="center"/>
    </xf>
    <xf numFmtId="43" fontId="45" fillId="0" borderId="81" xfId="19" applyNumberFormat="1" applyFont="1" applyFill="1" applyBorder="1" applyAlignment="1" applyProtection="1">
      <alignment horizontal="center" vertical="center"/>
    </xf>
    <xf numFmtId="43" fontId="45" fillId="0" borderId="74" xfId="19" applyNumberFormat="1" applyFont="1" applyFill="1" applyBorder="1" applyAlignment="1" applyProtection="1">
      <alignment horizontal="center" vertical="center"/>
    </xf>
    <xf numFmtId="43" fontId="45" fillId="0" borderId="74" xfId="19" applyNumberFormat="1" applyFont="1" applyFill="1" applyBorder="1" applyAlignment="1" applyProtection="1">
      <alignment horizontal="right" vertical="center"/>
    </xf>
    <xf numFmtId="43" fontId="27" fillId="0" borderId="74" xfId="19" applyNumberFormat="1" applyFont="1" applyFill="1" applyBorder="1" applyAlignment="1" applyProtection="1">
      <alignment horizontal="right" vertical="center"/>
    </xf>
    <xf numFmtId="171" fontId="45" fillId="0" borderId="74" xfId="55" applyNumberFormat="1" applyFont="1" applyFill="1" applyBorder="1" applyAlignment="1" applyProtection="1">
      <alignment vertical="center"/>
    </xf>
    <xf numFmtId="171" fontId="45" fillId="0" borderId="74" xfId="55" applyNumberFormat="1" applyFont="1" applyFill="1" applyBorder="1" applyAlignment="1" applyProtection="1">
      <alignment horizontal="right" vertical="center" indent="2"/>
    </xf>
    <xf numFmtId="0" fontId="45" fillId="0" borderId="0" xfId="68" applyFont="1" applyAlignment="1">
      <alignment horizontal="right" vertical="center"/>
    </xf>
    <xf numFmtId="0" fontId="45" fillId="0" borderId="0" xfId="68" applyFont="1" applyAlignment="1">
      <alignment vertical="center"/>
    </xf>
    <xf numFmtId="172" fontId="45" fillId="0" borderId="0" xfId="19" applyNumberFormat="1" applyFont="1" applyFill="1" applyBorder="1" applyAlignment="1" applyProtection="1">
      <alignment vertical="center"/>
    </xf>
    <xf numFmtId="43" fontId="45" fillId="0" borderId="0" xfId="19" applyNumberFormat="1" applyFont="1" applyFill="1" applyAlignment="1" applyProtection="1">
      <alignment horizontal="center" vertical="center"/>
    </xf>
    <xf numFmtId="171" fontId="45" fillId="0" borderId="0" xfId="55" applyNumberFormat="1" applyFont="1" applyFill="1" applyAlignment="1" applyProtection="1">
      <alignment vertical="center"/>
    </xf>
    <xf numFmtId="9" fontId="15" fillId="0" borderId="0" xfId="7" applyFont="1" applyFill="1" applyAlignment="1" applyProtection="1">
      <alignment vertical="center"/>
    </xf>
    <xf numFmtId="173" fontId="45" fillId="0" borderId="0" xfId="55" applyNumberFormat="1" applyFont="1" applyFill="1" applyAlignment="1" applyProtection="1">
      <alignment vertical="center"/>
    </xf>
    <xf numFmtId="0" fontId="45" fillId="0" borderId="23" xfId="69" applyNumberFormat="1" applyFont="1" applyFill="1" applyBorder="1" applyAlignment="1" applyProtection="1">
      <alignment vertical="center"/>
    </xf>
    <xf numFmtId="0" fontId="45" fillId="0" borderId="0" xfId="21" applyFont="1"/>
    <xf numFmtId="0" fontId="50" fillId="0" borderId="0" xfId="21" applyFont="1"/>
    <xf numFmtId="171" fontId="45" fillId="0" borderId="24" xfId="1" applyNumberFormat="1" applyFont="1" applyFill="1" applyBorder="1" applyAlignment="1" applyProtection="1">
      <alignment horizontal="center" vertical="center"/>
    </xf>
    <xf numFmtId="41" fontId="45" fillId="0" borderId="24" xfId="1" applyFont="1" applyFill="1" applyBorder="1" applyAlignment="1" applyProtection="1">
      <alignment horizontal="center" vertical="center"/>
    </xf>
    <xf numFmtId="41" fontId="27" fillId="0" borderId="74" xfId="55" applyFont="1" applyFill="1" applyBorder="1" applyAlignment="1" applyProtection="1">
      <alignment horizontal="right" vertical="center" indent="2"/>
    </xf>
    <xf numFmtId="173" fontId="45" fillId="0" borderId="24" xfId="1" applyNumberFormat="1" applyFont="1" applyFill="1" applyBorder="1" applyAlignment="1">
      <alignment vertical="center"/>
    </xf>
    <xf numFmtId="173" fontId="45" fillId="0" borderId="77" xfId="1" applyNumberFormat="1" applyFont="1" applyFill="1" applyBorder="1" applyAlignment="1">
      <alignment vertical="center"/>
    </xf>
    <xf numFmtId="171" fontId="45" fillId="0" borderId="0" xfId="55" applyNumberFormat="1" applyFont="1" applyFill="1" applyAlignment="1">
      <alignment horizontal="center" vertical="center"/>
    </xf>
    <xf numFmtId="0" fontId="45" fillId="0" borderId="0" xfId="21" applyFont="1" applyAlignment="1">
      <alignment vertical="center"/>
    </xf>
    <xf numFmtId="0" fontId="50" fillId="0" borderId="0" xfId="21" applyFont="1" applyAlignment="1">
      <alignment vertical="center"/>
    </xf>
    <xf numFmtId="0" fontId="30" fillId="3" borderId="48" xfId="30" applyFont="1" applyFill="1" applyBorder="1" applyAlignment="1">
      <alignment horizontal="center" vertical="center"/>
    </xf>
    <xf numFmtId="0" fontId="30" fillId="3" borderId="40" xfId="30" applyFont="1" applyFill="1" applyBorder="1" applyAlignment="1">
      <alignment vertical="center"/>
    </xf>
    <xf numFmtId="0" fontId="30" fillId="3" borderId="39" xfId="30" applyFont="1" applyFill="1" applyBorder="1" applyAlignment="1">
      <alignment vertical="center"/>
    </xf>
    <xf numFmtId="0" fontId="30" fillId="3" borderId="49" xfId="30" applyFont="1" applyFill="1" applyBorder="1" applyAlignment="1">
      <alignment horizontal="center" vertical="center"/>
    </xf>
    <xf numFmtId="0" fontId="30" fillId="3" borderId="42" xfId="30" applyFont="1" applyFill="1" applyBorder="1" applyAlignment="1">
      <alignment vertical="center"/>
    </xf>
    <xf numFmtId="0" fontId="32" fillId="3" borderId="11" xfId="30" applyFont="1" applyFill="1" applyBorder="1" applyAlignment="1">
      <alignment vertical="center"/>
    </xf>
    <xf numFmtId="0" fontId="32" fillId="3" borderId="31" xfId="30" applyFont="1" applyFill="1" applyBorder="1" applyAlignment="1">
      <alignment vertical="center"/>
    </xf>
    <xf numFmtId="0" fontId="32" fillId="3" borderId="30" xfId="30" applyFont="1" applyFill="1" applyBorder="1" applyAlignment="1">
      <alignment vertical="center"/>
    </xf>
    <xf numFmtId="0" fontId="32" fillId="3" borderId="29" xfId="30" applyFont="1" applyFill="1" applyBorder="1" applyAlignment="1">
      <alignment vertical="center"/>
    </xf>
    <xf numFmtId="0" fontId="32" fillId="3" borderId="0" xfId="30" applyFont="1" applyFill="1" applyAlignment="1">
      <alignment vertical="center"/>
    </xf>
    <xf numFmtId="10" fontId="32" fillId="3" borderId="0" xfId="30" applyNumberFormat="1" applyFont="1" applyFill="1" applyAlignment="1">
      <alignment vertical="center"/>
    </xf>
    <xf numFmtId="0" fontId="32" fillId="3" borderId="0" xfId="30" quotePrefix="1" applyFont="1" applyFill="1" applyAlignment="1">
      <alignment vertical="center"/>
    </xf>
    <xf numFmtId="0" fontId="33" fillId="3" borderId="0" xfId="30" applyFont="1" applyFill="1" applyAlignment="1">
      <alignment vertical="center"/>
    </xf>
    <xf numFmtId="0" fontId="32" fillId="3" borderId="11" xfId="30" quotePrefix="1" applyFont="1" applyFill="1" applyBorder="1" applyAlignment="1">
      <alignment vertical="center"/>
    </xf>
    <xf numFmtId="0" fontId="32" fillId="3" borderId="27" xfId="30" applyFont="1" applyFill="1" applyBorder="1" applyAlignment="1">
      <alignment vertical="center"/>
    </xf>
    <xf numFmtId="0" fontId="34" fillId="3" borderId="0" xfId="30" applyFont="1" applyFill="1" applyAlignment="1">
      <alignment vertical="center"/>
    </xf>
    <xf numFmtId="0" fontId="32" fillId="3" borderId="36" xfId="30" applyFont="1" applyFill="1" applyBorder="1" applyAlignment="1">
      <alignment vertical="center"/>
    </xf>
    <xf numFmtId="0" fontId="32" fillId="3" borderId="37" xfId="30" applyFont="1" applyFill="1" applyBorder="1" applyAlignment="1">
      <alignment vertical="center"/>
    </xf>
    <xf numFmtId="0" fontId="32" fillId="3" borderId="38" xfId="30" applyFont="1" applyFill="1" applyBorder="1" applyAlignment="1">
      <alignment vertical="center"/>
    </xf>
    <xf numFmtId="0" fontId="19" fillId="0" borderId="83" xfId="0" applyFont="1" applyBorder="1"/>
    <xf numFmtId="0" fontId="18" fillId="0" borderId="83" xfId="0" applyFont="1" applyBorder="1"/>
    <xf numFmtId="0" fontId="45" fillId="0" borderId="23" xfId="68" quotePrefix="1" applyFont="1" applyBorder="1" applyAlignment="1">
      <alignment horizontal="left" vertical="center"/>
    </xf>
    <xf numFmtId="10" fontId="27" fillId="0" borderId="74" xfId="7" applyNumberFormat="1" applyFont="1" applyFill="1" applyBorder="1" applyAlignment="1" applyProtection="1">
      <alignment horizontal="left" vertical="center"/>
    </xf>
    <xf numFmtId="10" fontId="27" fillId="0" borderId="74" xfId="7" applyNumberFormat="1" applyFont="1" applyFill="1" applyBorder="1" applyAlignment="1" applyProtection="1">
      <alignment horizontal="left" vertical="center" indent="2"/>
    </xf>
    <xf numFmtId="10" fontId="27" fillId="0" borderId="82" xfId="7" applyNumberFormat="1" applyFont="1" applyFill="1" applyBorder="1" applyAlignment="1" applyProtection="1">
      <alignment vertical="center"/>
    </xf>
    <xf numFmtId="0" fontId="45" fillId="0" borderId="22" xfId="68" applyFont="1" applyBorder="1" applyAlignment="1">
      <alignment vertical="top"/>
    </xf>
    <xf numFmtId="10" fontId="45" fillId="0" borderId="24" xfId="7" applyNumberFormat="1" applyFont="1" applyFill="1" applyBorder="1" applyAlignment="1">
      <alignment vertical="center"/>
    </xf>
    <xf numFmtId="10" fontId="45" fillId="0" borderId="77" xfId="7" applyNumberFormat="1" applyFont="1" applyFill="1" applyBorder="1" applyAlignment="1">
      <alignment vertical="center"/>
    </xf>
    <xf numFmtId="171" fontId="15" fillId="0" borderId="0" xfId="55" applyNumberFormat="1" applyFont="1" applyFill="1" applyAlignment="1">
      <alignment horizontal="center" vertical="center"/>
    </xf>
    <xf numFmtId="0" fontId="109" fillId="3" borderId="0" xfId="30" applyFont="1" applyFill="1" applyAlignment="1">
      <alignment horizontal="centerContinuous"/>
    </xf>
    <xf numFmtId="0" fontId="109" fillId="3" borderId="0" xfId="30" applyFont="1" applyFill="1" applyAlignment="1">
      <alignment horizontal="left"/>
    </xf>
    <xf numFmtId="3" fontId="109" fillId="3" borderId="0" xfId="30" applyNumberFormat="1" applyFont="1" applyFill="1" applyAlignment="1">
      <alignment horizontal="left" vertical="center"/>
    </xf>
    <xf numFmtId="0" fontId="109" fillId="3" borderId="0" xfId="30" applyFont="1" applyFill="1" applyAlignment="1">
      <alignment horizontal="left" vertical="center"/>
    </xf>
    <xf numFmtId="0" fontId="109" fillId="3" borderId="30" xfId="30" applyFont="1" applyFill="1" applyBorder="1"/>
    <xf numFmtId="0" fontId="109" fillId="3" borderId="0" xfId="30" applyFont="1" applyFill="1" applyAlignment="1">
      <alignment horizontal="center"/>
    </xf>
    <xf numFmtId="0" fontId="109" fillId="3" borderId="0" xfId="30" applyFont="1" applyFill="1" applyAlignment="1">
      <alignment horizontal="center" vertical="center"/>
    </xf>
    <xf numFmtId="177" fontId="109" fillId="3" borderId="0" xfId="30" applyNumberFormat="1" applyFont="1" applyFill="1"/>
    <xf numFmtId="0" fontId="109" fillId="3" borderId="0" xfId="30" applyFont="1" applyFill="1"/>
    <xf numFmtId="171" fontId="45" fillId="0" borderId="24" xfId="55" applyNumberFormat="1" applyFont="1" applyBorder="1" applyAlignment="1">
      <alignment vertical="center"/>
    </xf>
    <xf numFmtId="0" fontId="18" fillId="0" borderId="0" xfId="0" quotePrefix="1" applyFont="1" applyAlignment="1">
      <alignment vertical="center"/>
    </xf>
    <xf numFmtId="0" fontId="15" fillId="0" borderId="0" xfId="9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18" fillId="0" borderId="0" xfId="7" applyNumberFormat="1" applyFont="1" applyBorder="1" applyAlignment="1">
      <alignment horizontal="left"/>
    </xf>
    <xf numFmtId="0" fontId="50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10" fontId="21" fillId="0" borderId="0" xfId="9" applyNumberFormat="1"/>
    <xf numFmtId="0" fontId="32" fillId="3" borderId="0" xfId="30" applyFont="1" applyFill="1" applyAlignment="1">
      <alignment horizontal="center" vertical="top"/>
    </xf>
    <xf numFmtId="0" fontId="39" fillId="3" borderId="0" xfId="30" applyFont="1" applyFill="1" applyAlignment="1">
      <alignment horizontal="left" vertical="top"/>
    </xf>
    <xf numFmtId="2" fontId="53" fillId="3" borderId="0" xfId="30" applyNumberFormat="1" applyFont="1" applyFill="1" applyAlignment="1">
      <alignment vertical="center"/>
    </xf>
    <xf numFmtId="0" fontId="53" fillId="3" borderId="0" xfId="30" applyFont="1" applyFill="1" applyAlignment="1">
      <alignment horizontal="center" vertical="center"/>
    </xf>
    <xf numFmtId="0" fontId="36" fillId="0" borderId="0" xfId="9" applyFont="1" applyAlignment="1">
      <alignment horizontal="center" vertical="center"/>
    </xf>
    <xf numFmtId="0" fontId="36" fillId="0" borderId="17" xfId="9" applyFont="1" applyBorder="1" applyAlignment="1">
      <alignment horizontal="center" vertical="center" wrapText="1"/>
    </xf>
    <xf numFmtId="0" fontId="36" fillId="0" borderId="58" xfId="9" applyFont="1" applyBorder="1" applyAlignment="1">
      <alignment horizontal="center" vertical="center"/>
    </xf>
    <xf numFmtId="0" fontId="36" fillId="0" borderId="112" xfId="9" applyFont="1" applyBorder="1" applyAlignment="1">
      <alignment horizontal="center" vertical="center"/>
    </xf>
    <xf numFmtId="0" fontId="54" fillId="0" borderId="0" xfId="9" applyFont="1" applyAlignment="1">
      <alignment horizontal="center"/>
    </xf>
    <xf numFmtId="0" fontId="155" fillId="0" borderId="0" xfId="9" applyFont="1"/>
    <xf numFmtId="0" fontId="36" fillId="0" borderId="115" xfId="9" applyFont="1" applyBorder="1" applyAlignment="1">
      <alignment horizontal="center" vertical="center"/>
    </xf>
    <xf numFmtId="0" fontId="45" fillId="0" borderId="22" xfId="68" applyFont="1" applyBorder="1" applyAlignment="1">
      <alignment vertical="center"/>
    </xf>
    <xf numFmtId="0" fontId="157" fillId="3" borderId="39" xfId="30" applyFont="1" applyFill="1" applyBorder="1" applyAlignment="1">
      <alignment vertical="center"/>
    </xf>
    <xf numFmtId="0" fontId="53" fillId="3" borderId="0" xfId="30" applyFont="1" applyFill="1" applyAlignment="1">
      <alignment vertical="center"/>
    </xf>
    <xf numFmtId="0" fontId="45" fillId="0" borderId="113" xfId="68" applyFont="1" applyBorder="1" applyAlignment="1">
      <alignment horizontal="right" vertical="center"/>
    </xf>
    <xf numFmtId="0" fontId="45" fillId="0" borderId="113" xfId="68" applyFont="1" applyBorder="1" applyAlignment="1">
      <alignment horizontal="left" vertical="center"/>
    </xf>
    <xf numFmtId="0" fontId="45" fillId="0" borderId="113" xfId="68" applyFont="1" applyBorder="1" applyAlignment="1">
      <alignment vertical="center"/>
    </xf>
    <xf numFmtId="0" fontId="45" fillId="0" borderId="114" xfId="68" applyFont="1" applyBorder="1" applyAlignment="1">
      <alignment vertical="center"/>
    </xf>
    <xf numFmtId="0" fontId="45" fillId="0" borderId="113" xfId="68" applyFont="1" applyBorder="1" applyAlignment="1">
      <alignment horizontal="center" vertical="center"/>
    </xf>
    <xf numFmtId="43" fontId="45" fillId="0" borderId="116" xfId="19" applyNumberFormat="1" applyFont="1" applyFill="1" applyBorder="1" applyAlignment="1" applyProtection="1">
      <alignment vertical="center"/>
    </xf>
    <xf numFmtId="174" fontId="45" fillId="0" borderId="113" xfId="19" applyFont="1" applyFill="1" applyBorder="1" applyAlignment="1" applyProtection="1">
      <alignment vertical="center"/>
    </xf>
    <xf numFmtId="43" fontId="45" fillId="0" borderId="116" xfId="19" applyNumberFormat="1" applyFont="1" applyFill="1" applyBorder="1" applyAlignment="1" applyProtection="1">
      <alignment horizontal="right" vertical="center"/>
    </xf>
    <xf numFmtId="0" fontId="45" fillId="0" borderId="76" xfId="68" quotePrefix="1" applyFont="1" applyBorder="1" applyAlignment="1">
      <alignment horizontal="center" vertical="center"/>
    </xf>
    <xf numFmtId="171" fontId="45" fillId="0" borderId="24" xfId="1" applyNumberFormat="1" applyFont="1" applyFill="1" applyBorder="1" applyAlignment="1">
      <alignment vertical="center"/>
    </xf>
    <xf numFmtId="0" fontId="18" fillId="0" borderId="0" xfId="0" quotePrefix="1" applyFont="1"/>
    <xf numFmtId="14" fontId="15" fillId="2" borderId="0" xfId="30" applyNumberFormat="1"/>
    <xf numFmtId="0" fontId="18" fillId="6" borderId="0" xfId="68" quotePrefix="1" applyFont="1" applyFill="1" applyAlignment="1">
      <alignment vertical="center"/>
    </xf>
    <xf numFmtId="43" fontId="18" fillId="6" borderId="0" xfId="71" applyFont="1" applyFill="1" applyAlignment="1">
      <alignment vertical="center"/>
    </xf>
    <xf numFmtId="43" fontId="160" fillId="6" borderId="0" xfId="71" applyFont="1" applyFill="1" applyAlignment="1">
      <alignment vertical="center"/>
    </xf>
    <xf numFmtId="165" fontId="48" fillId="6" borderId="0" xfId="68" applyNumberFormat="1" applyFont="1" applyFill="1" applyAlignment="1">
      <alignment horizontal="center" vertical="center"/>
    </xf>
    <xf numFmtId="0" fontId="18" fillId="6" borderId="0" xfId="68" applyFont="1" applyFill="1" applyAlignment="1">
      <alignment horizontal="right" vertical="center"/>
    </xf>
    <xf numFmtId="39" fontId="30" fillId="3" borderId="39" xfId="1" applyNumberFormat="1" applyFont="1" applyFill="1" applyBorder="1" applyAlignment="1">
      <alignment horizontal="center" vertical="center"/>
    </xf>
    <xf numFmtId="0" fontId="0" fillId="2" borderId="0" xfId="30" applyFont="1"/>
    <xf numFmtId="0" fontId="15" fillId="0" borderId="55" xfId="0" applyFont="1" applyBorder="1" applyAlignment="1">
      <alignment horizontal="center" vertical="center"/>
    </xf>
    <xf numFmtId="0" fontId="0" fillId="0" borderId="56" xfId="0" applyBorder="1" applyAlignment="1">
      <alignment horizontal="left" vertical="center"/>
    </xf>
    <xf numFmtId="0" fontId="15" fillId="0" borderId="56" xfId="0" applyFont="1" applyBorder="1" applyAlignment="1">
      <alignment horizontal="left" vertical="center"/>
    </xf>
    <xf numFmtId="0" fontId="15" fillId="0" borderId="57" xfId="0" applyFont="1" applyBorder="1" applyAlignment="1">
      <alignment horizontal="center" vertical="center"/>
    </xf>
    <xf numFmtId="172" fontId="15" fillId="0" borderId="55" xfId="27" applyNumberFormat="1" applyFont="1" applyFill="1" applyBorder="1" applyAlignment="1">
      <alignment horizontal="left" vertical="center"/>
    </xf>
    <xf numFmtId="172" fontId="161" fillId="0" borderId="111" xfId="27" applyNumberFormat="1" applyFont="1" applyBorder="1" applyAlignment="1">
      <alignment vertical="center"/>
    </xf>
    <xf numFmtId="41" fontId="45" fillId="0" borderId="24" xfId="55" applyFont="1" applyFill="1" applyBorder="1" applyAlignment="1">
      <alignment horizontal="right" vertical="center" indent="2"/>
    </xf>
    <xf numFmtId="0" fontId="15" fillId="0" borderId="127" xfId="9" applyFont="1" applyBorder="1" applyAlignment="1">
      <alignment horizontal="left" vertical="center"/>
    </xf>
    <xf numFmtId="0" fontId="16" fillId="0" borderId="125" xfId="0" applyFont="1" applyBorder="1"/>
    <xf numFmtId="0" fontId="16" fillId="0" borderId="129" xfId="0" applyFont="1" applyBorder="1"/>
    <xf numFmtId="0" fontId="16" fillId="0" borderId="126" xfId="0" applyFont="1" applyBorder="1"/>
    <xf numFmtId="14" fontId="16" fillId="0" borderId="0" xfId="0" applyNumberFormat="1" applyFont="1"/>
    <xf numFmtId="43" fontId="16" fillId="0" borderId="0" xfId="0" applyNumberFormat="1" applyFont="1"/>
    <xf numFmtId="0" fontId="18" fillId="0" borderId="132" xfId="0" applyFont="1" applyBorder="1"/>
    <xf numFmtId="0" fontId="18" fillId="0" borderId="0" xfId="1710" applyFont="1"/>
    <xf numFmtId="41" fontId="18" fillId="0" borderId="0" xfId="1711" applyFont="1"/>
    <xf numFmtId="43" fontId="165" fillId="46" borderId="47" xfId="1726" applyFont="1" applyFill="1" applyBorder="1" applyAlignment="1">
      <alignment vertical="top"/>
    </xf>
    <xf numFmtId="43" fontId="165" fillId="46" borderId="45" xfId="1726" applyFont="1" applyFill="1" applyBorder="1" applyAlignment="1">
      <alignment vertical="top"/>
    </xf>
    <xf numFmtId="43" fontId="21" fillId="0" borderId="46" xfId="1726" applyBorder="1"/>
    <xf numFmtId="43" fontId="165" fillId="46" borderId="135" xfId="1726" applyFont="1" applyFill="1" applyBorder="1" applyAlignment="1">
      <alignment vertical="top"/>
    </xf>
    <xf numFmtId="43" fontId="165" fillId="46" borderId="0" xfId="1726" applyFont="1" applyFill="1" applyBorder="1" applyAlignment="1">
      <alignment vertical="top"/>
    </xf>
    <xf numFmtId="43" fontId="21" fillId="0" borderId="134" xfId="1726" applyBorder="1"/>
    <xf numFmtId="43" fontId="21" fillId="0" borderId="0" xfId="1726"/>
    <xf numFmtId="43" fontId="21" fillId="0" borderId="135" xfId="1726" applyBorder="1"/>
    <xf numFmtId="43" fontId="21" fillId="0" borderId="0" xfId="1726" applyBorder="1"/>
    <xf numFmtId="43" fontId="21" fillId="47" borderId="110" xfId="1726" applyFill="1" applyBorder="1"/>
    <xf numFmtId="43" fontId="21" fillId="0" borderId="110" xfId="1726" applyBorder="1"/>
    <xf numFmtId="43" fontId="21" fillId="0" borderId="128" xfId="1726" applyBorder="1"/>
    <xf numFmtId="43" fontId="21" fillId="0" borderId="0" xfId="1726" applyFont="1" applyBorder="1" applyAlignment="1">
      <alignment vertical="top"/>
    </xf>
    <xf numFmtId="43" fontId="165" fillId="46" borderId="110" xfId="1726" applyFont="1" applyFill="1" applyBorder="1" applyAlignment="1">
      <alignment vertical="top"/>
    </xf>
    <xf numFmtId="43" fontId="21" fillId="0" borderId="110" xfId="1726" applyBorder="1" applyAlignment="1">
      <alignment horizontal="right" vertical="top"/>
    </xf>
    <xf numFmtId="43" fontId="21" fillId="0" borderId="0" xfId="1726" applyBorder="1" applyAlignment="1">
      <alignment vertical="top"/>
    </xf>
    <xf numFmtId="43" fontId="21" fillId="46" borderId="138" xfId="1726" applyFill="1" applyBorder="1" applyAlignment="1">
      <alignment horizontal="right"/>
    </xf>
    <xf numFmtId="43" fontId="21" fillId="0" borderId="0" xfId="1726" applyFont="1" applyBorder="1"/>
    <xf numFmtId="43" fontId="165" fillId="46" borderId="0" xfId="1726" applyFont="1" applyFill="1" applyBorder="1" applyAlignment="1">
      <alignment wrapText="1"/>
    </xf>
    <xf numFmtId="43" fontId="21" fillId="0" borderId="134" xfId="1726" applyFont="1" applyBorder="1"/>
    <xf numFmtId="171" fontId="21" fillId="48" borderId="110" xfId="1713" applyNumberFormat="1" applyFont="1" applyFill="1" applyBorder="1" applyAlignment="1">
      <alignment horizontal="right"/>
    </xf>
    <xf numFmtId="172" fontId="21" fillId="48" borderId="110" xfId="1726" applyNumberFormat="1" applyFill="1" applyBorder="1"/>
    <xf numFmtId="43" fontId="21" fillId="0" borderId="133" xfId="1726" applyBorder="1"/>
    <xf numFmtId="43" fontId="21" fillId="0" borderId="132" xfId="1726" applyBorder="1"/>
    <xf numFmtId="43" fontId="21" fillId="0" borderId="132" xfId="1726" applyFont="1" applyBorder="1"/>
    <xf numFmtId="43" fontId="21" fillId="0" borderId="136" xfId="1726" applyBorder="1"/>
    <xf numFmtId="43" fontId="21" fillId="0" borderId="0" xfId="1726" applyFont="1" applyProtection="1">
      <protection locked="0"/>
    </xf>
    <xf numFmtId="41" fontId="21" fillId="49" borderId="110" xfId="1713" applyFont="1" applyFill="1" applyBorder="1" applyProtection="1">
      <protection locked="0"/>
    </xf>
    <xf numFmtId="0" fontId="166" fillId="0" borderId="0" xfId="1710" applyFont="1"/>
    <xf numFmtId="41" fontId="166" fillId="0" borderId="0" xfId="1711" applyFont="1"/>
    <xf numFmtId="0" fontId="19" fillId="0" borderId="0" xfId="1710" applyFont="1"/>
    <xf numFmtId="41" fontId="19" fillId="0" borderId="0" xfId="1711" applyFont="1"/>
    <xf numFmtId="0" fontId="44" fillId="6" borderId="0" xfId="4" applyFont="1" applyFill="1" applyAlignment="1">
      <alignment vertical="center"/>
    </xf>
    <xf numFmtId="0" fontId="18" fillId="6" borderId="0" xfId="8" applyFont="1" applyFill="1" applyAlignment="1">
      <alignment horizontal="justify" vertical="top" wrapText="1"/>
    </xf>
    <xf numFmtId="3" fontId="18" fillId="6" borderId="0" xfId="8" applyNumberFormat="1" applyFont="1" applyFill="1" applyAlignment="1">
      <alignment horizontal="justify" vertical="top" wrapText="1"/>
    </xf>
    <xf numFmtId="14" fontId="166" fillId="0" borderId="0" xfId="1710" applyNumberFormat="1" applyFont="1"/>
    <xf numFmtId="0" fontId="18" fillId="0" borderId="147" xfId="1710" applyFont="1" applyBorder="1"/>
    <xf numFmtId="248" fontId="18" fillId="0" borderId="0" xfId="1710" applyNumberFormat="1" applyFont="1" applyAlignment="1">
      <alignment vertical="center"/>
    </xf>
    <xf numFmtId="0" fontId="18" fillId="6" borderId="0" xfId="1710" applyFont="1" applyFill="1"/>
    <xf numFmtId="0" fontId="169" fillId="6" borderId="0" xfId="1710" applyFont="1" applyFill="1" applyAlignment="1">
      <alignment horizontal="left" indent="3"/>
    </xf>
    <xf numFmtId="0" fontId="19" fillId="6" borderId="0" xfId="1710" applyFont="1" applyFill="1" applyAlignment="1">
      <alignment horizontal="left" vertical="center"/>
    </xf>
    <xf numFmtId="0" fontId="166" fillId="6" borderId="0" xfId="1710" applyFont="1" applyFill="1"/>
    <xf numFmtId="0" fontId="18" fillId="6" borderId="0" xfId="1710" applyFont="1" applyFill="1" applyAlignment="1">
      <alignment horizontal="justify" vertical="top" wrapText="1"/>
    </xf>
    <xf numFmtId="0" fontId="18" fillId="6" borderId="0" xfId="1710" applyFont="1" applyFill="1" applyAlignment="1">
      <alignment horizontal="left" vertical="top"/>
    </xf>
    <xf numFmtId="0" fontId="19" fillId="6" borderId="0" xfId="1710" applyFont="1" applyFill="1" applyAlignment="1">
      <alignment horizontal="left" vertical="top"/>
    </xf>
    <xf numFmtId="0" fontId="18" fillId="6" borderId="0" xfId="1710" applyFont="1" applyFill="1" applyAlignment="1">
      <alignment horizontal="center" vertical="top"/>
    </xf>
    <xf numFmtId="0" fontId="18" fillId="6" borderId="0" xfId="1710" applyFont="1" applyFill="1" applyAlignment="1">
      <alignment horizontal="center"/>
    </xf>
    <xf numFmtId="0" fontId="18" fillId="6" borderId="0" xfId="1710" applyFont="1" applyFill="1" applyAlignment="1">
      <alignment horizontal="justify"/>
    </xf>
    <xf numFmtId="246" fontId="18" fillId="6" borderId="0" xfId="1710" applyNumberFormat="1" applyFont="1" applyFill="1" applyAlignment="1">
      <alignment horizontal="justify"/>
    </xf>
    <xf numFmtId="4" fontId="19" fillId="6" borderId="0" xfId="1710" applyNumberFormat="1" applyFont="1" applyFill="1" applyAlignment="1">
      <alignment horizontal="left" vertical="top"/>
    </xf>
    <xf numFmtId="0" fontId="18" fillId="6" borderId="0" xfId="1710" applyFont="1" applyFill="1" applyAlignment="1">
      <alignment horizontal="justify" vertical="center"/>
    </xf>
    <xf numFmtId="3" fontId="18" fillId="6" borderId="0" xfId="1710" quotePrefix="1" applyNumberFormat="1" applyFont="1" applyFill="1" applyAlignment="1">
      <alignment horizontal="left" vertical="center"/>
    </xf>
    <xf numFmtId="41" fontId="18" fillId="6" borderId="0" xfId="1711" applyFont="1" applyFill="1"/>
    <xf numFmtId="0" fontId="18" fillId="6" borderId="0" xfId="1710" applyFont="1" applyFill="1" applyAlignment="1">
      <alignment horizontal="right"/>
    </xf>
    <xf numFmtId="168" fontId="18" fillId="6" borderId="0" xfId="1711" applyNumberFormat="1" applyFont="1" applyFill="1" applyBorder="1" applyAlignment="1"/>
    <xf numFmtId="169" fontId="18" fillId="6" borderId="0" xfId="6" applyNumberFormat="1" applyFont="1" applyFill="1" applyBorder="1" applyAlignment="1"/>
    <xf numFmtId="177" fontId="18" fillId="6" borderId="0" xfId="1710" applyNumberFormat="1" applyFont="1" applyFill="1" applyAlignment="1">
      <alignment horizontal="center"/>
    </xf>
    <xf numFmtId="0" fontId="18" fillId="6" borderId="0" xfId="1710" quotePrefix="1" applyFont="1" applyFill="1" applyAlignment="1">
      <alignment horizontal="left"/>
    </xf>
    <xf numFmtId="9" fontId="18" fillId="6" borderId="0" xfId="1712" applyFont="1" applyFill="1" applyBorder="1"/>
    <xf numFmtId="43" fontId="18" fillId="6" borderId="0" xfId="1710" applyNumberFormat="1" applyFont="1" applyFill="1"/>
    <xf numFmtId="0" fontId="19" fillId="6" borderId="0" xfId="1710" applyFont="1" applyFill="1"/>
    <xf numFmtId="9" fontId="18" fillId="6" borderId="0" xfId="1712" applyFont="1" applyFill="1" applyBorder="1" applyAlignment="1">
      <alignment horizontal="center"/>
    </xf>
    <xf numFmtId="244" fontId="18" fillId="6" borderId="0" xfId="1710" applyNumberFormat="1" applyFont="1" applyFill="1" applyAlignment="1">
      <alignment horizontal="center"/>
    </xf>
    <xf numFmtId="0" fontId="22" fillId="6" borderId="0" xfId="1710" applyFont="1" applyFill="1"/>
    <xf numFmtId="0" fontId="18" fillId="6" borderId="146" xfId="1710" applyFont="1" applyFill="1" applyBorder="1" applyAlignment="1">
      <alignment horizontal="center" vertical="center"/>
    </xf>
    <xf numFmtId="0" fontId="18" fillId="6" borderId="110" xfId="1710" applyFont="1" applyFill="1" applyBorder="1" applyAlignment="1">
      <alignment vertical="center" wrapText="1"/>
    </xf>
    <xf numFmtId="9" fontId="18" fillId="6" borderId="128" xfId="1710" applyNumberFormat="1" applyFont="1" applyFill="1" applyBorder="1" applyAlignment="1">
      <alignment horizontal="center" vertical="center"/>
    </xf>
    <xf numFmtId="0" fontId="18" fillId="6" borderId="143" xfId="1710" applyFont="1" applyFill="1" applyBorder="1" applyAlignment="1">
      <alignment horizontal="center" vertical="center" wrapText="1"/>
    </xf>
    <xf numFmtId="10" fontId="18" fillId="6" borderId="143" xfId="1712" applyNumberFormat="1" applyFont="1" applyFill="1" applyBorder="1" applyAlignment="1">
      <alignment horizontal="right" vertical="center"/>
    </xf>
    <xf numFmtId="247" fontId="18" fillId="6" borderId="110" xfId="1710" applyNumberFormat="1" applyFont="1" applyFill="1" applyBorder="1"/>
    <xf numFmtId="0" fontId="18" fillId="6" borderId="142" xfId="1710" applyFont="1" applyFill="1" applyBorder="1" applyAlignment="1">
      <alignment horizontal="center" vertical="center" wrapText="1"/>
    </xf>
    <xf numFmtId="10" fontId="18" fillId="6" borderId="50" xfId="1712" applyNumberFormat="1" applyFont="1" applyFill="1" applyBorder="1" applyAlignment="1">
      <alignment horizontal="right" vertical="center"/>
    </xf>
    <xf numFmtId="0" fontId="18" fillId="6" borderId="135" xfId="1710" applyFont="1" applyFill="1" applyBorder="1"/>
    <xf numFmtId="0" fontId="18" fillId="6" borderId="140" xfId="1710" applyFont="1" applyFill="1" applyBorder="1"/>
    <xf numFmtId="41" fontId="18" fillId="6" borderId="0" xfId="1710" applyNumberFormat="1" applyFont="1" applyFill="1"/>
    <xf numFmtId="244" fontId="19" fillId="6" borderId="0" xfId="1710" applyNumberFormat="1" applyFont="1" applyFill="1"/>
    <xf numFmtId="244" fontId="18" fillId="6" borderId="0" xfId="1710" applyNumberFormat="1" applyFont="1" applyFill="1"/>
    <xf numFmtId="10" fontId="18" fillId="6" borderId="0" xfId="1712" applyNumberFormat="1" applyFont="1" applyFill="1" applyBorder="1" applyAlignment="1">
      <alignment horizontal="center"/>
    </xf>
    <xf numFmtId="0" fontId="18" fillId="6" borderId="141" xfId="1710" applyFont="1" applyFill="1" applyBorder="1"/>
    <xf numFmtId="0" fontId="18" fillId="6" borderId="141" xfId="1710" applyFont="1" applyFill="1" applyBorder="1" applyAlignment="1">
      <alignment horizontal="right"/>
    </xf>
    <xf numFmtId="10" fontId="18" fillId="6" borderId="141" xfId="1712" applyNumberFormat="1" applyFont="1" applyFill="1" applyBorder="1" applyAlignment="1">
      <alignment horizontal="center"/>
    </xf>
    <xf numFmtId="9" fontId="18" fillId="6" borderId="141" xfId="1712" applyFont="1" applyFill="1" applyBorder="1" applyAlignment="1">
      <alignment horizontal="center"/>
    </xf>
    <xf numFmtId="0" fontId="18" fillId="6" borderId="141" xfId="1710" applyFont="1" applyFill="1" applyBorder="1" applyAlignment="1">
      <alignment horizontal="center"/>
    </xf>
    <xf numFmtId="244" fontId="18" fillId="6" borderId="141" xfId="1710" applyNumberFormat="1" applyFont="1" applyFill="1" applyBorder="1" applyAlignment="1">
      <alignment horizontal="center"/>
    </xf>
    <xf numFmtId="41" fontId="18" fillId="6" borderId="141" xfId="1711" applyFont="1" applyFill="1" applyBorder="1"/>
    <xf numFmtId="244" fontId="18" fillId="6" borderId="141" xfId="1710" applyNumberFormat="1" applyFont="1" applyFill="1" applyBorder="1"/>
    <xf numFmtId="9" fontId="18" fillId="6" borderId="0" xfId="1712" applyFont="1" applyFill="1" applyBorder="1" applyAlignment="1">
      <alignment horizontal="left"/>
    </xf>
    <xf numFmtId="41" fontId="18" fillId="6" borderId="0" xfId="1711" applyFont="1" applyFill="1" applyBorder="1"/>
    <xf numFmtId="0" fontId="18" fillId="6" borderId="131" xfId="1710" applyFont="1" applyFill="1" applyBorder="1"/>
    <xf numFmtId="0" fontId="18" fillId="6" borderId="131" xfId="1710" applyFont="1" applyFill="1" applyBorder="1" applyAlignment="1">
      <alignment horizontal="right"/>
    </xf>
    <xf numFmtId="0" fontId="168" fillId="6" borderId="0" xfId="1710" applyFont="1" applyFill="1"/>
    <xf numFmtId="0" fontId="168" fillId="6" borderId="0" xfId="1710" applyFont="1" applyFill="1" applyAlignment="1">
      <alignment horizontal="right"/>
    </xf>
    <xf numFmtId="244" fontId="168" fillId="6" borderId="0" xfId="1710" applyNumberFormat="1" applyFont="1" applyFill="1"/>
    <xf numFmtId="0" fontId="18" fillId="6" borderId="0" xfId="1710" applyFont="1" applyFill="1" applyAlignment="1">
      <alignment horizontal="center" vertical="center" wrapText="1"/>
    </xf>
    <xf numFmtId="0" fontId="18" fillId="6" borderId="0" xfId="1710" applyFont="1" applyFill="1" applyAlignment="1">
      <alignment vertical="center"/>
    </xf>
    <xf numFmtId="0" fontId="19" fillId="6" borderId="0" xfId="1710" applyFont="1" applyFill="1" applyAlignment="1">
      <alignment horizontal="justify" vertical="center" wrapText="1"/>
    </xf>
    <xf numFmtId="0" fontId="19" fillId="6" borderId="0" xfId="1710" quotePrefix="1" applyFont="1" applyFill="1" applyAlignment="1">
      <alignment horizontal="justify" vertical="center" wrapText="1"/>
    </xf>
    <xf numFmtId="0" fontId="18" fillId="6" borderId="0" xfId="1710" applyFont="1" applyFill="1" applyAlignment="1">
      <alignment horizontal="justify" wrapText="1"/>
    </xf>
    <xf numFmtId="0" fontId="167" fillId="6" borderId="0" xfId="1710" applyFont="1" applyFill="1"/>
    <xf numFmtId="0" fontId="167" fillId="6" borderId="0" xfId="1710" applyFont="1" applyFill="1" applyAlignment="1">
      <alignment horizontal="center"/>
    </xf>
    <xf numFmtId="0" fontId="45" fillId="0" borderId="148" xfId="68" quotePrefix="1" applyFont="1" applyBorder="1" applyAlignment="1">
      <alignment horizontal="center" vertical="center"/>
    </xf>
    <xf numFmtId="171" fontId="45" fillId="0" borderId="116" xfId="55" applyNumberFormat="1" applyFont="1" applyFill="1" applyBorder="1" applyAlignment="1">
      <alignment vertical="center"/>
    </xf>
    <xf numFmtId="171" fontId="45" fillId="0" borderId="116" xfId="55" applyNumberFormat="1" applyFont="1" applyBorder="1" applyAlignment="1">
      <alignment vertical="center"/>
    </xf>
    <xf numFmtId="0" fontId="27" fillId="0" borderId="22" xfId="68" applyFont="1" applyBorder="1" applyAlignment="1">
      <alignment vertical="center"/>
    </xf>
    <xf numFmtId="0" fontId="27" fillId="0" borderId="23" xfId="69" applyNumberFormat="1" applyFont="1" applyFill="1" applyBorder="1" applyAlignment="1" applyProtection="1">
      <alignment vertical="center"/>
    </xf>
    <xf numFmtId="0" fontId="27" fillId="0" borderId="113" xfId="68" applyFont="1" applyBorder="1" applyAlignment="1">
      <alignment horizontal="right" vertical="center"/>
    </xf>
    <xf numFmtId="0" fontId="27" fillId="0" borderId="113" xfId="68" applyFont="1" applyBorder="1" applyAlignment="1">
      <alignment horizontal="left" vertical="center"/>
    </xf>
    <xf numFmtId="0" fontId="27" fillId="0" borderId="113" xfId="68" applyFont="1" applyBorder="1" applyAlignment="1">
      <alignment vertical="center"/>
    </xf>
    <xf numFmtId="0" fontId="27" fillId="0" borderId="114" xfId="68" applyFont="1" applyBorder="1" applyAlignment="1">
      <alignment vertical="center"/>
    </xf>
    <xf numFmtId="0" fontId="27" fillId="0" borderId="113" xfId="68" applyFont="1" applyBorder="1" applyAlignment="1">
      <alignment horizontal="center" vertical="center"/>
    </xf>
    <xf numFmtId="43" fontId="27" fillId="0" borderId="116" xfId="19" applyNumberFormat="1" applyFont="1" applyFill="1" applyBorder="1" applyAlignment="1" applyProtection="1">
      <alignment vertical="center"/>
    </xf>
    <xf numFmtId="174" fontId="27" fillId="0" borderId="113" xfId="19" applyFont="1" applyFill="1" applyBorder="1" applyAlignment="1" applyProtection="1">
      <alignment vertical="center"/>
    </xf>
    <xf numFmtId="43" fontId="27" fillId="0" borderId="116" xfId="19" applyNumberFormat="1" applyFont="1" applyFill="1" applyBorder="1" applyAlignment="1" applyProtection="1">
      <alignment horizontal="right" vertical="center"/>
    </xf>
    <xf numFmtId="0" fontId="27" fillId="50" borderId="76" xfId="68" quotePrefix="1" applyFont="1" applyFill="1" applyBorder="1" applyAlignment="1">
      <alignment horizontal="center" vertical="center"/>
    </xf>
    <xf numFmtId="0" fontId="27" fillId="50" borderId="22" xfId="68" applyFont="1" applyFill="1" applyBorder="1" applyAlignment="1">
      <alignment vertical="center"/>
    </xf>
    <xf numFmtId="0" fontId="27" fillId="50" borderId="23" xfId="69" applyNumberFormat="1" applyFont="1" applyFill="1" applyBorder="1" applyAlignment="1" applyProtection="1">
      <alignment vertical="center"/>
    </xf>
    <xf numFmtId="0" fontId="27" fillId="50" borderId="113" xfId="68" applyFont="1" applyFill="1" applyBorder="1" applyAlignment="1">
      <alignment horizontal="right" vertical="center"/>
    </xf>
    <xf numFmtId="0" fontId="27" fillId="50" borderId="113" xfId="68" applyFont="1" applyFill="1" applyBorder="1" applyAlignment="1">
      <alignment horizontal="left" vertical="center"/>
    </xf>
    <xf numFmtId="0" fontId="27" fillId="50" borderId="113" xfId="68" applyFont="1" applyFill="1" applyBorder="1" applyAlignment="1">
      <alignment vertical="center"/>
    </xf>
    <xf numFmtId="0" fontId="27" fillId="50" borderId="114" xfId="68" applyFont="1" applyFill="1" applyBorder="1" applyAlignment="1">
      <alignment vertical="center"/>
    </xf>
    <xf numFmtId="0" fontId="27" fillId="50" borderId="113" xfId="68" applyFont="1" applyFill="1" applyBorder="1" applyAlignment="1">
      <alignment horizontal="center" vertical="center"/>
    </xf>
    <xf numFmtId="43" fontId="27" fillId="50" borderId="116" xfId="19" applyNumberFormat="1" applyFont="1" applyFill="1" applyBorder="1" applyAlignment="1" applyProtection="1">
      <alignment vertical="center"/>
    </xf>
    <xf numFmtId="174" fontId="27" fillId="50" borderId="113" xfId="19" applyFont="1" applyFill="1" applyBorder="1" applyAlignment="1" applyProtection="1">
      <alignment vertical="center"/>
    </xf>
    <xf numFmtId="43" fontId="27" fillId="50" borderId="116" xfId="19" applyNumberFormat="1" applyFont="1" applyFill="1" applyBorder="1" applyAlignment="1" applyProtection="1">
      <alignment horizontal="right" vertical="center"/>
    </xf>
    <xf numFmtId="171" fontId="27" fillId="50" borderId="24" xfId="1" applyNumberFormat="1" applyFont="1" applyFill="1" applyBorder="1" applyAlignment="1" applyProtection="1">
      <alignment horizontal="center" vertical="center"/>
    </xf>
    <xf numFmtId="41" fontId="27" fillId="50" borderId="24" xfId="55" applyFont="1" applyFill="1" applyBorder="1" applyAlignment="1">
      <alignment horizontal="right" vertical="center" indent="2"/>
    </xf>
    <xf numFmtId="41" fontId="27" fillId="50" borderId="24" xfId="1" applyFont="1" applyFill="1" applyBorder="1" applyAlignment="1" applyProtection="1">
      <alignment horizontal="center" vertical="center"/>
    </xf>
    <xf numFmtId="10" fontId="27" fillId="50" borderId="24" xfId="7" applyNumberFormat="1" applyFont="1" applyFill="1" applyBorder="1" applyAlignment="1">
      <alignment vertical="center"/>
    </xf>
    <xf numFmtId="171" fontId="27" fillId="50" borderId="24" xfId="55" applyNumberFormat="1" applyFont="1" applyFill="1" applyBorder="1" applyAlignment="1">
      <alignment vertical="center"/>
    </xf>
    <xf numFmtId="171" fontId="27" fillId="50" borderId="24" xfId="1" applyNumberFormat="1" applyFont="1" applyFill="1" applyBorder="1" applyAlignment="1">
      <alignment vertical="center"/>
    </xf>
    <xf numFmtId="10" fontId="27" fillId="50" borderId="77" xfId="7" applyNumberFormat="1" applyFont="1" applyFill="1" applyBorder="1" applyAlignment="1">
      <alignment vertical="center"/>
    </xf>
    <xf numFmtId="0" fontId="27" fillId="0" borderId="148" xfId="68" quotePrefix="1" applyFont="1" applyBorder="1" applyAlignment="1">
      <alignment horizontal="center" vertical="center"/>
    </xf>
    <xf numFmtId="0" fontId="27" fillId="50" borderId="148" xfId="68" quotePrefix="1" applyFont="1" applyFill="1" applyBorder="1" applyAlignment="1">
      <alignment horizontal="center" vertical="center"/>
    </xf>
    <xf numFmtId="171" fontId="27" fillId="50" borderId="116" xfId="55" applyNumberFormat="1" applyFont="1" applyFill="1" applyBorder="1" applyAlignment="1">
      <alignment vertical="center"/>
    </xf>
    <xf numFmtId="0" fontId="157" fillId="3" borderId="48" xfId="30" applyFont="1" applyFill="1" applyBorder="1" applyAlignment="1">
      <alignment horizontal="center" vertical="center"/>
    </xf>
    <xf numFmtId="0" fontId="157" fillId="3" borderId="40" xfId="30" applyFont="1" applyFill="1" applyBorder="1" applyAlignment="1">
      <alignment vertical="center"/>
    </xf>
    <xf numFmtId="0" fontId="157" fillId="50" borderId="48" xfId="30" applyFont="1" applyFill="1" applyBorder="1" applyAlignment="1">
      <alignment horizontal="center" vertical="center"/>
    </xf>
    <xf numFmtId="0" fontId="157" fillId="50" borderId="39" xfId="30" applyFont="1" applyFill="1" applyBorder="1" applyAlignment="1">
      <alignment vertical="center"/>
    </xf>
    <xf numFmtId="0" fontId="157" fillId="50" borderId="40" xfId="30" applyFont="1" applyFill="1" applyBorder="1" applyAlignment="1">
      <alignment vertical="center"/>
    </xf>
    <xf numFmtId="39" fontId="157" fillId="50" borderId="39" xfId="1" applyNumberFormat="1" applyFont="1" applyFill="1" applyBorder="1" applyAlignment="1">
      <alignment horizontal="center" vertical="center"/>
    </xf>
    <xf numFmtId="171" fontId="157" fillId="50" borderId="39" xfId="1" applyNumberFormat="1" applyFont="1" applyFill="1" applyBorder="1" applyAlignment="1">
      <alignment vertical="center"/>
    </xf>
    <xf numFmtId="244" fontId="18" fillId="0" borderId="0" xfId="0" applyNumberFormat="1" applyFont="1"/>
    <xf numFmtId="244" fontId="19" fillId="0" borderId="0" xfId="0" applyNumberFormat="1" applyFont="1"/>
    <xf numFmtId="244" fontId="18" fillId="0" borderId="0" xfId="1718" applyNumberFormat="1" applyFont="1"/>
    <xf numFmtId="244" fontId="18" fillId="0" borderId="137" xfId="0" applyNumberFormat="1" applyFont="1" applyBorder="1"/>
    <xf numFmtId="244" fontId="160" fillId="0" borderId="0" xfId="0" applyNumberFormat="1" applyFont="1"/>
    <xf numFmtId="0" fontId="18" fillId="0" borderId="4" xfId="0" applyFont="1" applyBorder="1" applyAlignment="1">
      <alignment horizontal="right"/>
    </xf>
    <xf numFmtId="244" fontId="18" fillId="0" borderId="4" xfId="0" applyNumberFormat="1" applyFont="1" applyBorder="1"/>
    <xf numFmtId="0" fontId="18" fillId="0" borderId="132" xfId="0" applyFont="1" applyBorder="1" applyAlignment="1">
      <alignment horizontal="right"/>
    </xf>
    <xf numFmtId="244" fontId="18" fillId="0" borderId="132" xfId="0" quotePrefix="1" applyNumberFormat="1" applyFont="1" applyBorder="1"/>
    <xf numFmtId="244" fontId="19" fillId="0" borderId="4" xfId="0" applyNumberFormat="1" applyFont="1" applyBorder="1"/>
    <xf numFmtId="0" fontId="18" fillId="0" borderId="83" xfId="0" applyFont="1" applyBorder="1" applyAlignment="1">
      <alignment horizontal="right"/>
    </xf>
    <xf numFmtId="244" fontId="19" fillId="0" borderId="83" xfId="0" applyNumberFormat="1" applyFont="1" applyBorder="1"/>
    <xf numFmtId="249" fontId="18" fillId="0" borderId="0" xfId="0" applyNumberFormat="1" applyFont="1"/>
    <xf numFmtId="176" fontId="48" fillId="6" borderId="0" xfId="7" applyNumberFormat="1" applyFont="1" applyFill="1" applyAlignment="1">
      <alignment vertical="center"/>
    </xf>
    <xf numFmtId="176" fontId="45" fillId="0" borderId="24" xfId="7" applyNumberFormat="1" applyFont="1" applyFill="1" applyBorder="1" applyAlignment="1">
      <alignment vertical="center"/>
    </xf>
    <xf numFmtId="176" fontId="27" fillId="50" borderId="24" xfId="7" applyNumberFormat="1" applyFont="1" applyFill="1" applyBorder="1" applyAlignment="1">
      <alignment vertical="center"/>
    </xf>
    <xf numFmtId="176" fontId="45" fillId="0" borderId="24" xfId="1" applyNumberFormat="1" applyFont="1" applyFill="1" applyBorder="1" applyAlignment="1">
      <alignment vertical="center"/>
    </xf>
    <xf numFmtId="176" fontId="27" fillId="0" borderId="74" xfId="7" applyNumberFormat="1" applyFont="1" applyFill="1" applyBorder="1" applyAlignment="1" applyProtection="1">
      <alignment horizontal="right" vertical="center"/>
    </xf>
    <xf numFmtId="3" fontId="31" fillId="3" borderId="29" xfId="30" applyNumberFormat="1" applyFont="1" applyFill="1" applyBorder="1" applyAlignment="1">
      <alignment horizontal="center" vertical="center"/>
    </xf>
    <xf numFmtId="3" fontId="31" fillId="3" borderId="0" xfId="30" applyNumberFormat="1" applyFont="1" applyFill="1" applyAlignment="1">
      <alignment horizontal="center" vertical="center"/>
    </xf>
    <xf numFmtId="3" fontId="31" fillId="3" borderId="30" xfId="30" applyNumberFormat="1" applyFont="1" applyFill="1" applyBorder="1" applyAlignment="1">
      <alignment horizontal="center" vertical="center"/>
    </xf>
    <xf numFmtId="177" fontId="18" fillId="6" borderId="142" xfId="1710" applyNumberFormat="1" applyFont="1" applyFill="1" applyBorder="1" applyAlignment="1">
      <alignment horizontal="center" vertical="center" wrapText="1"/>
    </xf>
    <xf numFmtId="177" fontId="18" fillId="6" borderId="52" xfId="1710" applyNumberFormat="1" applyFont="1" applyFill="1" applyBorder="1" applyAlignment="1">
      <alignment horizontal="center" vertical="center" wrapText="1"/>
    </xf>
    <xf numFmtId="4" fontId="18" fillId="6" borderId="142" xfId="1710" applyNumberFormat="1" applyFont="1" applyFill="1" applyBorder="1" applyAlignment="1">
      <alignment horizontal="center" vertical="center"/>
    </xf>
    <xf numFmtId="4" fontId="18" fillId="6" borderId="52" xfId="1710" applyNumberFormat="1" applyFont="1" applyFill="1" applyBorder="1" applyAlignment="1">
      <alignment horizontal="center" vertical="center"/>
    </xf>
    <xf numFmtId="0" fontId="36" fillId="0" borderId="0" xfId="0" applyFont="1"/>
    <xf numFmtId="0" fontId="171" fillId="0" borderId="0" xfId="0" applyFont="1"/>
    <xf numFmtId="0" fontId="36" fillId="51" borderId="0" xfId="0" applyFont="1" applyFill="1"/>
    <xf numFmtId="0" fontId="172" fillId="0" borderId="0" xfId="0" applyFont="1"/>
    <xf numFmtId="0" fontId="0" fillId="0" borderId="0" xfId="0" applyAlignment="1">
      <alignment horizontal="left"/>
    </xf>
    <xf numFmtId="0" fontId="172" fillId="0" borderId="0" xfId="0" applyFont="1" applyAlignment="1">
      <alignment horizontal="left"/>
    </xf>
    <xf numFmtId="250" fontId="172" fillId="0" borderId="0" xfId="0" applyNumberFormat="1" applyFont="1" applyAlignment="1">
      <alignment horizontal="left"/>
    </xf>
    <xf numFmtId="3" fontId="173" fillId="0" borderId="0" xfId="0" applyNumberFormat="1" applyFont="1" applyAlignment="1">
      <alignment horizontal="left"/>
    </xf>
    <xf numFmtId="178" fontId="172" fillId="0" borderId="0" xfId="0" applyNumberFormat="1" applyFont="1" applyAlignment="1">
      <alignment horizontal="left"/>
    </xf>
    <xf numFmtId="0" fontId="173" fillId="0" borderId="0" xfId="0" applyFont="1" applyAlignment="1">
      <alignment horizontal="left"/>
    </xf>
    <xf numFmtId="10" fontId="173" fillId="0" borderId="0" xfId="0" applyNumberFormat="1" applyFont="1" applyAlignment="1">
      <alignment horizontal="left"/>
    </xf>
    <xf numFmtId="10" fontId="172" fillId="52" borderId="0" xfId="0" applyNumberFormat="1" applyFont="1" applyFill="1" applyAlignment="1">
      <alignment horizontal="left"/>
    </xf>
    <xf numFmtId="0" fontId="15" fillId="0" borderId="0" xfId="9" applyFont="1" applyAlignment="1">
      <alignment horizontal="left"/>
    </xf>
    <xf numFmtId="0" fontId="21" fillId="53" borderId="127" xfId="4" applyFill="1" applyBorder="1" applyAlignment="1">
      <alignment vertical="top"/>
    </xf>
    <xf numFmtId="0" fontId="21" fillId="53" borderId="127" xfId="4" applyFill="1" applyBorder="1" applyAlignment="1">
      <alignment vertical="top" wrapText="1"/>
    </xf>
    <xf numFmtId="0" fontId="21" fillId="0" borderId="0" xfId="4" applyAlignment="1">
      <alignment vertical="top"/>
    </xf>
    <xf numFmtId="0" fontId="21" fillId="0" borderId="0" xfId="4" quotePrefix="1" applyAlignment="1">
      <alignment vertical="top"/>
    </xf>
    <xf numFmtId="3" fontId="172" fillId="0" borderId="0" xfId="0" applyNumberFormat="1" applyFont="1"/>
    <xf numFmtId="0" fontId="173" fillId="0" borderId="0" xfId="0" applyFont="1"/>
    <xf numFmtId="1" fontId="173" fillId="0" borderId="0" xfId="0" applyNumberFormat="1" applyFont="1"/>
    <xf numFmtId="0" fontId="172" fillId="52" borderId="0" xfId="0" applyFont="1" applyFill="1"/>
    <xf numFmtId="0" fontId="47" fillId="6" borderId="0" xfId="68" applyFont="1" applyFill="1" applyAlignment="1">
      <alignment horizontal="center" vertical="center"/>
    </xf>
    <xf numFmtId="0" fontId="47" fillId="51" borderId="0" xfId="68" applyFont="1" applyFill="1" applyAlignment="1">
      <alignment horizontal="center" vertical="center"/>
    </xf>
    <xf numFmtId="4" fontId="47" fillId="6" borderId="0" xfId="68" applyNumberFormat="1" applyFont="1" applyFill="1" applyAlignment="1">
      <alignment vertical="center"/>
    </xf>
    <xf numFmtId="4" fontId="48" fillId="6" borderId="0" xfId="68" applyNumberFormat="1" applyFont="1" applyFill="1" applyAlignment="1">
      <alignment vertical="center"/>
    </xf>
    <xf numFmtId="0" fontId="172" fillId="52" borderId="0" xfId="0" applyFont="1" applyFill="1" applyAlignment="1">
      <alignment horizontal="left"/>
    </xf>
    <xf numFmtId="10" fontId="173" fillId="0" borderId="0" xfId="0" applyNumberFormat="1" applyFont="1"/>
    <xf numFmtId="10" fontId="36" fillId="0" borderId="0" xfId="0" applyNumberFormat="1" applyFont="1"/>
    <xf numFmtId="250" fontId="172" fillId="52" borderId="0" xfId="0" applyNumberFormat="1" applyFont="1" applyFill="1"/>
    <xf numFmtId="250" fontId="173" fillId="0" borderId="0" xfId="0" applyNumberFormat="1" applyFont="1" applyAlignment="1">
      <alignment horizontal="left"/>
    </xf>
    <xf numFmtId="0" fontId="19" fillId="6" borderId="0" xfId="68" applyFont="1" applyFill="1" applyAlignment="1">
      <alignment vertical="center"/>
    </xf>
    <xf numFmtId="0" fontId="174" fillId="52" borderId="0" xfId="68" applyFont="1" applyFill="1" applyAlignment="1">
      <alignment vertical="center"/>
    </xf>
    <xf numFmtId="14" fontId="36" fillId="2" borderId="0" xfId="30" applyNumberFormat="1" applyFont="1"/>
    <xf numFmtId="14" fontId="172" fillId="52" borderId="0" xfId="30" applyNumberFormat="1" applyFont="1" applyFill="1"/>
    <xf numFmtId="14" fontId="74" fillId="0" borderId="0" xfId="0" applyNumberFormat="1" applyFont="1"/>
    <xf numFmtId="0" fontId="175" fillId="52" borderId="0" xfId="0" applyFont="1" applyFill="1"/>
    <xf numFmtId="0" fontId="176" fillId="0" borderId="0" xfId="0" applyFont="1"/>
    <xf numFmtId="176" fontId="48" fillId="6" borderId="0" xfId="68" applyNumberFormat="1" applyFont="1" applyFill="1" applyAlignment="1">
      <alignment horizontal="center" vertical="center"/>
    </xf>
    <xf numFmtId="0" fontId="161" fillId="51" borderId="0" xfId="0" applyFont="1" applyFill="1" applyAlignment="1">
      <alignment horizontal="center"/>
    </xf>
    <xf numFmtId="3" fontId="0" fillId="0" borderId="0" xfId="0" applyNumberFormat="1"/>
    <xf numFmtId="176" fontId="0" fillId="0" borderId="0" xfId="0" applyNumberFormat="1"/>
    <xf numFmtId="10" fontId="0" fillId="0" borderId="0" xfId="0" applyNumberFormat="1"/>
    <xf numFmtId="4" fontId="0" fillId="0" borderId="0" xfId="0" applyNumberFormat="1"/>
    <xf numFmtId="0" fontId="27" fillId="0" borderId="0" xfId="0" applyFont="1"/>
    <xf numFmtId="0" fontId="0" fillId="0" borderId="0" xfId="0" pivotButton="1"/>
    <xf numFmtId="4" fontId="172" fillId="54" borderId="0" xfId="0" applyNumberFormat="1" applyFont="1" applyFill="1"/>
    <xf numFmtId="4" fontId="177" fillId="55" borderId="0" xfId="68" applyNumberFormat="1" applyFont="1" applyFill="1" applyAlignment="1">
      <alignment vertical="center"/>
    </xf>
    <xf numFmtId="0" fontId="161" fillId="56" borderId="0" xfId="0" applyFont="1" applyFill="1" applyAlignment="1">
      <alignment horizontal="center"/>
    </xf>
    <xf numFmtId="0" fontId="45" fillId="0" borderId="23" xfId="69" applyNumberFormat="1" applyFont="1" applyFill="1" applyBorder="1" applyAlignment="1" applyProtection="1">
      <alignment vertical="center" wrapText="1"/>
    </xf>
    <xf numFmtId="0" fontId="45" fillId="0" borderId="25" xfId="69" applyNumberFormat="1" applyFont="1" applyFill="1" applyBorder="1" applyAlignment="1" applyProtection="1">
      <alignment vertical="center" wrapText="1"/>
    </xf>
    <xf numFmtId="0" fontId="173" fillId="0" borderId="0" xfId="0" quotePrefix="1" applyFont="1"/>
    <xf numFmtId="0" fontId="30" fillId="3" borderId="40" xfId="30" applyFont="1" applyFill="1" applyBorder="1" applyAlignment="1">
      <alignment vertical="center" wrapText="1"/>
    </xf>
    <xf numFmtId="0" fontId="30" fillId="3" borderId="130" xfId="30" applyFont="1" applyFill="1" applyBorder="1" applyAlignment="1">
      <alignment vertical="center" wrapText="1"/>
    </xf>
    <xf numFmtId="171" fontId="27" fillId="0" borderId="24" xfId="1" applyNumberFormat="1" applyFont="1" applyFill="1" applyBorder="1" applyAlignment="1" applyProtection="1">
      <alignment horizontal="center" vertical="center"/>
    </xf>
    <xf numFmtId="41" fontId="27" fillId="0" borderId="24" xfId="55" applyFont="1" applyFill="1" applyBorder="1" applyAlignment="1">
      <alignment horizontal="right" vertical="center" indent="2"/>
    </xf>
    <xf numFmtId="41" fontId="27" fillId="0" borderId="24" xfId="1" applyFont="1" applyFill="1" applyBorder="1" applyAlignment="1" applyProtection="1">
      <alignment horizontal="center" vertical="center"/>
    </xf>
    <xf numFmtId="10" fontId="27" fillId="0" borderId="24" xfId="7" applyNumberFormat="1" applyFont="1" applyFill="1" applyBorder="1" applyAlignment="1">
      <alignment vertical="center"/>
    </xf>
    <xf numFmtId="171" fontId="27" fillId="0" borderId="24" xfId="55" applyNumberFormat="1" applyFont="1" applyFill="1" applyBorder="1" applyAlignment="1">
      <alignment vertical="center"/>
    </xf>
    <xf numFmtId="171" fontId="27" fillId="0" borderId="24" xfId="1" applyNumberFormat="1" applyFont="1" applyFill="1" applyBorder="1" applyAlignment="1">
      <alignment vertical="center"/>
    </xf>
    <xf numFmtId="10" fontId="27" fillId="0" borderId="77" xfId="7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45" fillId="0" borderId="76" xfId="68" quotePrefix="1" applyFont="1" applyBorder="1" applyAlignment="1">
      <alignment horizontal="right" vertical="center"/>
    </xf>
    <xf numFmtId="0" fontId="157" fillId="0" borderId="48" xfId="30" applyFont="1" applyFill="1" applyBorder="1" applyAlignment="1">
      <alignment horizontal="center" vertical="center"/>
    </xf>
    <xf numFmtId="0" fontId="157" fillId="0" borderId="39" xfId="30" applyFont="1" applyFill="1" applyBorder="1" applyAlignment="1">
      <alignment vertical="center"/>
    </xf>
    <xf numFmtId="0" fontId="157" fillId="0" borderId="40" xfId="30" applyFont="1" applyFill="1" applyBorder="1" applyAlignment="1">
      <alignment vertical="center"/>
    </xf>
    <xf numFmtId="39" fontId="157" fillId="0" borderId="39" xfId="1" applyNumberFormat="1" applyFont="1" applyFill="1" applyBorder="1" applyAlignment="1">
      <alignment horizontal="center" vertical="center"/>
    </xf>
    <xf numFmtId="171" fontId="157" fillId="0" borderId="39" xfId="1" applyNumberFormat="1" applyFont="1" applyFill="1" applyBorder="1" applyAlignment="1">
      <alignment vertical="center"/>
    </xf>
    <xf numFmtId="0" fontId="30" fillId="0" borderId="48" xfId="30" applyFont="1" applyFill="1" applyBorder="1" applyAlignment="1">
      <alignment horizontal="right" vertical="center"/>
    </xf>
    <xf numFmtId="0" fontId="49" fillId="0" borderId="23" xfId="68" applyFont="1" applyBorder="1" applyAlignment="1">
      <alignment horizontal="justify" vertical="center" wrapText="1"/>
    </xf>
    <xf numFmtId="0" fontId="36" fillId="5" borderId="151" xfId="9" applyFont="1" applyFill="1" applyBorder="1" applyAlignment="1">
      <alignment horizontal="center" vertical="center"/>
    </xf>
    <xf numFmtId="0" fontId="36" fillId="0" borderId="135" xfId="9" applyFont="1" applyBorder="1" applyAlignment="1">
      <alignment horizontal="center" vertical="center"/>
    </xf>
    <xf numFmtId="43" fontId="15" fillId="0" borderId="22" xfId="71" applyFont="1" applyFill="1" applyBorder="1" applyAlignment="1">
      <alignment horizontal="center" vertical="center"/>
    </xf>
    <xf numFmtId="43" fontId="0" fillId="0" borderId="25" xfId="27" applyFont="1" applyFill="1" applyBorder="1" applyAlignment="1">
      <alignment horizontal="left" vertical="center"/>
    </xf>
    <xf numFmtId="0" fontId="179" fillId="0" borderId="24" xfId="0" applyFont="1" applyBorder="1" applyAlignment="1">
      <alignment horizontal="center" vertical="center"/>
    </xf>
    <xf numFmtId="0" fontId="179" fillId="0" borderId="23" xfId="0" applyFont="1" applyBorder="1" applyAlignment="1">
      <alignment horizontal="left" vertical="center"/>
    </xf>
    <xf numFmtId="0" fontId="161" fillId="0" borderId="23" xfId="0" applyFont="1" applyBorder="1" applyAlignment="1">
      <alignment horizontal="left" vertical="center"/>
    </xf>
    <xf numFmtId="0" fontId="109" fillId="0" borderId="23" xfId="0" applyFont="1" applyBorder="1" applyAlignment="1">
      <alignment horizontal="left" vertical="center"/>
    </xf>
    <xf numFmtId="0" fontId="109" fillId="0" borderId="25" xfId="0" applyFont="1" applyBorder="1" applyAlignment="1">
      <alignment horizontal="center" vertical="center"/>
    </xf>
    <xf numFmtId="43" fontId="162" fillId="0" borderId="22" xfId="71" applyFont="1" applyBorder="1"/>
    <xf numFmtId="43" fontId="162" fillId="0" borderId="25" xfId="71" applyFont="1" applyBorder="1"/>
    <xf numFmtId="245" fontId="162" fillId="0" borderId="24" xfId="71" applyNumberFormat="1" applyFont="1" applyBorder="1"/>
    <xf numFmtId="172" fontId="161" fillId="0" borderId="24" xfId="71" applyNumberFormat="1" applyFont="1" applyBorder="1"/>
    <xf numFmtId="0" fontId="109" fillId="0" borderId="24" xfId="0" applyFont="1" applyBorder="1" applyAlignment="1">
      <alignment horizontal="right" vertical="center"/>
    </xf>
    <xf numFmtId="0" fontId="162" fillId="0" borderId="22" xfId="0" applyFont="1" applyBorder="1"/>
    <xf numFmtId="0" fontId="109" fillId="0" borderId="24" xfId="0" applyFont="1" applyBorder="1" applyAlignment="1">
      <alignment horizontal="center" vertical="center"/>
    </xf>
    <xf numFmtId="0" fontId="36" fillId="0" borderId="134" xfId="9" applyFont="1" applyBorder="1" applyAlignment="1">
      <alignment horizontal="center"/>
    </xf>
    <xf numFmtId="43" fontId="36" fillId="0" borderId="135" xfId="27" applyFont="1" applyBorder="1" applyAlignment="1">
      <alignment vertical="center"/>
    </xf>
    <xf numFmtId="0" fontId="36" fillId="0" borderId="134" xfId="9" applyFont="1" applyBorder="1" applyAlignment="1">
      <alignment horizontal="left"/>
    </xf>
    <xf numFmtId="0" fontId="21" fillId="0" borderId="135" xfId="9" applyBorder="1"/>
    <xf numFmtId="43" fontId="0" fillId="0" borderId="135" xfId="27" applyFont="1" applyBorder="1"/>
    <xf numFmtId="0" fontId="35" fillId="0" borderId="134" xfId="9" applyFont="1" applyBorder="1" applyAlignment="1">
      <alignment horizontal="center"/>
    </xf>
    <xf numFmtId="0" fontId="21" fillId="0" borderId="15" xfId="9" applyBorder="1"/>
    <xf numFmtId="171" fontId="21" fillId="0" borderId="15" xfId="1" applyNumberFormat="1" applyFont="1" applyBorder="1" applyAlignment="1">
      <alignment vertical="center"/>
    </xf>
    <xf numFmtId="0" fontId="21" fillId="0" borderId="15" xfId="9" applyBorder="1" applyAlignment="1">
      <alignment horizontal="center" vertical="center"/>
    </xf>
    <xf numFmtId="0" fontId="36" fillId="5" borderId="24" xfId="9" applyFont="1" applyFill="1" applyBorder="1" applyAlignment="1">
      <alignment horizontal="center" vertical="center"/>
    </xf>
    <xf numFmtId="43" fontId="0" fillId="5" borderId="24" xfId="27" applyFont="1" applyFill="1" applyBorder="1" applyAlignment="1">
      <alignment horizontal="left" vertical="center"/>
    </xf>
    <xf numFmtId="43" fontId="15" fillId="5" borderId="24" xfId="27" applyFont="1" applyFill="1" applyBorder="1" applyAlignment="1">
      <alignment horizontal="left" vertical="center"/>
    </xf>
    <xf numFmtId="0" fontId="27" fillId="5" borderId="76" xfId="68" quotePrefix="1" applyFont="1" applyFill="1" applyBorder="1" applyAlignment="1">
      <alignment horizontal="center" vertical="center"/>
    </xf>
    <xf numFmtId="0" fontId="45" fillId="5" borderId="23" xfId="68" applyFont="1" applyFill="1" applyBorder="1" applyAlignment="1">
      <alignment horizontal="center" vertical="center"/>
    </xf>
    <xf numFmtId="43" fontId="45" fillId="5" borderId="24" xfId="19" applyNumberFormat="1" applyFont="1" applyFill="1" applyBorder="1" applyAlignment="1" applyProtection="1">
      <alignment vertical="center"/>
    </xf>
    <xf numFmtId="174" fontId="45" fillId="5" borderId="23" xfId="19" applyFont="1" applyFill="1" applyBorder="1" applyAlignment="1" applyProtection="1">
      <alignment vertical="center"/>
    </xf>
    <xf numFmtId="43" fontId="45" fillId="5" borderId="24" xfId="19" applyNumberFormat="1" applyFont="1" applyFill="1" applyBorder="1" applyAlignment="1" applyProtection="1">
      <alignment horizontal="right" vertical="center"/>
    </xf>
    <xf numFmtId="171" fontId="45" fillId="5" borderId="24" xfId="1" applyNumberFormat="1" applyFont="1" applyFill="1" applyBorder="1" applyAlignment="1" applyProtection="1">
      <alignment horizontal="center" vertical="center"/>
    </xf>
    <xf numFmtId="171" fontId="45" fillId="5" borderId="24" xfId="55" applyNumberFormat="1" applyFont="1" applyFill="1" applyBorder="1" applyAlignment="1">
      <alignment horizontal="right" vertical="center" indent="2"/>
    </xf>
    <xf numFmtId="10" fontId="45" fillId="5" borderId="24" xfId="7" applyNumberFormat="1" applyFont="1" applyFill="1" applyBorder="1" applyAlignment="1">
      <alignment vertical="center"/>
    </xf>
    <xf numFmtId="171" fontId="45" fillId="5" borderId="24" xfId="55" applyNumberFormat="1" applyFont="1" applyFill="1" applyBorder="1" applyAlignment="1">
      <alignment vertical="center"/>
    </xf>
    <xf numFmtId="173" fontId="45" fillId="5" borderId="24" xfId="1" applyNumberFormat="1" applyFont="1" applyFill="1" applyBorder="1" applyAlignment="1">
      <alignment vertical="center"/>
    </xf>
    <xf numFmtId="10" fontId="45" fillId="5" borderId="77" xfId="7" applyNumberFormat="1" applyFont="1" applyFill="1" applyBorder="1" applyAlignment="1">
      <alignment vertical="center"/>
    </xf>
    <xf numFmtId="0" fontId="30" fillId="5" borderId="48" xfId="30" applyFont="1" applyFill="1" applyBorder="1" applyAlignment="1">
      <alignment horizontal="center" vertical="center"/>
    </xf>
    <xf numFmtId="171" fontId="30" fillId="5" borderId="39" xfId="1" applyNumberFormat="1" applyFont="1" applyFill="1" applyBorder="1" applyAlignment="1">
      <alignment horizontal="center" vertical="center"/>
    </xf>
    <xf numFmtId="171" fontId="30" fillId="5" borderId="39" xfId="1" applyNumberFormat="1" applyFont="1" applyFill="1" applyBorder="1" applyAlignment="1">
      <alignment vertical="center"/>
    </xf>
    <xf numFmtId="39" fontId="30" fillId="3" borderId="39" xfId="1" applyNumberFormat="1" applyFont="1" applyFill="1" applyBorder="1" applyAlignment="1">
      <alignment horizontal="right" vertical="center"/>
    </xf>
    <xf numFmtId="0" fontId="36" fillId="0" borderId="24" xfId="9" applyFont="1" applyBorder="1" applyAlignment="1">
      <alignment horizontal="center" vertical="center"/>
    </xf>
    <xf numFmtId="43" fontId="0" fillId="0" borderId="24" xfId="27" applyFont="1" applyFill="1" applyBorder="1" applyAlignment="1">
      <alignment horizontal="left" vertical="center"/>
    </xf>
    <xf numFmtId="43" fontId="15" fillId="0" borderId="24" xfId="27" applyFont="1" applyFill="1" applyBorder="1" applyAlignment="1">
      <alignment horizontal="left" vertical="center"/>
    </xf>
    <xf numFmtId="0" fontId="49" fillId="5" borderId="22" xfId="68" applyFont="1" applyFill="1" applyBorder="1" applyAlignment="1">
      <alignment vertical="center" wrapText="1"/>
    </xf>
    <xf numFmtId="0" fontId="49" fillId="5" borderId="25" xfId="68" applyFont="1" applyFill="1" applyBorder="1" applyAlignment="1">
      <alignment vertical="center" wrapText="1"/>
    </xf>
    <xf numFmtId="0" fontId="180" fillId="0" borderId="22" xfId="0" applyFont="1" applyBorder="1" applyAlignment="1">
      <alignment vertical="center"/>
    </xf>
    <xf numFmtId="0" fontId="49" fillId="0" borderId="113" xfId="68" applyFont="1" applyBorder="1" applyAlignment="1">
      <alignment horizontal="justify" vertical="center" wrapText="1"/>
    </xf>
    <xf numFmtId="0" fontId="49" fillId="0" borderId="114" xfId="68" applyFont="1" applyBorder="1" applyAlignment="1">
      <alignment horizontal="justify" vertical="center" wrapText="1"/>
    </xf>
    <xf numFmtId="0" fontId="45" fillId="0" borderId="113" xfId="68" applyFont="1" applyBorder="1" applyAlignment="1">
      <alignment vertical="center" wrapText="1"/>
    </xf>
    <xf numFmtId="3" fontId="48" fillId="6" borderId="0" xfId="68" applyNumberFormat="1" applyFont="1" applyFill="1" applyAlignment="1">
      <alignment vertical="center"/>
    </xf>
    <xf numFmtId="10" fontId="27" fillId="0" borderId="74" xfId="7" applyNumberFormat="1" applyFont="1" applyFill="1" applyBorder="1" applyAlignment="1" applyProtection="1">
      <alignment horizontal="right" vertical="center"/>
    </xf>
    <xf numFmtId="3" fontId="18" fillId="6" borderId="0" xfId="8" applyNumberFormat="1" applyFont="1" applyFill="1" applyAlignment="1">
      <alignment horizontal="justify" vertical="top" wrapText="1"/>
    </xf>
    <xf numFmtId="177" fontId="18" fillId="6" borderId="0" xfId="1710" applyNumberFormat="1" applyFont="1" applyFill="1" applyAlignment="1">
      <alignment horizontal="left"/>
    </xf>
    <xf numFmtId="0" fontId="17" fillId="6" borderId="0" xfId="1710" applyFont="1" applyFill="1" applyAlignment="1">
      <alignment horizontal="center"/>
    </xf>
    <xf numFmtId="0" fontId="18" fillId="6" borderId="0" xfId="1710" applyFont="1" applyFill="1" applyAlignment="1">
      <alignment horizontal="center"/>
    </xf>
    <xf numFmtId="0" fontId="18" fillId="6" borderId="0" xfId="1710" quotePrefix="1" applyFont="1" applyFill="1" applyAlignment="1">
      <alignment horizontal="justify" vertical="top" wrapText="1"/>
    </xf>
    <xf numFmtId="0" fontId="18" fillId="6" borderId="0" xfId="1710" applyFont="1" applyFill="1" applyAlignment="1">
      <alignment horizontal="justify" vertical="top" wrapText="1"/>
    </xf>
    <xf numFmtId="0" fontId="18" fillId="6" borderId="0" xfId="8" applyFont="1" applyFill="1" applyAlignment="1">
      <alignment horizontal="justify" vertical="top" wrapText="1"/>
    </xf>
    <xf numFmtId="246" fontId="18" fillId="6" borderId="0" xfId="1710" applyNumberFormat="1" applyFont="1" applyFill="1" applyAlignment="1">
      <alignment horizontal="justify"/>
    </xf>
    <xf numFmtId="0" fontId="18" fillId="6" borderId="0" xfId="1710" applyFont="1" applyFill="1" applyAlignment="1">
      <alignment horizontal="justify" vertical="center"/>
    </xf>
    <xf numFmtId="0" fontId="18" fillId="0" borderId="0" xfId="1710" applyFont="1" applyAlignment="1">
      <alignment horizontal="justify" vertical="center"/>
    </xf>
    <xf numFmtId="177" fontId="18" fillId="6" borderId="0" xfId="1710" applyNumberFormat="1" applyFont="1" applyFill="1" applyAlignment="1">
      <alignment horizontal="center"/>
    </xf>
    <xf numFmtId="0" fontId="19" fillId="6" borderId="0" xfId="1710" applyFont="1" applyFill="1" applyAlignment="1">
      <alignment horizontal="center"/>
    </xf>
    <xf numFmtId="177" fontId="18" fillId="6" borderId="145" xfId="1710" applyNumberFormat="1" applyFont="1" applyFill="1" applyBorder="1" applyAlignment="1">
      <alignment horizontal="center" vertical="center" wrapText="1"/>
    </xf>
    <xf numFmtId="177" fontId="18" fillId="6" borderId="144" xfId="1710" applyNumberFormat="1" applyFont="1" applyFill="1" applyBorder="1" applyAlignment="1">
      <alignment horizontal="center" vertical="center" wrapText="1"/>
    </xf>
    <xf numFmtId="4" fontId="18" fillId="6" borderId="145" xfId="1710" applyNumberFormat="1" applyFont="1" applyFill="1" applyBorder="1" applyAlignment="1">
      <alignment horizontal="center" vertical="center"/>
    </xf>
    <xf numFmtId="4" fontId="18" fillId="6" borderId="144" xfId="1710" applyNumberFormat="1" applyFont="1" applyFill="1" applyBorder="1" applyAlignment="1">
      <alignment horizontal="center" vertical="center"/>
    </xf>
    <xf numFmtId="169" fontId="18" fillId="6" borderId="0" xfId="2" applyNumberFormat="1" applyFont="1" applyFill="1" applyBorder="1" applyAlignment="1">
      <alignment horizontal="left"/>
    </xf>
    <xf numFmtId="0" fontId="18" fillId="6" borderId="139" xfId="1710" applyFont="1" applyFill="1" applyBorder="1" applyAlignment="1">
      <alignment horizontal="center"/>
    </xf>
    <xf numFmtId="0" fontId="18" fillId="6" borderId="140" xfId="1710" applyFont="1" applyFill="1" applyBorder="1" applyAlignment="1">
      <alignment horizontal="center"/>
    </xf>
    <xf numFmtId="0" fontId="18" fillId="6" borderId="0" xfId="1710" applyFont="1" applyFill="1" applyAlignment="1">
      <alignment horizontal="center" vertical="center" wrapText="1"/>
    </xf>
    <xf numFmtId="43" fontId="19" fillId="6" borderId="0" xfId="1710" quotePrefix="1" applyNumberFormat="1" applyFont="1" applyFill="1" applyAlignment="1">
      <alignment horizontal="justify" vertical="center" wrapText="1"/>
    </xf>
    <xf numFmtId="0" fontId="19" fillId="6" borderId="0" xfId="1710" applyFont="1" applyFill="1" applyAlignment="1">
      <alignment horizontal="justify" vertical="center" wrapText="1"/>
    </xf>
    <xf numFmtId="244" fontId="18" fillId="6" borderId="0" xfId="1710" applyNumberFormat="1" applyFont="1" applyFill="1" applyAlignment="1">
      <alignment horizontal="center"/>
    </xf>
    <xf numFmtId="169" fontId="18" fillId="6" borderId="0" xfId="1710" applyNumberFormat="1" applyFont="1" applyFill="1" applyAlignment="1">
      <alignment horizontal="center"/>
    </xf>
    <xf numFmtId="244" fontId="19" fillId="6" borderId="0" xfId="1710" applyNumberFormat="1" applyFont="1" applyFill="1" applyAlignment="1">
      <alignment horizontal="center"/>
    </xf>
    <xf numFmtId="0" fontId="22" fillId="6" borderId="0" xfId="1710" applyFont="1" applyFill="1" applyAlignment="1">
      <alignment horizontal="center"/>
    </xf>
    <xf numFmtId="0" fontId="18" fillId="6" borderId="110" xfId="1710" applyFont="1" applyFill="1" applyBorder="1" applyAlignment="1">
      <alignment horizontal="center" vertical="center" wrapText="1"/>
    </xf>
    <xf numFmtId="10" fontId="18" fillId="6" borderId="110" xfId="1710" applyNumberFormat="1" applyFont="1" applyFill="1" applyBorder="1" applyAlignment="1">
      <alignment horizontal="center" vertical="center"/>
    </xf>
    <xf numFmtId="0" fontId="18" fillId="6" borderId="110" xfId="171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0" fontId="18" fillId="0" borderId="0" xfId="0" applyNumberFormat="1" applyFont="1" applyAlignment="1">
      <alignment horizontal="left"/>
    </xf>
    <xf numFmtId="0" fontId="18" fillId="0" borderId="0" xfId="0" applyFont="1" applyAlignment="1">
      <alignment horizontal="center" vertical="center" wrapText="1"/>
    </xf>
    <xf numFmtId="0" fontId="19" fillId="0" borderId="0" xfId="0" quotePrefix="1" applyFont="1" applyAlignment="1">
      <alignment horizontal="justify" vertical="center" wrapText="1"/>
    </xf>
    <xf numFmtId="0" fontId="19" fillId="0" borderId="0" xfId="0" applyFont="1" applyAlignment="1">
      <alignment horizontal="justify" vertical="center" wrapText="1"/>
    </xf>
    <xf numFmtId="0" fontId="16" fillId="0" borderId="0" xfId="0" applyFont="1" applyAlignment="1">
      <alignment horizontal="center" wrapText="1"/>
    </xf>
    <xf numFmtId="3" fontId="18" fillId="0" borderId="0" xfId="0" applyNumberFormat="1" applyFont="1" applyAlignment="1">
      <alignment horizontal="justify" vertical="top" wrapText="1"/>
    </xf>
    <xf numFmtId="0" fontId="18" fillId="0" borderId="0" xfId="0" applyFont="1" applyAlignment="1">
      <alignment horizontal="justify" vertical="top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169" fontId="18" fillId="0" borderId="0" xfId="2" applyNumberFormat="1" applyFont="1" applyBorder="1" applyAlignment="1">
      <alignment horizontal="left"/>
    </xf>
    <xf numFmtId="0" fontId="18" fillId="0" borderId="0" xfId="0" quotePrefix="1" applyFont="1" applyAlignment="1">
      <alignment horizontal="justify" vertical="center"/>
    </xf>
    <xf numFmtId="177" fontId="18" fillId="0" borderId="0" xfId="0" applyNumberFormat="1" applyFont="1" applyAlignment="1">
      <alignment horizontal="left"/>
    </xf>
    <xf numFmtId="0" fontId="24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4" fontId="32" fillId="3" borderId="16" xfId="30" applyNumberFormat="1" applyFont="1" applyFill="1" applyBorder="1" applyAlignment="1">
      <alignment vertical="center"/>
    </xf>
    <xf numFmtId="171" fontId="30" fillId="3" borderId="39" xfId="1" applyNumberFormat="1" applyFont="1" applyFill="1" applyBorder="1" applyAlignment="1">
      <alignment horizontal="center" vertical="center"/>
    </xf>
    <xf numFmtId="171" fontId="30" fillId="3" borderId="41" xfId="1" applyNumberFormat="1" applyFont="1" applyFill="1" applyBorder="1" applyAlignment="1">
      <alignment horizontal="center" vertical="center"/>
    </xf>
    <xf numFmtId="4" fontId="32" fillId="3" borderId="11" xfId="30" applyNumberFormat="1" applyFont="1" applyFill="1" applyBorder="1" applyAlignment="1">
      <alignment vertical="center"/>
    </xf>
    <xf numFmtId="3" fontId="32" fillId="3" borderId="0" xfId="30" applyNumberFormat="1" applyFont="1" applyFill="1" applyAlignment="1">
      <alignment vertical="center"/>
    </xf>
    <xf numFmtId="4" fontId="32" fillId="3" borderId="0" xfId="30" applyNumberFormat="1" applyFont="1" applyFill="1" applyAlignment="1">
      <alignment vertical="center"/>
    </xf>
    <xf numFmtId="3" fontId="32" fillId="3" borderId="43" xfId="30" applyNumberFormat="1" applyFont="1" applyFill="1" applyBorder="1" applyAlignment="1">
      <alignment vertical="center"/>
    </xf>
    <xf numFmtId="179" fontId="109" fillId="3" borderId="0" xfId="1" applyNumberFormat="1" applyFont="1" applyFill="1" applyBorder="1" applyAlignment="1">
      <alignment horizontal="left"/>
    </xf>
    <xf numFmtId="0" fontId="109" fillId="3" borderId="0" xfId="30" applyFont="1" applyFill="1" applyAlignment="1">
      <alignment horizontal="center"/>
    </xf>
    <xf numFmtId="177" fontId="109" fillId="3" borderId="0" xfId="30" applyNumberFormat="1" applyFont="1" applyFill="1" applyAlignment="1">
      <alignment horizontal="left" vertical="center"/>
    </xf>
    <xf numFmtId="0" fontId="39" fillId="5" borderId="39" xfId="30" applyFont="1" applyFill="1" applyBorder="1" applyAlignment="1">
      <alignment horizontal="justify" vertical="center" wrapText="1"/>
    </xf>
    <xf numFmtId="0" fontId="39" fillId="5" borderId="40" xfId="30" applyFont="1" applyFill="1" applyBorder="1" applyAlignment="1">
      <alignment horizontal="justify" vertical="center" wrapText="1"/>
    </xf>
    <xf numFmtId="0" fontId="39" fillId="5" borderId="130" xfId="30" applyFont="1" applyFill="1" applyBorder="1" applyAlignment="1">
      <alignment horizontal="justify" vertical="center" wrapText="1"/>
    </xf>
    <xf numFmtId="171" fontId="30" fillId="5" borderId="39" xfId="1" applyNumberFormat="1" applyFont="1" applyFill="1" applyBorder="1" applyAlignment="1">
      <alignment horizontal="center" vertical="center"/>
    </xf>
    <xf numFmtId="171" fontId="30" fillId="5" borderId="41" xfId="1" applyNumberFormat="1" applyFont="1" applyFill="1" applyBorder="1" applyAlignment="1">
      <alignment horizontal="center" vertical="center"/>
    </xf>
    <xf numFmtId="171" fontId="157" fillId="0" borderId="39" xfId="1" applyNumberFormat="1" applyFont="1" applyFill="1" applyBorder="1" applyAlignment="1">
      <alignment horizontal="center" vertical="center"/>
    </xf>
    <xf numFmtId="171" fontId="30" fillId="0" borderId="41" xfId="1" applyNumberFormat="1" applyFont="1" applyFill="1" applyBorder="1" applyAlignment="1">
      <alignment horizontal="center" vertical="center"/>
    </xf>
    <xf numFmtId="0" fontId="0" fillId="0" borderId="39" xfId="0" applyBorder="1"/>
    <xf numFmtId="0" fontId="0" fillId="0" borderId="41" xfId="0" applyBorder="1"/>
    <xf numFmtId="0" fontId="0" fillId="0" borderId="149" xfId="0" applyBorder="1"/>
    <xf numFmtId="0" fontId="0" fillId="0" borderId="150" xfId="0" applyBorder="1"/>
    <xf numFmtId="171" fontId="39" fillId="3" borderId="9" xfId="1" applyNumberFormat="1" applyFont="1" applyFill="1" applyBorder="1" applyAlignment="1">
      <alignment horizontal="left" vertical="center"/>
    </xf>
    <xf numFmtId="171" fontId="39" fillId="3" borderId="35" xfId="1" applyNumberFormat="1" applyFont="1" applyFill="1" applyBorder="1" applyAlignment="1">
      <alignment horizontal="left" vertical="center"/>
    </xf>
    <xf numFmtId="3" fontId="32" fillId="3" borderId="0" xfId="30" applyNumberFormat="1" applyFont="1" applyFill="1" applyAlignment="1">
      <alignment horizontal="justify" vertical="top" wrapText="1"/>
    </xf>
    <xf numFmtId="3" fontId="32" fillId="3" borderId="30" xfId="30" applyNumberFormat="1" applyFont="1" applyFill="1" applyBorder="1" applyAlignment="1">
      <alignment horizontal="justify" vertical="top" wrapText="1"/>
    </xf>
    <xf numFmtId="0" fontId="109" fillId="3" borderId="0" xfId="30" applyFont="1" applyFill="1" applyAlignment="1">
      <alignment horizontal="justify" vertical="top" wrapText="1"/>
    </xf>
    <xf numFmtId="0" fontId="109" fillId="3" borderId="30" xfId="30" applyFont="1" applyFill="1" applyBorder="1" applyAlignment="1">
      <alignment horizontal="justify" vertical="top" wrapText="1"/>
    </xf>
    <xf numFmtId="0" fontId="32" fillId="3" borderId="0" xfId="30" applyFont="1" applyFill="1" applyAlignment="1">
      <alignment horizontal="center" vertical="center"/>
    </xf>
    <xf numFmtId="177" fontId="109" fillId="3" borderId="0" xfId="30" applyNumberFormat="1" applyFont="1" applyFill="1" applyAlignment="1">
      <alignment horizontal="center" vertical="center"/>
    </xf>
    <xf numFmtId="0" fontId="40" fillId="3" borderId="0" xfId="30" applyFont="1" applyFill="1" applyAlignment="1">
      <alignment horizontal="center" vertical="center"/>
    </xf>
    <xf numFmtId="0" fontId="32" fillId="3" borderId="12" xfId="30" applyFont="1" applyFill="1" applyBorder="1" applyAlignment="1">
      <alignment horizontal="center" vertical="center" wrapText="1"/>
    </xf>
    <xf numFmtId="0" fontId="32" fillId="3" borderId="14" xfId="30" applyFont="1" applyFill="1" applyBorder="1" applyAlignment="1">
      <alignment horizontal="center" vertical="center" wrapText="1"/>
    </xf>
    <xf numFmtId="0" fontId="32" fillId="3" borderId="44" xfId="30" applyFont="1" applyFill="1" applyBorder="1" applyAlignment="1">
      <alignment horizontal="center" vertical="center" wrapText="1"/>
    </xf>
    <xf numFmtId="0" fontId="53" fillId="3" borderId="0" xfId="30" applyFont="1" applyFill="1" applyAlignment="1">
      <alignment horizontal="center" vertical="center"/>
    </xf>
    <xf numFmtId="0" fontId="158" fillId="3" borderId="0" xfId="30" applyFont="1" applyFill="1" applyAlignment="1">
      <alignment horizontal="center" vertical="center"/>
    </xf>
    <xf numFmtId="0" fontId="41" fillId="3" borderId="29" xfId="30" applyFont="1" applyFill="1" applyBorder="1" applyAlignment="1">
      <alignment horizontal="center" vertical="center"/>
    </xf>
    <xf numFmtId="0" fontId="41" fillId="3" borderId="0" xfId="30" applyFont="1" applyFill="1" applyAlignment="1">
      <alignment horizontal="center" vertical="center"/>
    </xf>
    <xf numFmtId="0" fontId="41" fillId="3" borderId="30" xfId="30" applyFont="1" applyFill="1" applyBorder="1" applyAlignment="1">
      <alignment horizontal="center" vertical="center"/>
    </xf>
    <xf numFmtId="3" fontId="31" fillId="3" borderId="29" xfId="30" applyNumberFormat="1" applyFont="1" applyFill="1" applyBorder="1" applyAlignment="1">
      <alignment horizontal="center" vertical="center"/>
    </xf>
    <xf numFmtId="3" fontId="31" fillId="3" borderId="0" xfId="30" applyNumberFormat="1" applyFont="1" applyFill="1" applyAlignment="1">
      <alignment horizontal="center" vertical="center"/>
    </xf>
    <xf numFmtId="3" fontId="31" fillId="3" borderId="30" xfId="30" applyNumberFormat="1" applyFont="1" applyFill="1" applyBorder="1" applyAlignment="1">
      <alignment horizontal="center" vertical="center"/>
    </xf>
    <xf numFmtId="0" fontId="109" fillId="3" borderId="0" xfId="30" applyFont="1" applyFill="1" applyAlignment="1">
      <alignment horizontal="left" vertical="center"/>
    </xf>
    <xf numFmtId="0" fontId="39" fillId="3" borderId="39" xfId="30" applyFont="1" applyFill="1" applyBorder="1" applyAlignment="1">
      <alignment horizontal="justify" vertical="center" wrapText="1"/>
    </xf>
    <xf numFmtId="0" fontId="39" fillId="3" borderId="40" xfId="30" applyFont="1" applyFill="1" applyBorder="1" applyAlignment="1">
      <alignment horizontal="justify" vertical="center" wrapText="1"/>
    </xf>
    <xf numFmtId="0" fontId="39" fillId="3" borderId="130" xfId="30" applyFont="1" applyFill="1" applyBorder="1" applyAlignment="1">
      <alignment horizontal="justify" vertical="center" wrapText="1"/>
    </xf>
    <xf numFmtId="171" fontId="157" fillId="50" borderId="39" xfId="1" applyNumberFormat="1" applyFont="1" applyFill="1" applyBorder="1" applyAlignment="1">
      <alignment horizontal="center" vertical="center"/>
    </xf>
    <xf numFmtId="0" fontId="30" fillId="3" borderId="40" xfId="30" applyFont="1" applyFill="1" applyBorder="1" applyAlignment="1">
      <alignment vertical="center" wrapText="1"/>
    </xf>
    <xf numFmtId="0" fontId="30" fillId="3" borderId="130" xfId="30" applyFont="1" applyFill="1" applyBorder="1" applyAlignment="1">
      <alignment vertical="center" wrapText="1"/>
    </xf>
    <xf numFmtId="171" fontId="45" fillId="0" borderId="0" xfId="55" applyNumberFormat="1" applyFont="1" applyFill="1" applyAlignment="1">
      <alignment horizontal="center" vertical="center"/>
    </xf>
    <xf numFmtId="171" fontId="27" fillId="0" borderId="69" xfId="55" applyNumberFormat="1" applyFont="1" applyFill="1" applyBorder="1" applyAlignment="1">
      <alignment horizontal="center" vertical="center"/>
    </xf>
    <xf numFmtId="171" fontId="27" fillId="0" borderId="75" xfId="55" applyNumberFormat="1" applyFont="1" applyFill="1" applyBorder="1" applyAlignment="1">
      <alignment horizontal="center" vertical="center"/>
    </xf>
    <xf numFmtId="0" fontId="45" fillId="0" borderId="0" xfId="21" applyFont="1" applyAlignment="1">
      <alignment horizontal="center" vertical="center"/>
    </xf>
    <xf numFmtId="0" fontId="50" fillId="0" borderId="0" xfId="21" applyFont="1" applyAlignment="1">
      <alignment horizontal="center"/>
    </xf>
    <xf numFmtId="0" fontId="50" fillId="0" borderId="0" xfId="21" applyFont="1" applyAlignment="1">
      <alignment horizontal="center" vertical="center"/>
    </xf>
    <xf numFmtId="171" fontId="27" fillId="0" borderId="21" xfId="55" applyNumberFormat="1" applyFont="1" applyFill="1" applyBorder="1" applyAlignment="1">
      <alignment horizontal="center" vertical="center"/>
    </xf>
    <xf numFmtId="171" fontId="27" fillId="0" borderId="73" xfId="55" applyNumberFormat="1" applyFont="1" applyFill="1" applyBorder="1" applyAlignment="1">
      <alignment horizontal="center" vertical="center"/>
    </xf>
    <xf numFmtId="171" fontId="50" fillId="0" borderId="0" xfId="55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0" fillId="0" borderId="0" xfId="0"/>
    <xf numFmtId="0" fontId="27" fillId="0" borderId="0" xfId="0" applyFont="1" applyAlignment="1">
      <alignment horizontal="center" vertical="center"/>
    </xf>
    <xf numFmtId="0" fontId="51" fillId="0" borderId="0" xfId="68" applyFont="1" applyAlignment="1">
      <alignment horizontal="center" vertical="center"/>
    </xf>
    <xf numFmtId="0" fontId="49" fillId="0" borderId="0" xfId="68" applyFont="1" applyAlignment="1">
      <alignment horizontal="center" vertical="center"/>
    </xf>
    <xf numFmtId="0" fontId="27" fillId="0" borderId="62" xfId="68" applyFont="1" applyBorder="1" applyAlignment="1">
      <alignment horizontal="center" vertical="center"/>
    </xf>
    <xf numFmtId="0" fontId="27" fillId="0" borderId="68" xfId="68" applyFont="1" applyBorder="1" applyAlignment="1">
      <alignment horizontal="center" vertical="center"/>
    </xf>
    <xf numFmtId="0" fontId="27" fillId="0" borderId="70" xfId="68" applyFont="1" applyBorder="1" applyAlignment="1">
      <alignment horizontal="center" vertical="center"/>
    </xf>
    <xf numFmtId="0" fontId="27" fillId="0" borderId="63" xfId="68" applyFont="1" applyBorder="1" applyAlignment="1">
      <alignment horizontal="center" vertical="center"/>
    </xf>
    <xf numFmtId="0" fontId="27" fillId="0" borderId="1" xfId="68" applyFont="1" applyBorder="1" applyAlignment="1">
      <alignment horizontal="center" vertical="center"/>
    </xf>
    <xf numFmtId="0" fontId="27" fillId="0" borderId="64" xfId="68" applyFont="1" applyBorder="1" applyAlignment="1">
      <alignment horizontal="center" vertical="center"/>
    </xf>
    <xf numFmtId="0" fontId="27" fillId="0" borderId="18" xfId="68" applyFont="1" applyBorder="1" applyAlignment="1">
      <alignment horizontal="center" vertical="center"/>
    </xf>
    <xf numFmtId="0" fontId="27" fillId="0" borderId="0" xfId="68" applyFont="1" applyAlignment="1">
      <alignment horizontal="center" vertical="center"/>
    </xf>
    <xf numFmtId="0" fontId="27" fillId="0" borderId="19" xfId="68" applyFont="1" applyBorder="1" applyAlignment="1">
      <alignment horizontal="center" vertical="center"/>
    </xf>
    <xf numFmtId="0" fontId="27" fillId="0" borderId="71" xfId="68" applyFont="1" applyBorder="1" applyAlignment="1">
      <alignment horizontal="center" vertical="center"/>
    </xf>
    <xf numFmtId="0" fontId="27" fillId="0" borderId="7" xfId="68" applyFont="1" applyBorder="1" applyAlignment="1">
      <alignment horizontal="center" vertical="center"/>
    </xf>
    <xf numFmtId="0" fontId="27" fillId="0" borderId="72" xfId="68" applyFont="1" applyBorder="1" applyAlignment="1">
      <alignment horizontal="center" vertical="center"/>
    </xf>
    <xf numFmtId="165" fontId="27" fillId="0" borderId="65" xfId="69" applyFont="1" applyFill="1" applyBorder="1" applyAlignment="1" applyProtection="1">
      <alignment horizontal="center" vertical="center"/>
    </xf>
    <xf numFmtId="165" fontId="27" fillId="0" borderId="17" xfId="69" applyFont="1" applyFill="1" applyBorder="1" applyAlignment="1" applyProtection="1">
      <alignment horizontal="center" vertical="center"/>
    </xf>
    <xf numFmtId="165" fontId="27" fillId="0" borderId="73" xfId="69" applyFont="1" applyFill="1" applyBorder="1" applyAlignment="1" applyProtection="1">
      <alignment horizontal="center" vertical="center"/>
    </xf>
    <xf numFmtId="43" fontId="27" fillId="0" borderId="63" xfId="19" applyNumberFormat="1" applyFont="1" applyFill="1" applyBorder="1" applyAlignment="1" applyProtection="1">
      <alignment horizontal="center" vertical="center"/>
    </xf>
    <xf numFmtId="43" fontId="27" fillId="0" borderId="1" xfId="19" applyNumberFormat="1" applyFont="1" applyFill="1" applyBorder="1" applyAlignment="1" applyProtection="1">
      <alignment horizontal="center" vertical="center"/>
    </xf>
    <xf numFmtId="43" fontId="27" fillId="0" borderId="64" xfId="19" applyNumberFormat="1" applyFont="1" applyFill="1" applyBorder="1" applyAlignment="1" applyProtection="1">
      <alignment horizontal="center" vertical="center"/>
    </xf>
    <xf numFmtId="43" fontId="27" fillId="0" borderId="46" xfId="19" applyNumberFormat="1" applyFont="1" applyFill="1" applyBorder="1" applyAlignment="1" applyProtection="1">
      <alignment horizontal="center" vertical="center"/>
    </xf>
    <xf numFmtId="43" fontId="27" fillId="0" borderId="45" xfId="19" applyNumberFormat="1" applyFont="1" applyFill="1" applyBorder="1" applyAlignment="1" applyProtection="1">
      <alignment horizontal="center" vertical="center"/>
    </xf>
    <xf numFmtId="43" fontId="27" fillId="0" borderId="47" xfId="19" applyNumberFormat="1" applyFont="1" applyFill="1" applyBorder="1" applyAlignment="1" applyProtection="1">
      <alignment horizontal="center" vertical="center"/>
    </xf>
    <xf numFmtId="171" fontId="27" fillId="0" borderId="65" xfId="55" applyNumberFormat="1" applyFont="1" applyFill="1" applyBorder="1" applyAlignment="1" applyProtection="1">
      <alignment horizontal="center" vertical="center"/>
    </xf>
    <xf numFmtId="171" fontId="27" fillId="0" borderId="17" xfId="55" applyNumberFormat="1" applyFont="1" applyFill="1" applyBorder="1" applyAlignment="1" applyProtection="1">
      <alignment horizontal="center" vertical="center"/>
    </xf>
    <xf numFmtId="171" fontId="27" fillId="0" borderId="73" xfId="55" applyNumberFormat="1" applyFont="1" applyFill="1" applyBorder="1" applyAlignment="1" applyProtection="1">
      <alignment horizontal="center" vertical="center"/>
    </xf>
    <xf numFmtId="171" fontId="27" fillId="0" borderId="65" xfId="55" applyNumberFormat="1" applyFont="1" applyFill="1" applyBorder="1" applyAlignment="1" applyProtection="1">
      <alignment horizontal="center" vertical="center" wrapText="1"/>
    </xf>
    <xf numFmtId="171" fontId="27" fillId="0" borderId="17" xfId="55" applyNumberFormat="1" applyFont="1" applyFill="1" applyBorder="1" applyAlignment="1" applyProtection="1">
      <alignment horizontal="center" vertical="center" wrapText="1"/>
    </xf>
    <xf numFmtId="171" fontId="27" fillId="0" borderId="73" xfId="55" applyNumberFormat="1" applyFont="1" applyFill="1" applyBorder="1" applyAlignment="1" applyProtection="1">
      <alignment horizontal="center" vertical="center" wrapText="1"/>
    </xf>
    <xf numFmtId="171" fontId="27" fillId="0" borderId="66" xfId="55" applyNumberFormat="1" applyFont="1" applyFill="1" applyBorder="1" applyAlignment="1">
      <alignment horizontal="center" vertical="center"/>
    </xf>
    <xf numFmtId="171" fontId="27" fillId="0" borderId="67" xfId="55" applyNumberFormat="1" applyFont="1" applyFill="1" applyBorder="1" applyAlignment="1">
      <alignment horizontal="center" vertical="center"/>
    </xf>
    <xf numFmtId="171" fontId="27" fillId="0" borderId="17" xfId="55" applyNumberFormat="1" applyFont="1" applyFill="1" applyBorder="1" applyAlignment="1">
      <alignment horizontal="center" vertical="center"/>
    </xf>
    <xf numFmtId="0" fontId="49" fillId="5" borderId="22" xfId="68" applyFont="1" applyFill="1" applyBorder="1" applyAlignment="1">
      <alignment horizontal="justify" vertical="center" wrapText="1"/>
    </xf>
    <xf numFmtId="0" fontId="49" fillId="5" borderId="23" xfId="68" applyFont="1" applyFill="1" applyBorder="1" applyAlignment="1">
      <alignment horizontal="justify" vertical="center" wrapText="1"/>
    </xf>
    <xf numFmtId="0" fontId="49" fillId="5" borderId="25" xfId="68" applyFont="1" applyFill="1" applyBorder="1" applyAlignment="1">
      <alignment horizontal="justify" vertical="center" wrapText="1"/>
    </xf>
    <xf numFmtId="0" fontId="4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5" fillId="0" borderId="23" xfId="69" applyNumberFormat="1" applyFont="1" applyFill="1" applyBorder="1" applyAlignment="1" applyProtection="1">
      <alignment vertical="center" wrapText="1"/>
    </xf>
    <xf numFmtId="0" fontId="45" fillId="0" borderId="25" xfId="69" applyNumberFormat="1" applyFont="1" applyFill="1" applyBorder="1" applyAlignment="1" applyProtection="1">
      <alignment vertical="center" wrapText="1"/>
    </xf>
    <xf numFmtId="0" fontId="49" fillId="0" borderId="22" xfId="68" applyFont="1" applyBorder="1" applyAlignment="1">
      <alignment horizontal="justify" vertical="center" wrapText="1"/>
    </xf>
    <xf numFmtId="0" fontId="49" fillId="0" borderId="23" xfId="68" applyFont="1" applyBorder="1" applyAlignment="1">
      <alignment horizontal="justify" vertical="center" wrapText="1"/>
    </xf>
    <xf numFmtId="0" fontId="49" fillId="0" borderId="25" xfId="68" applyFont="1" applyBorder="1" applyAlignment="1">
      <alignment horizontal="justify" vertical="center" wrapText="1"/>
    </xf>
    <xf numFmtId="171" fontId="45" fillId="0" borderId="0" xfId="55" applyNumberFormat="1" applyFont="1" applyFill="1" applyAlignment="1">
      <alignment horizontal="center" vertical="top"/>
    </xf>
    <xf numFmtId="0" fontId="45" fillId="0" borderId="0" xfId="0" applyFont="1" applyAlignment="1">
      <alignment horizontal="center"/>
    </xf>
    <xf numFmtId="0" fontId="27" fillId="5" borderId="22" xfId="68" applyFont="1" applyFill="1" applyBorder="1" applyAlignment="1">
      <alignment horizontal="left" vertical="center" wrapText="1"/>
    </xf>
    <xf numFmtId="0" fontId="27" fillId="5" borderId="23" xfId="68" applyFont="1" applyFill="1" applyBorder="1" applyAlignment="1">
      <alignment horizontal="left" vertical="center" wrapText="1"/>
    </xf>
    <xf numFmtId="0" fontId="27" fillId="0" borderId="0" xfId="9" applyFont="1" applyAlignment="1">
      <alignment horizontal="center"/>
    </xf>
    <xf numFmtId="0" fontId="46" fillId="0" borderId="0" xfId="9" applyFont="1" applyAlignment="1">
      <alignment horizontal="center"/>
    </xf>
    <xf numFmtId="0" fontId="36" fillId="5" borderId="151" xfId="9" applyFont="1" applyFill="1" applyBorder="1" applyAlignment="1">
      <alignment horizontal="center" vertical="center"/>
    </xf>
    <xf numFmtId="0" fontId="36" fillId="5" borderId="152" xfId="9" applyFont="1" applyFill="1" applyBorder="1" applyAlignment="1">
      <alignment horizontal="center" vertical="center"/>
    </xf>
    <xf numFmtId="0" fontId="36" fillId="5" borderId="153" xfId="9" applyFont="1" applyFill="1" applyBorder="1" applyAlignment="1">
      <alignment horizontal="center" vertical="center"/>
    </xf>
    <xf numFmtId="0" fontId="56" fillId="0" borderId="0" xfId="9" applyFont="1" applyAlignment="1">
      <alignment horizontal="center"/>
    </xf>
    <xf numFmtId="0" fontId="15" fillId="0" borderId="0" xfId="9" applyFont="1" applyAlignment="1">
      <alignment horizontal="center"/>
    </xf>
    <xf numFmtId="0" fontId="36" fillId="0" borderId="22" xfId="9" applyFont="1" applyBorder="1" applyAlignment="1">
      <alignment horizontal="justify" vertical="center" wrapText="1"/>
    </xf>
    <xf numFmtId="0" fontId="36" fillId="0" borderId="23" xfId="9" applyFont="1" applyBorder="1" applyAlignment="1">
      <alignment horizontal="justify" vertical="center" wrapText="1"/>
    </xf>
    <xf numFmtId="0" fontId="36" fillId="0" borderId="25" xfId="9" applyFont="1" applyBorder="1" applyAlignment="1">
      <alignment horizontal="justify" vertical="center" wrapText="1"/>
    </xf>
    <xf numFmtId="0" fontId="52" fillId="0" borderId="0" xfId="9" applyFont="1" applyAlignment="1">
      <alignment horizontal="center"/>
    </xf>
    <xf numFmtId="0" fontId="36" fillId="0" borderId="0" xfId="9" applyFont="1" applyAlignment="1">
      <alignment horizontal="center"/>
    </xf>
    <xf numFmtId="0" fontId="156" fillId="0" borderId="0" xfId="9" applyFont="1" applyAlignment="1">
      <alignment horizontal="center"/>
    </xf>
    <xf numFmtId="0" fontId="37" fillId="0" borderId="0" xfId="9" applyFont="1" applyAlignment="1">
      <alignment horizontal="center"/>
    </xf>
    <xf numFmtId="43" fontId="161" fillId="0" borderId="61" xfId="27" applyFont="1" applyBorder="1" applyAlignment="1">
      <alignment horizontal="right" vertical="center"/>
    </xf>
    <xf numFmtId="43" fontId="161" fillId="0" borderId="59" xfId="27" applyFont="1" applyBorder="1" applyAlignment="1">
      <alignment horizontal="right" vertical="center"/>
    </xf>
    <xf numFmtId="43" fontId="161" fillId="0" borderId="60" xfId="27" applyFont="1" applyBorder="1" applyAlignment="1">
      <alignment horizontal="right" vertical="center"/>
    </xf>
    <xf numFmtId="0" fontId="163" fillId="4" borderId="136" xfId="9" quotePrefix="1" applyFont="1" applyFill="1" applyBorder="1" applyAlignment="1">
      <alignment horizontal="left" vertical="center" wrapText="1"/>
    </xf>
    <xf numFmtId="0" fontId="163" fillId="4" borderId="132" xfId="9" applyFont="1" applyFill="1" applyBorder="1" applyAlignment="1">
      <alignment horizontal="left" vertical="center" wrapText="1"/>
    </xf>
    <xf numFmtId="0" fontId="163" fillId="4" borderId="133" xfId="9" applyFont="1" applyFill="1" applyBorder="1" applyAlignment="1">
      <alignment horizontal="left" vertical="center" wrapText="1"/>
    </xf>
    <xf numFmtId="0" fontId="163" fillId="4" borderId="46" xfId="9" applyFont="1" applyFill="1" applyBorder="1" applyAlignment="1">
      <alignment horizontal="left" vertical="center" wrapText="1"/>
    </xf>
    <xf numFmtId="0" fontId="163" fillId="4" borderId="137" xfId="9" applyFont="1" applyFill="1" applyBorder="1" applyAlignment="1">
      <alignment horizontal="left" vertical="center" wrapText="1"/>
    </xf>
    <xf numFmtId="0" fontId="163" fillId="4" borderId="47" xfId="9" applyFont="1" applyFill="1" applyBorder="1" applyAlignment="1">
      <alignment horizontal="left" vertical="center" wrapText="1"/>
    </xf>
    <xf numFmtId="0" fontId="52" fillId="0" borderId="0" xfId="9" applyFont="1" applyAlignment="1">
      <alignment horizontal="center" vertical="center"/>
    </xf>
    <xf numFmtId="0" fontId="36" fillId="0" borderId="0" xfId="0" applyFont="1" applyAlignment="1">
      <alignment horizontal="center" vertical="center"/>
    </xf>
  </cellXfs>
  <cellStyles count="1727">
    <cellStyle name="??" xfId="83" xr:uid="{00000000-0005-0000-0000-000000000000}"/>
    <cellStyle name="?? [0.00]_PRODUCT DETAIL Q1" xfId="84" xr:uid="{00000000-0005-0000-0000-000001000000}"/>
    <cellStyle name="?? [0]" xfId="85" xr:uid="{00000000-0005-0000-0000-000002000000}"/>
    <cellStyle name="???? [0.00]_PRODUCT DETAIL Q1" xfId="86" xr:uid="{00000000-0005-0000-0000-000003000000}"/>
    <cellStyle name="????_PRODUCT DETAIL Q1" xfId="87" xr:uid="{00000000-0005-0000-0000-000004000000}"/>
    <cellStyle name="???[0]_Book1" xfId="88" xr:uid="{00000000-0005-0000-0000-000005000000}"/>
    <cellStyle name="???_95" xfId="89" xr:uid="{00000000-0005-0000-0000-000006000000}"/>
    <cellStyle name="??_(????)??????" xfId="90" xr:uid="{00000000-0005-0000-0000-000007000000}"/>
    <cellStyle name="_BCA KCP Duri Revisi-1 12 Juni 2009-ASP-R1-SPK" xfId="91" xr:uid="{00000000-0005-0000-0000-000008000000}"/>
    <cellStyle name="_BCA KCP Duri Revisi-1 12 Juni 2009-ASP-R1-SPK_120525 BQ ME BCA KK Seririt Kabupaten Buleleng-ASP" xfId="92" xr:uid="{00000000-0005-0000-0000-000009000000}"/>
    <cellStyle name="_BCA KCP Duri Revisi-1 12 Juni 2009-ASP-R1-SPK_BQ BCA KCP Cilegon" xfId="93" xr:uid="{00000000-0005-0000-0000-00000A000000}"/>
    <cellStyle name="_BCA KCP Duri Revisi-1 12 Juni 2009-ASP-R1-SPK_BQ BCA KCP Cilegon 2" xfId="94" xr:uid="{00000000-0005-0000-0000-00000B000000}"/>
    <cellStyle name="_BCA KCP Duri Revisi-1 12 Juni 2009-ASP-R1-SPK_BQ BCA KCP Cilegon_BQ-ME-BCA-TPI Rev.1-ASP" xfId="95" xr:uid="{00000000-0005-0000-0000-00000C000000}"/>
    <cellStyle name="_BCA KCP Duri Revisi-1 12 Juni 2009-ASP-R1-SPK_BQ BCA KCP Cilegon_BQ-ME-BCA-TPI Rev.1-ASP-Disk" xfId="96" xr:uid="{00000000-0005-0000-0000-00000D000000}"/>
    <cellStyle name="_BCA KCP Duri Revisi-1 12 Juni 2009-ASP-R1-SPK_BQ BCA KCP Monginsidi" xfId="97" xr:uid="{00000000-0005-0000-0000-00000E000000}"/>
    <cellStyle name="_BCA KCP Duri Revisi-1 12 Juni 2009-ASP-R1-SPK_BQ BCA KCP Perak Barat - Surabaya Rev. 11 Mei 2011-Asp" xfId="98" xr:uid="{00000000-0005-0000-0000-00000F000000}"/>
    <cellStyle name="_BCA KCP Duri Revisi-1 12 Juni 2009-ASP-R1-SPK_BQ BCA KCP Siliwangi-Bogor 15-6-11-ASP" xfId="99" xr:uid="{00000000-0005-0000-0000-000010000000}"/>
    <cellStyle name="_BCA KCP Duri Revisi-1 12 Juni 2009-ASP-R1-SPK_BQ BCA KCP TOBOALI-BANGKA SELATAN - R1" xfId="100" xr:uid="{00000000-0005-0000-0000-000011000000}"/>
    <cellStyle name="_BCA KCP Duri Revisi-1 12 Juni 2009-ASP-R1-SPK_BQ KCP Cipanas 18-5-2011-Asp-disk" xfId="101" xr:uid="{00000000-0005-0000-0000-000012000000}"/>
    <cellStyle name="_BCA KCP Duri Revisi-1 12 Juni 2009-ASP-R1-SPK_BQ KK BCA LOMBOK TIMUR" xfId="102" xr:uid="{00000000-0005-0000-0000-000013000000}"/>
    <cellStyle name="_BCA KCP Duri Revisi-1 12 Juni 2009-ASP-R1-SPK_BQ Kosong BCA KCP Citra Raya - Cikupa ( Type Cranz 2)-ASP (kanwil XII) rev.24 Juli2012-R1" xfId="103" xr:uid="{00000000-0005-0000-0000-000014000000}"/>
    <cellStyle name="_BCA KCP Duri Revisi-1 12 Juni 2009-ASP-R1-SPK_BQ Kosong BCA KCP Citra Raya Cikupa -Tangerang-Asp" xfId="104" xr:uid="{00000000-0005-0000-0000-000015000000}"/>
    <cellStyle name="_BCA KCP Duri Revisi-1 12 Juni 2009-ASP-R1-SPK_BQ TENDER BCA KCP JABABEKA R-02-ASP" xfId="105" xr:uid="{00000000-0005-0000-0000-000016000000}"/>
    <cellStyle name="_BCA KCP Duri Revisi-1 12 Juni 2009-ASP-R1-SPK_BQ TENDER BCA SUNTER PARADISE ( Asp )-R2-SPK" xfId="106" xr:uid="{00000000-0005-0000-0000-000017000000}"/>
    <cellStyle name="_BCA KCP Duri Revisi-1 12 Juni 2009-ASP-R1-SPK_BQ Tender ME BCA KCP Kenten Palembang-k-Asp" xfId="107" xr:uid="{00000000-0005-0000-0000-000018000000}"/>
    <cellStyle name="_BCA KCP Duri Revisi-1 12 Juni 2009-ASP-R1-SPK_BQ Tender ME BCA KCP Kramat Jati 261110-ASP(tissue)" xfId="108" xr:uid="{00000000-0005-0000-0000-000019000000}"/>
    <cellStyle name="_BCA KCP Duri Revisi-1 12 Juni 2009-ASP-R1-SPK_BQ Tender ME BCA KCP Sekayu Palembang Rev1-ASP" xfId="109" xr:uid="{00000000-0005-0000-0000-00001A000000}"/>
    <cellStyle name="_BCA KCP Duri Revisi-1 12 Juni 2009-ASP-R1-SPK_BQ TENDER ME KCP RADIO DALAM-ASP-R1" xfId="110" xr:uid="{00000000-0005-0000-0000-00001B000000}"/>
    <cellStyle name="_BCA KCP Duri Revisi-1 12 Juni 2009-ASP-R1-SPK_BQ-EL-AC-BCA-KETANGGUNGAN-baru-Asp" xfId="111" xr:uid="{00000000-0005-0000-0000-00001C000000}"/>
    <cellStyle name="_BCA KCP Duri Revisi-1 12 Juni 2009-ASP-R1-SPK_BQ-EL-AC-BCA-PINGIT-TERBARU 210111-ASP" xfId="112" xr:uid="{00000000-0005-0000-0000-00001D000000}"/>
    <cellStyle name="_BCA KCP Duri Revisi-1 12 Juni 2009-ASP-R1-SPK_Revisi BQ KCP Rawasari Jakarta-ASP" xfId="113" xr:uid="{00000000-0005-0000-0000-00001E000000}"/>
    <cellStyle name="_BQ" xfId="114" xr:uid="{00000000-0005-0000-0000-00001F000000}"/>
    <cellStyle name="_BQ BCA KCP Kelapa Dua - Depok-150410" xfId="115" xr:uid="{00000000-0005-0000-0000-000020000000}"/>
    <cellStyle name="_BQ BCA KCP Kelapa Dua - Depok-210410" xfId="116" xr:uid="{00000000-0005-0000-0000-000021000000}"/>
    <cellStyle name="_BQ BCA KCP NUSUKAN-SOLO-ASP1" xfId="117" xr:uid="{00000000-0005-0000-0000-000022000000}"/>
    <cellStyle name="_BQ BCA KCP NUSUKAN-SOLO-ASP1 - REV1" xfId="118" xr:uid="{00000000-0005-0000-0000-000023000000}"/>
    <cellStyle name="_BQ BCA KCP NUSUKAN-SOLO-ASP1_BQ BCA Kantor Kas Teuku Umar Banda Aceh" xfId="119" xr:uid="{00000000-0005-0000-0000-000024000000}"/>
    <cellStyle name="_BQ BCA KCP NUSUKAN-SOLO-ASP1_BQ BCA KCP Cilegon" xfId="120" xr:uid="{00000000-0005-0000-0000-000025000000}"/>
    <cellStyle name="_BQ BCA KCP NUSUKAN-SOLO-ASP1_BQ BCA KCP Cilegon 2" xfId="121" xr:uid="{00000000-0005-0000-0000-000026000000}"/>
    <cellStyle name="_BQ BCA KCP NUSUKAN-SOLO-ASP1_BQ BCA KCP Cilegon_BQ-ME-BCA-TPI Rev.1-ASP" xfId="122" xr:uid="{00000000-0005-0000-0000-000027000000}"/>
    <cellStyle name="_BQ BCA KCP NUSUKAN-SOLO-ASP1_BQ BCA KCP Cilegon_BQ-ME-BCA-TPI Rev.1-ASP-Disk" xfId="123" xr:uid="{00000000-0005-0000-0000-000028000000}"/>
    <cellStyle name="_BQ BCA KCP NUSUKAN-SOLO-ASP1_BQ BCA KCP Monginsidi" xfId="124" xr:uid="{00000000-0005-0000-0000-000029000000}"/>
    <cellStyle name="_BQ BCA KCP NUSUKAN-SOLO-ASP1_BQ BCA KCP Perak Barat - Surabaya Rev. 11 Mei 2011-Asp" xfId="125" xr:uid="{00000000-0005-0000-0000-00002A000000}"/>
    <cellStyle name="_BQ BCA KCP NUSUKAN-SOLO-ASP1_BQ BCA KCP Siliwangi-Bogor 15-6-11-ASP" xfId="126" xr:uid="{00000000-0005-0000-0000-00002B000000}"/>
    <cellStyle name="_BQ BCA KCP NUSUKAN-SOLO-ASP1_BQ BCA KCP Tanjung Uncang Revisi 6 April 2011-Asp-SPK" xfId="127" xr:uid="{00000000-0005-0000-0000-00002C000000}"/>
    <cellStyle name="_BQ BCA KCP NUSUKAN-SOLO-ASP1_BQ BCA KCP TOBOALI-BANGKA SELATAN - R1" xfId="128" xr:uid="{00000000-0005-0000-0000-00002D000000}"/>
    <cellStyle name="_BQ BCA KCP NUSUKAN-SOLO-ASP1_BQ BCA KCU Sukabumi-ASP Rev.tgl 30-4-2012-disk" xfId="129" xr:uid="{00000000-0005-0000-0000-00002E000000}"/>
    <cellStyle name="_BQ BCA KCP NUSUKAN-SOLO-ASP1_BQ KCP Cipanas 18-5-2011-Asp-disk" xfId="130" xr:uid="{00000000-0005-0000-0000-00002F000000}"/>
    <cellStyle name="_BQ BCA KCP NUSUKAN-SOLO-ASP1_BQ KK BCA LOMBOK TIMUR" xfId="131" xr:uid="{00000000-0005-0000-0000-000030000000}"/>
    <cellStyle name="_BQ BCA KCP NUSUKAN-SOLO-ASP1_BQ Kosong BCA KCP Citra Raya - Cikupa ( Type Cranz 2)-ASP (kanwil XII) rev.24 Juli2012-R1" xfId="132" xr:uid="{00000000-0005-0000-0000-000031000000}"/>
    <cellStyle name="_BQ BCA KCP NUSUKAN-SOLO-ASP1_BQ Kosong BCA KCP Citra Raya Cikupa -Tangerang-Asp" xfId="133" xr:uid="{00000000-0005-0000-0000-000032000000}"/>
    <cellStyle name="_BQ BCA KCP NUSUKAN-SOLO-ASP1_BQ ME AMARIS BOGOR - Asp (Rev-3)-SPK FINAL" xfId="134" xr:uid="{00000000-0005-0000-0000-000033000000}"/>
    <cellStyle name="_BQ BCA KCP NUSUKAN-SOLO-ASP1_BQ ME BCA Wlingi-Blitar-R2 Asp" xfId="135" xr:uid="{00000000-0005-0000-0000-000034000000}"/>
    <cellStyle name="_BQ BCA KCP NUSUKAN-SOLO-ASP1_BQ ME BCA Wlingi-Blitar-R3 Asp" xfId="136" xr:uid="{00000000-0005-0000-0000-000035000000}"/>
    <cellStyle name="_BQ BCA KCP NUSUKAN-SOLO-ASP1_BQ TENDER BCA KCP JABABEKA R-02-ASP" xfId="137" xr:uid="{00000000-0005-0000-0000-000036000000}"/>
    <cellStyle name="_BQ BCA KCP NUSUKAN-SOLO-ASP1_BQ TENDER BCA SUNTER PARADISE ( Asp )-R2-SPK" xfId="138" xr:uid="{00000000-0005-0000-0000-000037000000}"/>
    <cellStyle name="_BQ BCA KCP NUSUKAN-SOLO-ASP1_BQ Tender ME BCA KCP Kenten Palembang-k-Asp" xfId="139" xr:uid="{00000000-0005-0000-0000-000038000000}"/>
    <cellStyle name="_BQ BCA KCP NUSUKAN-SOLO-ASP1_BQ Tender ME BCA KCP Kota Paris Sukabumi Revisi Tgl.28-4-2011-Asp" xfId="140" xr:uid="{00000000-0005-0000-0000-000039000000}"/>
    <cellStyle name="_BQ BCA KCP NUSUKAN-SOLO-ASP1_BQ Tender ME BCA KCP Kramat Jati 261110-ASP(tissue)" xfId="141" xr:uid="{00000000-0005-0000-0000-00003A000000}"/>
    <cellStyle name="_BQ BCA KCP NUSUKAN-SOLO-ASP1_BQ Tender ME BCA KCP Sekayu Palembang Rev1-ASP" xfId="142" xr:uid="{00000000-0005-0000-0000-00003B000000}"/>
    <cellStyle name="_BQ BCA KCP NUSUKAN-SOLO-ASP1_BQ TENDER ME KCP RADIO DALAM-ASP-R1" xfId="143" xr:uid="{00000000-0005-0000-0000-00003C000000}"/>
    <cellStyle name="_BQ BCA KCP NUSUKAN-SOLO-ASP1_BQ_BCA_SLOMRETAN_23 Mei 12_ME-ASP" xfId="144" xr:uid="{00000000-0005-0000-0000-00003D000000}"/>
    <cellStyle name="_BQ BCA KCP NUSUKAN-SOLO-ASP1_BQ-EL-AC-BCA-KETANGGUNGAN-baru-Asp" xfId="145" xr:uid="{00000000-0005-0000-0000-00003E000000}"/>
    <cellStyle name="_BQ BCA KCP NUSUKAN-SOLO-ASP1_BQ-EL-AC-BCA-PINGIT-TERBARU 210111-ASP" xfId="146" xr:uid="{00000000-0005-0000-0000-00003F000000}"/>
    <cellStyle name="_BQ BCA KCP NUSUKAN-SOLO-ASP1_BQ-ELEKTRIKAL-R1 AC-BCA-JAMBI-Asp" xfId="147" xr:uid="{00000000-0005-0000-0000-000040000000}"/>
    <cellStyle name="_BQ BCA KCP NUSUKAN-SOLO-ASP1_BQ-KCP Ratulangi Revisi-1 (c)-Asp" xfId="148" xr:uid="{00000000-0005-0000-0000-000041000000}"/>
    <cellStyle name="_BQ BCA KCP NUSUKAN-SOLO-ASP1_Proposal2 RAB BCA Lubuk Begalung-Padang 14 Apr'11-Asp" xfId="149" xr:uid="{00000000-0005-0000-0000-000042000000}"/>
    <cellStyle name="_BQ BCA KCP NUSUKAN-SOLO-ASP1_Revisi 2 RAB ME BCA Kantor Kas Kijang Tj. Pinang 1Mei'12-k-rev1-ASP" xfId="150" xr:uid="{00000000-0005-0000-0000-000043000000}"/>
    <cellStyle name="_BQ BCA KCP NUSUKAN-SOLO-ASP1_Revisi BQ KCP Rawasari Jakarta-ASP" xfId="151" xr:uid="{00000000-0005-0000-0000-000044000000}"/>
    <cellStyle name="_BQ KCP Puri Anjasmoro-01-10-2010" xfId="152" xr:uid="{00000000-0005-0000-0000-000045000000}"/>
    <cellStyle name="_BQ ME 22Feb2010-Asp" xfId="153" xr:uid="{00000000-0005-0000-0000-000046000000}"/>
    <cellStyle name="_BQ ME 22Feb2010-Asp_120525 BQ ME BCA KK Seririt Kabupaten Buleleng-ASP" xfId="154" xr:uid="{00000000-0005-0000-0000-000047000000}"/>
    <cellStyle name="_BQ ME 22Feb2010-Asp_BQ BCA KCP Monginsidi" xfId="155" xr:uid="{00000000-0005-0000-0000-000048000000}"/>
    <cellStyle name="_BQ ME 22Feb2010-Asp_BQ BCA KCP Perak Barat - Surabaya Rev. 11 Mei 2011-Asp" xfId="156" xr:uid="{00000000-0005-0000-0000-000049000000}"/>
    <cellStyle name="_BQ ME 22Feb2010-Asp_BQ BCA KCP Siliwangi-Bogor 15-6-11-ASP" xfId="157" xr:uid="{00000000-0005-0000-0000-00004A000000}"/>
    <cellStyle name="_BQ ME 22Feb2010-Asp_BQ BCA KCP TOBOALI-BANGKA SELATAN - R1" xfId="158" xr:uid="{00000000-0005-0000-0000-00004B000000}"/>
    <cellStyle name="_BQ ME 22Feb2010-Asp_BQ KCP Cipanas 18-5-2011-Asp-disk" xfId="159" xr:uid="{00000000-0005-0000-0000-00004C000000}"/>
    <cellStyle name="_BQ ME 22Feb2010-Asp_BQ KK BCA LOMBOK TIMUR" xfId="160" xr:uid="{00000000-0005-0000-0000-00004D000000}"/>
    <cellStyle name="_BQ ME 22Feb2010-Asp_BQ Kosong BCA KCP Citra Raya - Cikupa ( Type Cranz 2)-ASP (kanwil XII) rev.24 Juli2012-R1" xfId="161" xr:uid="{00000000-0005-0000-0000-00004E000000}"/>
    <cellStyle name="_BQ ME 22Feb2010-Asp_BQ Kosong BCA KCP Citra Raya Cikupa -Tangerang-Asp" xfId="162" xr:uid="{00000000-0005-0000-0000-00004F000000}"/>
    <cellStyle name="_BQ ME 22Feb2010-Asp_BQ TENDER BCA KCP JABABEKA R-02-ASP" xfId="163" xr:uid="{00000000-0005-0000-0000-000050000000}"/>
    <cellStyle name="_BQ ME 22Feb2010-Asp_BQ TENDER BCA SUNTER PARADISE ( Asp )-R2-SPK" xfId="164" xr:uid="{00000000-0005-0000-0000-000051000000}"/>
    <cellStyle name="_BQ ME 22Feb2010-Asp_BQ Tender ME BCA KCP Kenten Palembang-k-Asp" xfId="165" xr:uid="{00000000-0005-0000-0000-000052000000}"/>
    <cellStyle name="_BQ ME 22Feb2010-Asp_BQ Tender ME BCA KCP Kramat Jati 261110-ASP(tissue)" xfId="166" xr:uid="{00000000-0005-0000-0000-000053000000}"/>
    <cellStyle name="_BQ ME 22Feb2010-Asp_BQ Tender ME BCA KCP Sekayu Palembang Rev1-ASP" xfId="167" xr:uid="{00000000-0005-0000-0000-000054000000}"/>
    <cellStyle name="_BQ ME 22Feb2010-Asp_BQ TENDER ME KCP RADIO DALAM-ASP-R1" xfId="168" xr:uid="{00000000-0005-0000-0000-000055000000}"/>
    <cellStyle name="_BQ ME 22Feb2010-Asp_BQ-EL-AC-BCA-KETANGGUNGAN-baru-Asp" xfId="169" xr:uid="{00000000-0005-0000-0000-000056000000}"/>
    <cellStyle name="_BQ ME 22Feb2010-Asp_BQ-EL-AC-BCA-PINGIT-TERBARU 210111-ASP" xfId="170" xr:uid="{00000000-0005-0000-0000-000057000000}"/>
    <cellStyle name="_BQ ME 22Feb2010-Asp_Revisi BQ KCP Rawasari Jakarta-ASP" xfId="171" xr:uid="{00000000-0005-0000-0000-000058000000}"/>
    <cellStyle name="_BQ ME BCA KCP Mega Mall Pluit-ASP-r1" xfId="172" xr:uid="{00000000-0005-0000-0000-000059000000}"/>
    <cellStyle name="_BQ Pasar Klewer - ASP" xfId="173" xr:uid="{00000000-0005-0000-0000-00005A000000}"/>
    <cellStyle name="_BQ RAB 1 Rev. Klarifikasi-ASP" xfId="174" xr:uid="{00000000-0005-0000-0000-00005B000000}"/>
    <cellStyle name="_BQ TENDER  BCA KCP PURI BOT ME REV-05 070910 ASP-SPK" xfId="175" xr:uid="{00000000-0005-0000-0000-00005C000000}"/>
    <cellStyle name="_BQ TENDER  BCA SUTISNA SENJAYA-Asp" xfId="176" xr:uid="{00000000-0005-0000-0000-00005D000000}"/>
    <cellStyle name="_BQ Tender BCA KCP Mojosari-Mojokerto (Revisi 1)" xfId="177" xr:uid="{00000000-0005-0000-0000-00005E000000}"/>
    <cellStyle name="_BQ TenderTgl 6-07-09 Asp" xfId="178" xr:uid="{00000000-0005-0000-0000-00005F000000}"/>
    <cellStyle name="_BQ TenderTgl 6-07-09 Asp_BQ BCA Kantor Kas Teuku Umar Banda Aceh" xfId="179" xr:uid="{00000000-0005-0000-0000-000060000000}"/>
    <cellStyle name="_BQ TenderTgl 6-07-09 Asp_BQ BCA KCP Cilegon" xfId="180" xr:uid="{00000000-0005-0000-0000-000061000000}"/>
    <cellStyle name="_BQ TenderTgl 6-07-09 Asp_BQ BCA KCP Cilegon 2" xfId="181" xr:uid="{00000000-0005-0000-0000-000062000000}"/>
    <cellStyle name="_BQ TenderTgl 6-07-09 Asp_BQ BCA KCP Cilegon_BQ-ME-BCA-TPI Rev.1-ASP" xfId="182" xr:uid="{00000000-0005-0000-0000-000063000000}"/>
    <cellStyle name="_BQ TenderTgl 6-07-09 Asp_BQ BCA KCP Cilegon_BQ-ME-BCA-TPI Rev.1-ASP-Disk" xfId="183" xr:uid="{00000000-0005-0000-0000-000064000000}"/>
    <cellStyle name="_BQ TenderTgl 6-07-09 Asp_BQ BCA KCP Monginsidi" xfId="184" xr:uid="{00000000-0005-0000-0000-000065000000}"/>
    <cellStyle name="_BQ TenderTgl 6-07-09 Asp_BQ BCA KCP Perak Barat - Surabaya Rev. 11 Mei 2011-Asp" xfId="185" xr:uid="{00000000-0005-0000-0000-000066000000}"/>
    <cellStyle name="_BQ TenderTgl 6-07-09 Asp_BQ BCA KCP Siliwangi-Bogor 15-6-11-ASP" xfId="186" xr:uid="{00000000-0005-0000-0000-000067000000}"/>
    <cellStyle name="_BQ TenderTgl 6-07-09 Asp_BQ BCA KCP Tanjung Uncang Revisi 6 April 2011-Asp-SPK" xfId="187" xr:uid="{00000000-0005-0000-0000-000068000000}"/>
    <cellStyle name="_BQ TenderTgl 6-07-09 Asp_BQ BCA KCP TOBOALI-BANGKA SELATAN - R1" xfId="188" xr:uid="{00000000-0005-0000-0000-000069000000}"/>
    <cellStyle name="_BQ TenderTgl 6-07-09 Asp_BQ BCA KCU Sukabumi-ASP Rev.tgl 30-4-2012-disk" xfId="189" xr:uid="{00000000-0005-0000-0000-00006A000000}"/>
    <cellStyle name="_BQ TenderTgl 6-07-09 Asp_BQ KCP Cipanas 18-5-2011-Asp-disk" xfId="190" xr:uid="{00000000-0005-0000-0000-00006B000000}"/>
    <cellStyle name="_BQ TenderTgl 6-07-09 Asp_BQ KK BCA LOMBOK TIMUR" xfId="191" xr:uid="{00000000-0005-0000-0000-00006C000000}"/>
    <cellStyle name="_BQ TenderTgl 6-07-09 Asp_BQ Kosong BCA KCP Citra Raya - Cikupa ( Type Cranz 2)-ASP (kanwil XII) rev.24 Juli2012-R1" xfId="192" xr:uid="{00000000-0005-0000-0000-00006D000000}"/>
    <cellStyle name="_BQ TenderTgl 6-07-09 Asp_BQ Kosong BCA KCP Citra Raya Cikupa -Tangerang-Asp" xfId="193" xr:uid="{00000000-0005-0000-0000-00006E000000}"/>
    <cellStyle name="_BQ TenderTgl 6-07-09 Asp_BQ ME AMARIS BOGOR - Asp (Rev-3)-SPK FINAL" xfId="194" xr:uid="{00000000-0005-0000-0000-00006F000000}"/>
    <cellStyle name="_BQ TenderTgl 6-07-09 Asp_BQ ME BCA Wlingi-Blitar-R2 Asp" xfId="195" xr:uid="{00000000-0005-0000-0000-000070000000}"/>
    <cellStyle name="_BQ TenderTgl 6-07-09 Asp_BQ ME BCA Wlingi-Blitar-R3 Asp" xfId="196" xr:uid="{00000000-0005-0000-0000-000071000000}"/>
    <cellStyle name="_BQ TenderTgl 6-07-09 Asp_BQ TENDER BCA KCP JABABEKA R-02-ASP" xfId="197" xr:uid="{00000000-0005-0000-0000-000072000000}"/>
    <cellStyle name="_BQ TenderTgl 6-07-09 Asp_BQ TENDER BCA SUNTER PARADISE ( Asp )-R2-SPK" xfId="198" xr:uid="{00000000-0005-0000-0000-000073000000}"/>
    <cellStyle name="_BQ TenderTgl 6-07-09 Asp_BQ Tender ME BCA KCP Kenten Palembang-k-Asp" xfId="199" xr:uid="{00000000-0005-0000-0000-000074000000}"/>
    <cellStyle name="_BQ TenderTgl 6-07-09 Asp_BQ Tender ME BCA KCP Kota Paris Sukabumi Revisi Tgl.28-4-2011-Asp" xfId="200" xr:uid="{00000000-0005-0000-0000-000075000000}"/>
    <cellStyle name="_BQ TenderTgl 6-07-09 Asp_BQ Tender ME BCA KCP Kramat Jati 261110-ASP(tissue)" xfId="201" xr:uid="{00000000-0005-0000-0000-000076000000}"/>
    <cellStyle name="_BQ TenderTgl 6-07-09 Asp_BQ Tender ME BCA KCP Sekayu Palembang Rev1-ASP" xfId="202" xr:uid="{00000000-0005-0000-0000-000077000000}"/>
    <cellStyle name="_BQ TenderTgl 6-07-09 Asp_BQ TENDER ME KCP RADIO DALAM-ASP-R1" xfId="203" xr:uid="{00000000-0005-0000-0000-000078000000}"/>
    <cellStyle name="_BQ TenderTgl 6-07-09 Asp_BQ_BCA_SLOMRETAN_23 Mei 12_ME-ASP" xfId="204" xr:uid="{00000000-0005-0000-0000-000079000000}"/>
    <cellStyle name="_BQ TenderTgl 6-07-09 Asp_BQ-EL-AC-BCA-KETANGGUNGAN-baru-Asp" xfId="205" xr:uid="{00000000-0005-0000-0000-00007A000000}"/>
    <cellStyle name="_BQ TenderTgl 6-07-09 Asp_BQ-EL-AC-BCA-PINGIT-TERBARU 210111-ASP" xfId="206" xr:uid="{00000000-0005-0000-0000-00007B000000}"/>
    <cellStyle name="_BQ TenderTgl 6-07-09 Asp_BQ-ELEKTRIKAL-R1 AC-BCA-JAMBI-Asp" xfId="207" xr:uid="{00000000-0005-0000-0000-00007C000000}"/>
    <cellStyle name="_BQ TenderTgl 6-07-09 Asp_BQ-KCP Ratulangi Revisi-1 (c)-Asp" xfId="208" xr:uid="{00000000-0005-0000-0000-00007D000000}"/>
    <cellStyle name="_BQ TenderTgl 6-07-09 Asp_Proposal2 RAB BCA Lubuk Begalung-Padang 14 Apr'11-Asp" xfId="209" xr:uid="{00000000-0005-0000-0000-00007E000000}"/>
    <cellStyle name="_BQ TenderTgl 6-07-09 Asp_Revisi 2 RAB ME BCA Kantor Kas Kijang Tj. Pinang 1Mei'12-k-rev1-ASP" xfId="210" xr:uid="{00000000-0005-0000-0000-00007F000000}"/>
    <cellStyle name="_BQ TenderTgl 6-07-09 Asp_Revisi BQ KCP Rawasari Jakarta-ASP" xfId="211" xr:uid="{00000000-0005-0000-0000-000080000000}"/>
    <cellStyle name="_BQ-EL-AC-BCA-KETANGGUNGAN-baru-Asp" xfId="212" xr:uid="{00000000-0005-0000-0000-000081000000}"/>
    <cellStyle name="_Klarifikasi 09 02 2010 BQ BCA KALIMAS Rev-1 Asp" xfId="213" xr:uid="{00000000-0005-0000-0000-000082000000}"/>
    <cellStyle name="_Revisi1 Final RAB Nangka (k)-150909-ASP-SPK" xfId="214" xr:uid="{00000000-0005-0000-0000-000083000000}"/>
    <cellStyle name="_Revisi1 Final RAB Nangka (k)-150909-ASP-SPK_120525 BQ ME BCA KK Seririt Kabupaten Buleleng-ASP" xfId="215" xr:uid="{00000000-0005-0000-0000-000084000000}"/>
    <cellStyle name="_Revisi1 Final RAB Nangka (k)-150909-ASP-SPK_BQ BCA KCP Cilegon" xfId="216" xr:uid="{00000000-0005-0000-0000-000085000000}"/>
    <cellStyle name="_Revisi1 Final RAB Nangka (k)-150909-ASP-SPK_BQ BCA KCP Cilegon 2" xfId="217" xr:uid="{00000000-0005-0000-0000-000086000000}"/>
    <cellStyle name="_Revisi1 Final RAB Nangka (k)-150909-ASP-SPK_BQ BCA KCP Cilegon_BQ-ME-BCA-TPI Rev.1-ASP" xfId="218" xr:uid="{00000000-0005-0000-0000-000087000000}"/>
    <cellStyle name="_Revisi1 Final RAB Nangka (k)-150909-ASP-SPK_BQ BCA KCP Cilegon_BQ-ME-BCA-TPI Rev.1-ASP-Disk" xfId="219" xr:uid="{00000000-0005-0000-0000-000088000000}"/>
    <cellStyle name="_Revisi1 Final RAB Nangka (k)-150909-ASP-SPK_BQ BCA KCP Monginsidi" xfId="220" xr:uid="{00000000-0005-0000-0000-000089000000}"/>
    <cellStyle name="_Revisi1 Final RAB Nangka (k)-150909-ASP-SPK_BQ BCA KCP Perak Barat - Surabaya Rev. 11 Mei 2011-Asp" xfId="221" xr:uid="{00000000-0005-0000-0000-00008A000000}"/>
    <cellStyle name="_Revisi1 Final RAB Nangka (k)-150909-ASP-SPK_BQ BCA KCP Siliwangi-Bogor 15-6-11-ASP" xfId="222" xr:uid="{00000000-0005-0000-0000-00008B000000}"/>
    <cellStyle name="_Revisi1 Final RAB Nangka (k)-150909-ASP-SPK_BQ BCA KCP TOBOALI-BANGKA SELATAN - R1" xfId="223" xr:uid="{00000000-0005-0000-0000-00008C000000}"/>
    <cellStyle name="_Revisi1 Final RAB Nangka (k)-150909-ASP-SPK_BQ KCP Cipanas 18-5-2011-Asp-disk" xfId="224" xr:uid="{00000000-0005-0000-0000-00008D000000}"/>
    <cellStyle name="_Revisi1 Final RAB Nangka (k)-150909-ASP-SPK_BQ KK BCA LOMBOK TIMUR" xfId="225" xr:uid="{00000000-0005-0000-0000-00008E000000}"/>
    <cellStyle name="_Revisi1 Final RAB Nangka (k)-150909-ASP-SPK_BQ Kosong BCA KCP Citra Raya - Cikupa ( Type Cranz 2)-ASP (kanwil XII) rev.24 Juli2012-R1" xfId="226" xr:uid="{00000000-0005-0000-0000-00008F000000}"/>
    <cellStyle name="_Revisi1 Final RAB Nangka (k)-150909-ASP-SPK_BQ Kosong BCA KCP Citra Raya Cikupa -Tangerang-Asp" xfId="227" xr:uid="{00000000-0005-0000-0000-000090000000}"/>
    <cellStyle name="_Revisi1 Final RAB Nangka (k)-150909-ASP-SPK_BQ TENDER BCA KCP JABABEKA R-02-ASP" xfId="228" xr:uid="{00000000-0005-0000-0000-000091000000}"/>
    <cellStyle name="_Revisi1 Final RAB Nangka (k)-150909-ASP-SPK_BQ TENDER BCA SUNTER PARADISE ( Asp )-R2-SPK" xfId="229" xr:uid="{00000000-0005-0000-0000-000092000000}"/>
    <cellStyle name="_Revisi1 Final RAB Nangka (k)-150909-ASP-SPK_BQ Tender ME BCA KCP Kenten Palembang-k-Asp" xfId="230" xr:uid="{00000000-0005-0000-0000-000093000000}"/>
    <cellStyle name="_Revisi1 Final RAB Nangka (k)-150909-ASP-SPK_BQ Tender ME BCA KCP Kramat Jati 261110-ASP(tissue)" xfId="231" xr:uid="{00000000-0005-0000-0000-000094000000}"/>
    <cellStyle name="_Revisi1 Final RAB Nangka (k)-150909-ASP-SPK_BQ Tender ME BCA KCP Sekayu Palembang Rev1-ASP" xfId="232" xr:uid="{00000000-0005-0000-0000-000095000000}"/>
    <cellStyle name="_Revisi1 Final RAB Nangka (k)-150909-ASP-SPK_BQ TENDER ME KCP RADIO DALAM-ASP-R1" xfId="233" xr:uid="{00000000-0005-0000-0000-000096000000}"/>
    <cellStyle name="_Revisi1 Final RAB Nangka (k)-150909-ASP-SPK_BQ-EL-AC-BCA-KETANGGUNGAN-baru-Asp" xfId="234" xr:uid="{00000000-0005-0000-0000-000097000000}"/>
    <cellStyle name="_Revisi1 Final RAB Nangka (k)-150909-ASP-SPK_BQ-EL-AC-BCA-PINGIT-TERBARU 210111-ASP" xfId="235" xr:uid="{00000000-0005-0000-0000-000098000000}"/>
    <cellStyle name="_Revisi1 Final RAB Nangka (k)-150909-ASP-SPK_Revisi BQ KCP Rawasari Jakarta-ASP" xfId="236" xr:uid="{00000000-0005-0000-0000-000099000000}"/>
    <cellStyle name="‚" xfId="237" xr:uid="{00000000-0005-0000-0000-00009A000000}"/>
    <cellStyle name="„" xfId="238" xr:uid="{00000000-0005-0000-0000-00009B000000}"/>
    <cellStyle name="–¢’è‹`" xfId="239" xr:uid="{00000000-0005-0000-0000-00009C000000}"/>
    <cellStyle name="…" xfId="240" xr:uid="{00000000-0005-0000-0000-00009D000000}"/>
    <cellStyle name="†" xfId="241" xr:uid="{00000000-0005-0000-0000-00009E000000}"/>
    <cellStyle name="‡" xfId="242" xr:uid="{00000000-0005-0000-0000-00009F000000}"/>
    <cellStyle name="‡ - Style1" xfId="243" xr:uid="{00000000-0005-0000-0000-0000A0000000}"/>
    <cellStyle name="‡_3.RAB ARSITEK IRNA 1 R 1213.09" xfId="244" xr:uid="{00000000-0005-0000-0000-0000A1000000}"/>
    <cellStyle name="‡_3.RAB ARSITEK SELASAR R 1213.09" xfId="245" xr:uid="{00000000-0005-0000-0000-0000A2000000}"/>
    <cellStyle name="‡_AUTO2000" xfId="246" xr:uid="{00000000-0005-0000-0000-0000A3000000}"/>
    <cellStyle name="‡_AUTO2000_BQ &amp; An Pds Gdg - KIM I" xfId="247" xr:uid="{00000000-0005-0000-0000-0000A4000000}"/>
    <cellStyle name="‡_AUTO2000_BQ &amp; An Pds Gdg - KIM I_REKAP UTAMA" xfId="248" xr:uid="{00000000-0005-0000-0000-0000A5000000}"/>
    <cellStyle name="‡_AUTO2000_BQ &amp; An Pondasi SEP &amp; WAREHOUSE-KIM I (R-0)" xfId="249" xr:uid="{00000000-0005-0000-0000-0000A6000000}"/>
    <cellStyle name="‡_AUTO2000_BQ &amp; An Pondasi SEP &amp; WAREHOUSE-KIM I (R-0)_REKAP UTAMA" xfId="250" xr:uid="{00000000-0005-0000-0000-0000A7000000}"/>
    <cellStyle name="‡_AUTO2000_BQ Pabrik Biodiesel MM-Btm" xfId="251" xr:uid="{00000000-0005-0000-0000-0000A8000000}"/>
    <cellStyle name="‡_AUTO2000_BQ Pabrik Biodiesel MM-Btm_REKAP UTAMA" xfId="252" xr:uid="{00000000-0005-0000-0000-0000A9000000}"/>
    <cellStyle name="‡_AUTO2000_REKAP UTAMA" xfId="253" xr:uid="{00000000-0005-0000-0000-0000AA000000}"/>
    <cellStyle name="‡_Blue sky Piping tie-in-Package-comb-R1" xfId="254" xr:uid="{00000000-0005-0000-0000-0000AB000000}"/>
    <cellStyle name="‡_Blue sky Piping tie-in-Package-comb-R1_BQ &amp; An Pds Gdg - KIM I" xfId="255" xr:uid="{00000000-0005-0000-0000-0000AC000000}"/>
    <cellStyle name="‡_Blue sky Piping tie-in-Package-comb-R1_BQ &amp; An Pds Gdg - KIM I_REKAP UTAMA" xfId="256" xr:uid="{00000000-0005-0000-0000-0000AD000000}"/>
    <cellStyle name="‡_Blue sky Piping tie-in-Package-comb-R1_BQ &amp; An Pondasi SEP &amp; WAREHOUSE-KIM I (R-0)" xfId="257" xr:uid="{00000000-0005-0000-0000-0000AE000000}"/>
    <cellStyle name="‡_Blue sky Piping tie-in-Package-comb-R1_BQ &amp; An Pondasi SEP &amp; WAREHOUSE-KIM I (R-0)_REKAP UTAMA" xfId="258" xr:uid="{00000000-0005-0000-0000-0000AF000000}"/>
    <cellStyle name="‡_Blue sky Piping tie-in-Package-comb-R1_BQ Pabrik Biodiesel MM-Btm" xfId="259" xr:uid="{00000000-0005-0000-0000-0000B0000000}"/>
    <cellStyle name="‡_Blue sky Piping tie-in-Package-comb-R1_BQ Pabrik Biodiesel MM-Btm_REKAP UTAMA" xfId="260" xr:uid="{00000000-0005-0000-0000-0000B1000000}"/>
    <cellStyle name="‡_Blue sky Piping tie-in-Package-comb-R1_REKAP UTAMA" xfId="261" xr:uid="{00000000-0005-0000-0000-0000B2000000}"/>
    <cellStyle name="‡_BOOK1" xfId="262" xr:uid="{00000000-0005-0000-0000-0000B3000000}"/>
    <cellStyle name="‡_BQ &amp; An Pds Gdg - KIM I" xfId="263" xr:uid="{00000000-0005-0000-0000-0000B4000000}"/>
    <cellStyle name="‡_BQ &amp; An Pds Gdg - KIM I_REKAP UTAMA" xfId="264" xr:uid="{00000000-0005-0000-0000-0000B5000000}"/>
    <cellStyle name="‡_BQ &amp; An Pondasi SEP &amp; WAREHOUSE-KIM I (R-0)" xfId="265" xr:uid="{00000000-0005-0000-0000-0000B6000000}"/>
    <cellStyle name="‡_BQ &amp; An Pondasi SEP &amp; WAREHOUSE-KIM I (R-0)_REKAP UTAMA" xfId="266" xr:uid="{00000000-0005-0000-0000-0000B7000000}"/>
    <cellStyle name="‡_BQ Pabrik Biodiesel MM-Btm" xfId="267" xr:uid="{00000000-0005-0000-0000-0000B8000000}"/>
    <cellStyle name="‡_BQ Pabrik Biodiesel MM-Btm_REKAP UTAMA" xfId="268" xr:uid="{00000000-0005-0000-0000-0000B9000000}"/>
    <cellStyle name="‡_C4X" xfId="269" xr:uid="{00000000-0005-0000-0000-0000BA000000}"/>
    <cellStyle name="‡_C4X_AUTO2000" xfId="270" xr:uid="{00000000-0005-0000-0000-0000BB000000}"/>
    <cellStyle name="‡_C4X_AUTO2000_BQ &amp; An Pds Gdg - KIM I" xfId="271" xr:uid="{00000000-0005-0000-0000-0000BC000000}"/>
    <cellStyle name="‡_C4X_AUTO2000_BQ &amp; An Pds Gdg - KIM I_REKAP UTAMA" xfId="272" xr:uid="{00000000-0005-0000-0000-0000BD000000}"/>
    <cellStyle name="‡_C4X_AUTO2000_BQ &amp; An Pondasi SEP &amp; WAREHOUSE-KIM I (R-0)" xfId="273" xr:uid="{00000000-0005-0000-0000-0000BE000000}"/>
    <cellStyle name="‡_C4X_AUTO2000_BQ &amp; An Pondasi SEP &amp; WAREHOUSE-KIM I (R-0)_REKAP UTAMA" xfId="274" xr:uid="{00000000-0005-0000-0000-0000BF000000}"/>
    <cellStyle name="‡_C4X_AUTO2000_BQ Pabrik Biodiesel MM-Btm" xfId="275" xr:uid="{00000000-0005-0000-0000-0000C0000000}"/>
    <cellStyle name="‡_C4X_AUTO2000_BQ Pabrik Biodiesel MM-Btm_REKAP UTAMA" xfId="276" xr:uid="{00000000-0005-0000-0000-0000C1000000}"/>
    <cellStyle name="‡_C4X_AUTO2000_REKAP UTAMA" xfId="277" xr:uid="{00000000-0005-0000-0000-0000C2000000}"/>
    <cellStyle name="‡_C4X_BQ &amp; An Pds Gdg - KIM I" xfId="278" xr:uid="{00000000-0005-0000-0000-0000C3000000}"/>
    <cellStyle name="‡_C4X_BQ &amp; An Pds Gdg - KIM I_REKAP UTAMA" xfId="279" xr:uid="{00000000-0005-0000-0000-0000C4000000}"/>
    <cellStyle name="‡_C4X_BQ &amp; An Pondasi SEP &amp; WAREHOUSE-KIM I (R-0)" xfId="280" xr:uid="{00000000-0005-0000-0000-0000C5000000}"/>
    <cellStyle name="‡_C4X_BQ &amp; An Pondasi SEP &amp; WAREHOUSE-KIM I (R-0)_REKAP UTAMA" xfId="281" xr:uid="{00000000-0005-0000-0000-0000C6000000}"/>
    <cellStyle name="‡_C4X_BQ Pabrik Biodiesel MM-Btm" xfId="282" xr:uid="{00000000-0005-0000-0000-0000C7000000}"/>
    <cellStyle name="‡_C4X_BQ Pabrik Biodiesel MM-Btm_REKAP UTAMA" xfId="283" xr:uid="{00000000-0005-0000-0000-0000C8000000}"/>
    <cellStyle name="‡_C4X_Cost Piping AG Install" xfId="284" xr:uid="{00000000-0005-0000-0000-0000C9000000}"/>
    <cellStyle name="‡_C4X_Cost Piping AG Install_BQ &amp; An Pds Gdg - KIM I" xfId="285" xr:uid="{00000000-0005-0000-0000-0000CA000000}"/>
    <cellStyle name="‡_C4X_Cost Piping AG Install_BQ &amp; An Pds Gdg - KIM I_REKAP UTAMA" xfId="286" xr:uid="{00000000-0005-0000-0000-0000CB000000}"/>
    <cellStyle name="‡_C4X_Cost Piping AG Install_BQ &amp; An Pondasi SEP &amp; WAREHOUSE-KIM I (R-0)" xfId="287" xr:uid="{00000000-0005-0000-0000-0000CC000000}"/>
    <cellStyle name="‡_C4X_Cost Piping AG Install_BQ &amp; An Pondasi SEP &amp; WAREHOUSE-KIM I (R-0)_REKAP UTAMA" xfId="288" xr:uid="{00000000-0005-0000-0000-0000CD000000}"/>
    <cellStyle name="‡_C4X_Cost Piping AG Install_BQ Pabrik Biodiesel MM-Btm" xfId="289" xr:uid="{00000000-0005-0000-0000-0000CE000000}"/>
    <cellStyle name="‡_C4X_Cost Piping AG Install_BQ Pabrik Biodiesel MM-Btm_REKAP UTAMA" xfId="290" xr:uid="{00000000-0005-0000-0000-0000CF000000}"/>
    <cellStyle name="‡_C4X_Cost Piping AG Install_REKAP UTAMA" xfId="291" xr:uid="{00000000-0005-0000-0000-0000D0000000}"/>
    <cellStyle name="‡_C4X_Cost Piping PIM2revf" xfId="292" xr:uid="{00000000-0005-0000-0000-0000D1000000}"/>
    <cellStyle name="‡_C4X_Cost Piping PIM2revf_BQ &amp; An Pds Gdg - KIM I" xfId="293" xr:uid="{00000000-0005-0000-0000-0000D2000000}"/>
    <cellStyle name="‡_C4X_Cost Piping PIM2revf_BQ &amp; An Pds Gdg - KIM I_REKAP UTAMA" xfId="294" xr:uid="{00000000-0005-0000-0000-0000D3000000}"/>
    <cellStyle name="‡_C4X_Cost Piping PIM2revf_BQ &amp; An Pondasi SEP &amp; WAREHOUSE-KIM I (R-0)" xfId="295" xr:uid="{00000000-0005-0000-0000-0000D4000000}"/>
    <cellStyle name="‡_C4X_Cost Piping PIM2revf_BQ &amp; An Pondasi SEP &amp; WAREHOUSE-KIM I (R-0)_REKAP UTAMA" xfId="296" xr:uid="{00000000-0005-0000-0000-0000D5000000}"/>
    <cellStyle name="‡_C4X_Cost Piping PIM2revf_BQ Pabrik Biodiesel MM-Btm" xfId="297" xr:uid="{00000000-0005-0000-0000-0000D6000000}"/>
    <cellStyle name="‡_C4X_Cost Piping PIM2revf_BQ Pabrik Biodiesel MM-Btm_REKAP UTAMA" xfId="298" xr:uid="{00000000-0005-0000-0000-0000D7000000}"/>
    <cellStyle name="‡_C4X_Cost Piping PIM2revf_REKAP UTAMA" xfId="299" xr:uid="{00000000-0005-0000-0000-0000D8000000}"/>
    <cellStyle name="‡_C4X_Granulation Rev1 Costdirect Pim2" xfId="300" xr:uid="{00000000-0005-0000-0000-0000D9000000}"/>
    <cellStyle name="‡_C4X_Granulation Rev1 Costdirect Pim2_BQ &amp; An Pds Gdg - KIM I" xfId="301" xr:uid="{00000000-0005-0000-0000-0000DA000000}"/>
    <cellStyle name="‡_C4X_Granulation Rev1 Costdirect Pim2_BQ &amp; An Pds Gdg - KIM I_REKAP UTAMA" xfId="302" xr:uid="{00000000-0005-0000-0000-0000DB000000}"/>
    <cellStyle name="‡_C4X_Granulation Rev1 Costdirect Pim2_BQ &amp; An Pondasi SEP &amp; WAREHOUSE-KIM I (R-0)" xfId="303" xr:uid="{00000000-0005-0000-0000-0000DC000000}"/>
    <cellStyle name="‡_C4X_Granulation Rev1 Costdirect Pim2_BQ &amp; An Pondasi SEP &amp; WAREHOUSE-KIM I (R-0)_REKAP UTAMA" xfId="304" xr:uid="{00000000-0005-0000-0000-0000DD000000}"/>
    <cellStyle name="‡_C4X_Granulation Rev1 Costdirect Pim2_BQ Pabrik Biodiesel MM-Btm" xfId="305" xr:uid="{00000000-0005-0000-0000-0000DE000000}"/>
    <cellStyle name="‡_C4X_Granulation Rev1 Costdirect Pim2_BQ Pabrik Biodiesel MM-Btm_REKAP UTAMA" xfId="306" xr:uid="{00000000-0005-0000-0000-0000DF000000}"/>
    <cellStyle name="‡_C4X_Granulation Rev1 Costdirect Pim2_REKAP UTAMA" xfId="307" xr:uid="{00000000-0005-0000-0000-0000E0000000}"/>
    <cellStyle name="‡_C4X_price toolrev1" xfId="308" xr:uid="{00000000-0005-0000-0000-0000E1000000}"/>
    <cellStyle name="‡_C4X_price toolrev1_BQ &amp; An Pds Gdg - KIM I" xfId="309" xr:uid="{00000000-0005-0000-0000-0000E2000000}"/>
    <cellStyle name="‡_C4X_price toolrev1_BQ &amp; An Pds Gdg - KIM I_REKAP UTAMA" xfId="310" xr:uid="{00000000-0005-0000-0000-0000E3000000}"/>
    <cellStyle name="‡_C4X_price toolrev1_BQ &amp; An Pondasi SEP &amp; WAREHOUSE-KIM I (R-0)" xfId="311" xr:uid="{00000000-0005-0000-0000-0000E4000000}"/>
    <cellStyle name="‡_C4X_price toolrev1_BQ &amp; An Pondasi SEP &amp; WAREHOUSE-KIM I (R-0)_REKAP UTAMA" xfId="312" xr:uid="{00000000-0005-0000-0000-0000E5000000}"/>
    <cellStyle name="‡_C4X_price toolrev1_BQ Pabrik Biodiesel MM-Btm" xfId="313" xr:uid="{00000000-0005-0000-0000-0000E6000000}"/>
    <cellStyle name="‡_C4X_price toolrev1_BQ Pabrik Biodiesel MM-Btm_REKAP UTAMA" xfId="314" xr:uid="{00000000-0005-0000-0000-0000E7000000}"/>
    <cellStyle name="‡_C4X_price toolrev1_REKAP UTAMA" xfId="315" xr:uid="{00000000-0005-0000-0000-0000E8000000}"/>
    <cellStyle name="‡_C4X_REKAP UTAMA" xfId="316" xr:uid="{00000000-0005-0000-0000-0000E9000000}"/>
    <cellStyle name="‡_C4X_std" xfId="317" xr:uid="{00000000-0005-0000-0000-0000EA000000}"/>
    <cellStyle name="‡_C4X_std_BQ &amp; An Pds Gdg - KIM I" xfId="318" xr:uid="{00000000-0005-0000-0000-0000EB000000}"/>
    <cellStyle name="‡_C4X_std_BQ &amp; An Pds Gdg - KIM I_REKAP UTAMA" xfId="319" xr:uid="{00000000-0005-0000-0000-0000EC000000}"/>
    <cellStyle name="‡_C4X_std_BQ &amp; An Pondasi SEP &amp; WAREHOUSE-KIM I (R-0)" xfId="320" xr:uid="{00000000-0005-0000-0000-0000ED000000}"/>
    <cellStyle name="‡_C4X_std_BQ &amp; An Pondasi SEP &amp; WAREHOUSE-KIM I (R-0)_REKAP UTAMA" xfId="321" xr:uid="{00000000-0005-0000-0000-0000EE000000}"/>
    <cellStyle name="‡_C4X_std_BQ Pabrik Biodiesel MM-Btm" xfId="322" xr:uid="{00000000-0005-0000-0000-0000EF000000}"/>
    <cellStyle name="‡_C4X_std_BQ Pabrik Biodiesel MM-Btm_REKAP UTAMA" xfId="323" xr:uid="{00000000-0005-0000-0000-0000F0000000}"/>
    <cellStyle name="‡_C4X_std_REKAP UTAMA" xfId="324" xr:uid="{00000000-0005-0000-0000-0000F1000000}"/>
    <cellStyle name="‡_C4X_Tie-in-Budget-1" xfId="325" xr:uid="{00000000-0005-0000-0000-0000F2000000}"/>
    <cellStyle name="‡_C4X_Tie-in-Budget-1_BQ &amp; An Pds Gdg - KIM I" xfId="326" xr:uid="{00000000-0005-0000-0000-0000F3000000}"/>
    <cellStyle name="‡_C4X_Tie-in-Budget-1_BQ &amp; An Pds Gdg - KIM I_REKAP UTAMA" xfId="327" xr:uid="{00000000-0005-0000-0000-0000F4000000}"/>
    <cellStyle name="‡_C4X_Tie-in-Budget-1_BQ &amp; An Pondasi SEP &amp; WAREHOUSE-KIM I (R-0)" xfId="328" xr:uid="{00000000-0005-0000-0000-0000F5000000}"/>
    <cellStyle name="‡_C4X_Tie-in-Budget-1_BQ &amp; An Pondasi SEP &amp; WAREHOUSE-KIM I (R-0)_REKAP UTAMA" xfId="329" xr:uid="{00000000-0005-0000-0000-0000F6000000}"/>
    <cellStyle name="‡_C4X_Tie-in-Budget-1_BQ Pabrik Biodiesel MM-Btm" xfId="330" xr:uid="{00000000-0005-0000-0000-0000F7000000}"/>
    <cellStyle name="‡_C4X_Tie-in-Budget-1_BQ Pabrik Biodiesel MM-Btm_REKAP UTAMA" xfId="331" xr:uid="{00000000-0005-0000-0000-0000F8000000}"/>
    <cellStyle name="‡_C4X_Tie-in-Budget-1_REKAP UTAMA" xfId="332" xr:uid="{00000000-0005-0000-0000-0000F9000000}"/>
    <cellStyle name="‡_Construction Piping Cost-28-03-2001" xfId="333" xr:uid="{00000000-0005-0000-0000-0000FA000000}"/>
    <cellStyle name="‡_Construction Piping Cost-28-03-2001_BQ &amp; An Pds Gdg - KIM I" xfId="334" xr:uid="{00000000-0005-0000-0000-0000FB000000}"/>
    <cellStyle name="‡_Construction Piping Cost-28-03-2001_BQ &amp; An Pds Gdg - KIM I_REKAP UTAMA" xfId="335" xr:uid="{00000000-0005-0000-0000-0000FC000000}"/>
    <cellStyle name="‡_Construction Piping Cost-28-03-2001_BQ &amp; An Pondasi SEP &amp; WAREHOUSE-KIM I (R-0)" xfId="336" xr:uid="{00000000-0005-0000-0000-0000FD000000}"/>
    <cellStyle name="‡_Construction Piping Cost-28-03-2001_BQ &amp; An Pondasi SEP &amp; WAREHOUSE-KIM I (R-0)_REKAP UTAMA" xfId="337" xr:uid="{00000000-0005-0000-0000-0000FE000000}"/>
    <cellStyle name="‡_Construction Piping Cost-28-03-2001_BQ Pabrik Biodiesel MM-Btm" xfId="338" xr:uid="{00000000-0005-0000-0000-0000FF000000}"/>
    <cellStyle name="‡_Construction Piping Cost-28-03-2001_BQ Pabrik Biodiesel MM-Btm_REKAP UTAMA" xfId="339" xr:uid="{00000000-0005-0000-0000-000000010000}"/>
    <cellStyle name="‡_Construction Piping Cost-28-03-2001_REKAP UTAMA" xfId="340" xr:uid="{00000000-0005-0000-0000-000001010000}"/>
    <cellStyle name="‡_Cost Breakdown" xfId="341" xr:uid="{00000000-0005-0000-0000-000002010000}"/>
    <cellStyle name="‡_Cost Breakdown WO 321105" xfId="342" xr:uid="{00000000-0005-0000-0000-000003010000}"/>
    <cellStyle name="‡_Cost Breakdown WO 321105_BQ &amp; An Pds Gdg - KIM I" xfId="343" xr:uid="{00000000-0005-0000-0000-000004010000}"/>
    <cellStyle name="‡_Cost Breakdown WO 321105_BQ &amp; An Pds Gdg - KIM I_REKAP UTAMA" xfId="344" xr:uid="{00000000-0005-0000-0000-000005010000}"/>
    <cellStyle name="‡_Cost Breakdown WO 321105_BQ &amp; An Pondasi SEP &amp; WAREHOUSE-KIM I (R-0)" xfId="345" xr:uid="{00000000-0005-0000-0000-000006010000}"/>
    <cellStyle name="‡_Cost Breakdown WO 321105_BQ &amp; An Pondasi SEP &amp; WAREHOUSE-KIM I (R-0)_REKAP UTAMA" xfId="346" xr:uid="{00000000-0005-0000-0000-000007010000}"/>
    <cellStyle name="‡_Cost Breakdown WO 321105_BQ Pabrik Biodiesel MM-Btm" xfId="347" xr:uid="{00000000-0005-0000-0000-000008010000}"/>
    <cellStyle name="‡_Cost Breakdown WO 321105_BQ Pabrik Biodiesel MM-Btm_REKAP UTAMA" xfId="348" xr:uid="{00000000-0005-0000-0000-000009010000}"/>
    <cellStyle name="‡_Cost Breakdown WO 321105_REKAP UTAMA" xfId="349" xr:uid="{00000000-0005-0000-0000-00000A010000}"/>
    <cellStyle name="‡_Cost Breakdown_BQ &amp; An Pds Gdg - KIM I" xfId="350" xr:uid="{00000000-0005-0000-0000-00000B010000}"/>
    <cellStyle name="‡_Cost Breakdown_BQ &amp; An Pds Gdg - KIM I_REKAP UTAMA" xfId="351" xr:uid="{00000000-0005-0000-0000-00000C010000}"/>
    <cellStyle name="‡_Cost Breakdown_BQ &amp; An Pondasi SEP &amp; WAREHOUSE-KIM I (R-0)" xfId="352" xr:uid="{00000000-0005-0000-0000-00000D010000}"/>
    <cellStyle name="‡_Cost Breakdown_BQ &amp; An Pondasi SEP &amp; WAREHOUSE-KIM I (R-0)_REKAP UTAMA" xfId="353" xr:uid="{00000000-0005-0000-0000-00000E010000}"/>
    <cellStyle name="‡_Cost Breakdown_BQ Pabrik Biodiesel MM-Btm" xfId="354" xr:uid="{00000000-0005-0000-0000-00000F010000}"/>
    <cellStyle name="‡_Cost Breakdown_BQ Pabrik Biodiesel MM-Btm_REKAP UTAMA" xfId="355" xr:uid="{00000000-0005-0000-0000-000010010000}"/>
    <cellStyle name="‡_Cost Breakdown_REKAP UTAMA" xfId="356" xr:uid="{00000000-0005-0000-0000-000011010000}"/>
    <cellStyle name="‡_Cost Breakdown-REV2" xfId="357" xr:uid="{00000000-0005-0000-0000-000012010000}"/>
    <cellStyle name="‡_Cost Breakdown-REV2_BQ &amp; An Pds Gdg - KIM I" xfId="358" xr:uid="{00000000-0005-0000-0000-000013010000}"/>
    <cellStyle name="‡_Cost Breakdown-REV2_BQ &amp; An Pds Gdg - KIM I_REKAP UTAMA" xfId="359" xr:uid="{00000000-0005-0000-0000-000014010000}"/>
    <cellStyle name="‡_Cost Breakdown-REV2_BQ &amp; An Pondasi SEP &amp; WAREHOUSE-KIM I (R-0)" xfId="360" xr:uid="{00000000-0005-0000-0000-000015010000}"/>
    <cellStyle name="‡_Cost Breakdown-REV2_BQ &amp; An Pondasi SEP &amp; WAREHOUSE-KIM I (R-0)_REKAP UTAMA" xfId="361" xr:uid="{00000000-0005-0000-0000-000016010000}"/>
    <cellStyle name="‡_Cost Breakdown-REV2_BQ Pabrik Biodiesel MM-Btm" xfId="362" xr:uid="{00000000-0005-0000-0000-000017010000}"/>
    <cellStyle name="‡_Cost Breakdown-REV2_BQ Pabrik Biodiesel MM-Btm_REKAP UTAMA" xfId="363" xr:uid="{00000000-0005-0000-0000-000018010000}"/>
    <cellStyle name="‡_Cost Breakdown-REV2_REKAP UTAMA" xfId="364" xr:uid="{00000000-0005-0000-0000-000019010000}"/>
    <cellStyle name="‡_Cost Piping" xfId="365" xr:uid="{00000000-0005-0000-0000-00001A010000}"/>
    <cellStyle name="‡_Cost Piping_BQ &amp; An Pds Gdg - KIM I" xfId="366" xr:uid="{00000000-0005-0000-0000-00001B010000}"/>
    <cellStyle name="‡_Cost Piping_BQ &amp; An Pds Gdg - KIM I_REKAP UTAMA" xfId="367" xr:uid="{00000000-0005-0000-0000-00001C010000}"/>
    <cellStyle name="‡_Cost Piping_BQ &amp; An Pondasi SEP &amp; WAREHOUSE-KIM I (R-0)" xfId="368" xr:uid="{00000000-0005-0000-0000-00001D010000}"/>
    <cellStyle name="‡_Cost Piping_BQ &amp; An Pondasi SEP &amp; WAREHOUSE-KIM I (R-0)_REKAP UTAMA" xfId="369" xr:uid="{00000000-0005-0000-0000-00001E010000}"/>
    <cellStyle name="‡_Cost Piping_BQ Pabrik Biodiesel MM-Btm" xfId="370" xr:uid="{00000000-0005-0000-0000-00001F010000}"/>
    <cellStyle name="‡_Cost Piping_BQ Pabrik Biodiesel MM-Btm_REKAP UTAMA" xfId="371" xr:uid="{00000000-0005-0000-0000-000020010000}"/>
    <cellStyle name="‡_Cost Piping_REKAP UTAMA" xfId="372" xr:uid="{00000000-0005-0000-0000-000021010000}"/>
    <cellStyle name="‡_data tie-n balongan" xfId="373" xr:uid="{00000000-0005-0000-0000-000022010000}"/>
    <cellStyle name="‡_data tie-n balongan_BQ &amp; An Pds Gdg - KIM I" xfId="374" xr:uid="{00000000-0005-0000-0000-000023010000}"/>
    <cellStyle name="‡_data tie-n balongan_BQ &amp; An Pds Gdg - KIM I_REKAP UTAMA" xfId="375" xr:uid="{00000000-0005-0000-0000-000024010000}"/>
    <cellStyle name="‡_data tie-n balongan_BQ &amp; An Pondasi SEP &amp; WAREHOUSE-KIM I (R-0)" xfId="376" xr:uid="{00000000-0005-0000-0000-000025010000}"/>
    <cellStyle name="‡_data tie-n balongan_BQ &amp; An Pondasi SEP &amp; WAREHOUSE-KIM I (R-0)_REKAP UTAMA" xfId="377" xr:uid="{00000000-0005-0000-0000-000026010000}"/>
    <cellStyle name="‡_data tie-n balongan_BQ Pabrik Biodiesel MM-Btm" xfId="378" xr:uid="{00000000-0005-0000-0000-000027010000}"/>
    <cellStyle name="‡_data tie-n balongan_BQ Pabrik Biodiesel MM-Btm_REKAP UTAMA" xfId="379" xr:uid="{00000000-0005-0000-0000-000028010000}"/>
    <cellStyle name="‡_data tie-n balongan_REKAP UTAMA" xfId="380" xr:uid="{00000000-0005-0000-0000-000029010000}"/>
    <cellStyle name="‡_Erection Steel Structure &amp; Mechanical-4" xfId="381" xr:uid="{00000000-0005-0000-0000-00002A010000}"/>
    <cellStyle name="‡_Erection Steel Structure &amp; Mechanical-4_BQ &amp; An Pds Gdg - KIM I" xfId="382" xr:uid="{00000000-0005-0000-0000-00002B010000}"/>
    <cellStyle name="‡_Erection Steel Structure &amp; Mechanical-4_BQ &amp; An Pds Gdg - KIM I_REKAP UTAMA" xfId="383" xr:uid="{00000000-0005-0000-0000-00002C010000}"/>
    <cellStyle name="‡_Erection Steel Structure &amp; Mechanical-4_BQ &amp; An Pondasi SEP &amp; WAREHOUSE-KIM I (R-0)" xfId="384" xr:uid="{00000000-0005-0000-0000-00002D010000}"/>
    <cellStyle name="‡_Erection Steel Structure &amp; Mechanical-4_BQ &amp; An Pondasi SEP &amp; WAREHOUSE-KIM I (R-0)_REKAP UTAMA" xfId="385" xr:uid="{00000000-0005-0000-0000-00002E010000}"/>
    <cellStyle name="‡_Erection Steel Structure &amp; Mechanical-4_BQ Pabrik Biodiesel MM-Btm" xfId="386" xr:uid="{00000000-0005-0000-0000-00002F010000}"/>
    <cellStyle name="‡_Erection Steel Structure &amp; Mechanical-4_BQ Pabrik Biodiesel MM-Btm_REKAP UTAMA" xfId="387" xr:uid="{00000000-0005-0000-0000-000030010000}"/>
    <cellStyle name="‡_Erection Steel Structure &amp; Mechanical-4_REKAP UTAMA" xfId="388" xr:uid="{00000000-0005-0000-0000-000031010000}"/>
    <cellStyle name="‡_F5" xfId="389" xr:uid="{00000000-0005-0000-0000-000032010000}"/>
    <cellStyle name="‡_F5_BQ Pabrik Biodiesel MM-Btm" xfId="390" xr:uid="{00000000-0005-0000-0000-000033010000}"/>
    <cellStyle name="‡_F5_BQ Pabrik Biodiesel MM-Btm_REKAP UTAMA" xfId="391" xr:uid="{00000000-0005-0000-0000-000034010000}"/>
    <cellStyle name="‡_F5_REKAP UTAMA" xfId="392" xr:uid="{00000000-0005-0000-0000-000035010000}"/>
    <cellStyle name="‡_F6" xfId="393" xr:uid="{00000000-0005-0000-0000-000036010000}"/>
    <cellStyle name="‡_F6_BQ Pabrik Biodiesel MM-Btm" xfId="394" xr:uid="{00000000-0005-0000-0000-000037010000}"/>
    <cellStyle name="‡_F6_BQ Pabrik Biodiesel MM-Btm_REKAP UTAMA" xfId="395" xr:uid="{00000000-0005-0000-0000-000038010000}"/>
    <cellStyle name="‡_F6_REKAP UTAMA" xfId="396" xr:uid="{00000000-0005-0000-0000-000039010000}"/>
    <cellStyle name="‡_Form-Reka-UG Pipe CO2 Removal" xfId="397" xr:uid="{00000000-0005-0000-0000-00003A010000}"/>
    <cellStyle name="‡_Form-Reka-UG Pipe CO2 Removal_BQ &amp; An Pds Gdg - KIM I" xfId="398" xr:uid="{00000000-0005-0000-0000-00003B010000}"/>
    <cellStyle name="‡_Form-Reka-UG Pipe CO2 Removal_BQ &amp; An Pds Gdg - KIM I_REKAP UTAMA" xfId="399" xr:uid="{00000000-0005-0000-0000-00003C010000}"/>
    <cellStyle name="‡_Form-Reka-UG Pipe CO2 Removal_BQ &amp; An Pondasi SEP &amp; WAREHOUSE-KIM I (R-0)" xfId="400" xr:uid="{00000000-0005-0000-0000-00003D010000}"/>
    <cellStyle name="‡_Form-Reka-UG Pipe CO2 Removal_BQ &amp; An Pondasi SEP &amp; WAREHOUSE-KIM I (R-0)_REKAP UTAMA" xfId="401" xr:uid="{00000000-0005-0000-0000-00003E010000}"/>
    <cellStyle name="‡_Form-Reka-UG Pipe CO2 Removal_BQ Pabrik Biodiesel MM-Btm" xfId="402" xr:uid="{00000000-0005-0000-0000-00003F010000}"/>
    <cellStyle name="‡_Form-Reka-UG Pipe CO2 Removal_BQ Pabrik Biodiesel MM-Btm_REKAP UTAMA" xfId="403" xr:uid="{00000000-0005-0000-0000-000040010000}"/>
    <cellStyle name="‡_Form-Reka-UG Pipe CO2 Removal_REKAP UTAMA" xfId="404" xr:uid="{00000000-0005-0000-0000-000041010000}"/>
    <cellStyle name="‡_Indirect Cost-LIRIK" xfId="405" xr:uid="{00000000-0005-0000-0000-000042010000}"/>
    <cellStyle name="‡_Indirect Cost-LIRIK_BQ &amp; An Pds Gdg - KIM I" xfId="406" xr:uid="{00000000-0005-0000-0000-000043010000}"/>
    <cellStyle name="‡_Indirect Cost-LIRIK_BQ &amp; An Pds Gdg - KIM I_REKAP UTAMA" xfId="407" xr:uid="{00000000-0005-0000-0000-000044010000}"/>
    <cellStyle name="‡_Indirect Cost-LIRIK_BQ &amp; An Pondasi SEP &amp; WAREHOUSE-KIM I (R-0)" xfId="408" xr:uid="{00000000-0005-0000-0000-000045010000}"/>
    <cellStyle name="‡_Indirect Cost-LIRIK_BQ &amp; An Pondasi SEP &amp; WAREHOUSE-KIM I (R-0)_REKAP UTAMA" xfId="409" xr:uid="{00000000-0005-0000-0000-000046010000}"/>
    <cellStyle name="‡_Indirect Cost-LIRIK_BQ Pabrik Biodiesel MM-Btm" xfId="410" xr:uid="{00000000-0005-0000-0000-000047010000}"/>
    <cellStyle name="‡_Indirect Cost-LIRIK_BQ Pabrik Biodiesel MM-Btm_REKAP UTAMA" xfId="411" xr:uid="{00000000-0005-0000-0000-000048010000}"/>
    <cellStyle name="‡_Indirect Cost-LIRIK_REKAP UTAMA" xfId="412" xr:uid="{00000000-0005-0000-0000-000049010000}"/>
    <cellStyle name="‡_Managerevdir2" xfId="413" xr:uid="{00000000-0005-0000-0000-00004A010000}"/>
    <cellStyle name="‡_Managerevdir2_AUTO2000" xfId="414" xr:uid="{00000000-0005-0000-0000-00004B010000}"/>
    <cellStyle name="‡_Managerevdir2_AUTO2000_BQ &amp; An Pds Gdg - KIM I" xfId="415" xr:uid="{00000000-0005-0000-0000-00004C010000}"/>
    <cellStyle name="‡_Managerevdir2_AUTO2000_BQ &amp; An Pds Gdg - KIM I_REKAP UTAMA" xfId="416" xr:uid="{00000000-0005-0000-0000-00004D010000}"/>
    <cellStyle name="‡_Managerevdir2_AUTO2000_BQ &amp; An Pondasi SEP &amp; WAREHOUSE-KIM I (R-0)" xfId="417" xr:uid="{00000000-0005-0000-0000-00004E010000}"/>
    <cellStyle name="‡_Managerevdir2_AUTO2000_BQ &amp; An Pondasi SEP &amp; WAREHOUSE-KIM I (R-0)_REKAP UTAMA" xfId="418" xr:uid="{00000000-0005-0000-0000-00004F010000}"/>
    <cellStyle name="‡_Managerevdir2_AUTO2000_BQ Pabrik Biodiesel MM-Btm" xfId="419" xr:uid="{00000000-0005-0000-0000-000050010000}"/>
    <cellStyle name="‡_Managerevdir2_AUTO2000_BQ Pabrik Biodiesel MM-Btm_REKAP UTAMA" xfId="420" xr:uid="{00000000-0005-0000-0000-000051010000}"/>
    <cellStyle name="‡_Managerevdir2_AUTO2000_REKAP UTAMA" xfId="421" xr:uid="{00000000-0005-0000-0000-000052010000}"/>
    <cellStyle name="‡_Managerevdir2_BQ &amp; An Pds Gdg - KIM I" xfId="422" xr:uid="{00000000-0005-0000-0000-000053010000}"/>
    <cellStyle name="‡_Managerevdir2_BQ &amp; An Pds Gdg - KIM I_REKAP UTAMA" xfId="423" xr:uid="{00000000-0005-0000-0000-000054010000}"/>
    <cellStyle name="‡_Managerevdir2_BQ &amp; An Pondasi SEP &amp; WAREHOUSE-KIM I (R-0)" xfId="424" xr:uid="{00000000-0005-0000-0000-000055010000}"/>
    <cellStyle name="‡_Managerevdir2_BQ &amp; An Pondasi SEP &amp; WAREHOUSE-KIM I (R-0)_REKAP UTAMA" xfId="425" xr:uid="{00000000-0005-0000-0000-000056010000}"/>
    <cellStyle name="‡_Managerevdir2_BQ Pabrik Biodiesel MM-Btm" xfId="426" xr:uid="{00000000-0005-0000-0000-000057010000}"/>
    <cellStyle name="‡_Managerevdir2_BQ Pabrik Biodiesel MM-Btm_REKAP UTAMA" xfId="427" xr:uid="{00000000-0005-0000-0000-000058010000}"/>
    <cellStyle name="‡_Managerevdir2_Cost Piping AG Install" xfId="428" xr:uid="{00000000-0005-0000-0000-000059010000}"/>
    <cellStyle name="‡_Managerevdir2_Cost Piping AG Install_BQ &amp; An Pds Gdg - KIM I" xfId="429" xr:uid="{00000000-0005-0000-0000-00005A010000}"/>
    <cellStyle name="‡_Managerevdir2_Cost Piping AG Install_BQ &amp; An Pds Gdg - KIM I_REKAP UTAMA" xfId="430" xr:uid="{00000000-0005-0000-0000-00005B010000}"/>
    <cellStyle name="‡_Managerevdir2_Cost Piping AG Install_BQ &amp; An Pondasi SEP &amp; WAREHOUSE-KIM I (R-0)" xfId="431" xr:uid="{00000000-0005-0000-0000-00005C010000}"/>
    <cellStyle name="‡_Managerevdir2_Cost Piping AG Install_BQ &amp; An Pondasi SEP &amp; WAREHOUSE-KIM I (R-0)_REKAP UTAMA" xfId="432" xr:uid="{00000000-0005-0000-0000-00005D010000}"/>
    <cellStyle name="‡_Managerevdir2_Cost Piping AG Install_BQ Pabrik Biodiesel MM-Btm" xfId="433" xr:uid="{00000000-0005-0000-0000-00005E010000}"/>
    <cellStyle name="‡_Managerevdir2_Cost Piping AG Install_BQ Pabrik Biodiesel MM-Btm_REKAP UTAMA" xfId="434" xr:uid="{00000000-0005-0000-0000-00005F010000}"/>
    <cellStyle name="‡_Managerevdir2_Cost Piping AG Install_REKAP UTAMA" xfId="435" xr:uid="{00000000-0005-0000-0000-000060010000}"/>
    <cellStyle name="‡_Managerevdir2_Cost Piping PIM2revf" xfId="436" xr:uid="{00000000-0005-0000-0000-000061010000}"/>
    <cellStyle name="‡_Managerevdir2_Cost Piping PIM2revf_BQ &amp; An Pds Gdg - KIM I" xfId="437" xr:uid="{00000000-0005-0000-0000-000062010000}"/>
    <cellStyle name="‡_Managerevdir2_Cost Piping PIM2revf_BQ &amp; An Pds Gdg - KIM I_REKAP UTAMA" xfId="438" xr:uid="{00000000-0005-0000-0000-000063010000}"/>
    <cellStyle name="‡_Managerevdir2_Cost Piping PIM2revf_BQ &amp; An Pondasi SEP &amp; WAREHOUSE-KIM I (R-0)" xfId="439" xr:uid="{00000000-0005-0000-0000-000064010000}"/>
    <cellStyle name="‡_Managerevdir2_Cost Piping PIM2revf_BQ &amp; An Pondasi SEP &amp; WAREHOUSE-KIM I (R-0)_REKAP UTAMA" xfId="440" xr:uid="{00000000-0005-0000-0000-000065010000}"/>
    <cellStyle name="‡_Managerevdir2_Cost Piping PIM2revf_BQ Pabrik Biodiesel MM-Btm" xfId="441" xr:uid="{00000000-0005-0000-0000-000066010000}"/>
    <cellStyle name="‡_Managerevdir2_Cost Piping PIM2revf_BQ Pabrik Biodiesel MM-Btm_REKAP UTAMA" xfId="442" xr:uid="{00000000-0005-0000-0000-000067010000}"/>
    <cellStyle name="‡_Managerevdir2_Cost Piping PIM2revf_REKAP UTAMA" xfId="443" xr:uid="{00000000-0005-0000-0000-000068010000}"/>
    <cellStyle name="‡_Managerevdir2_Granulation Rev1 Costdirect Pim2" xfId="444" xr:uid="{00000000-0005-0000-0000-000069010000}"/>
    <cellStyle name="‡_Managerevdir2_Granulation Rev1 Costdirect Pim2_BQ &amp; An Pds Gdg - KIM I" xfId="445" xr:uid="{00000000-0005-0000-0000-00006A010000}"/>
    <cellStyle name="‡_Managerevdir2_Granulation Rev1 Costdirect Pim2_BQ &amp; An Pds Gdg - KIM I_REKAP UTAMA" xfId="446" xr:uid="{00000000-0005-0000-0000-00006B010000}"/>
    <cellStyle name="‡_Managerevdir2_Granulation Rev1 Costdirect Pim2_BQ &amp; An Pondasi SEP &amp; WAREHOUSE-KIM I (R-0)" xfId="447" xr:uid="{00000000-0005-0000-0000-00006C010000}"/>
    <cellStyle name="‡_Managerevdir2_Granulation Rev1 Costdirect Pim2_BQ &amp; An Pondasi SEP &amp; WAREHOUSE-KIM I (R-0)_REKAP UTAMA" xfId="448" xr:uid="{00000000-0005-0000-0000-00006D010000}"/>
    <cellStyle name="‡_Managerevdir2_Granulation Rev1 Costdirect Pim2_BQ Pabrik Biodiesel MM-Btm" xfId="449" xr:uid="{00000000-0005-0000-0000-00006E010000}"/>
    <cellStyle name="‡_Managerevdir2_Granulation Rev1 Costdirect Pim2_BQ Pabrik Biodiesel MM-Btm_REKAP UTAMA" xfId="450" xr:uid="{00000000-0005-0000-0000-00006F010000}"/>
    <cellStyle name="‡_Managerevdir2_Granulation Rev1 Costdirect Pim2_REKAP UTAMA" xfId="451" xr:uid="{00000000-0005-0000-0000-000070010000}"/>
    <cellStyle name="‡_Managerevdir2_price toolrev1" xfId="452" xr:uid="{00000000-0005-0000-0000-000071010000}"/>
    <cellStyle name="‡_Managerevdir2_price toolrev1_BQ &amp; An Pds Gdg - KIM I" xfId="453" xr:uid="{00000000-0005-0000-0000-000072010000}"/>
    <cellStyle name="‡_Managerevdir2_price toolrev1_BQ &amp; An Pds Gdg - KIM I_REKAP UTAMA" xfId="454" xr:uid="{00000000-0005-0000-0000-000073010000}"/>
    <cellStyle name="‡_Managerevdir2_price toolrev1_BQ &amp; An Pondasi SEP &amp; WAREHOUSE-KIM I (R-0)" xfId="455" xr:uid="{00000000-0005-0000-0000-000074010000}"/>
    <cellStyle name="‡_Managerevdir2_price toolrev1_BQ &amp; An Pondasi SEP &amp; WAREHOUSE-KIM I (R-0)_REKAP UTAMA" xfId="456" xr:uid="{00000000-0005-0000-0000-000075010000}"/>
    <cellStyle name="‡_Managerevdir2_price toolrev1_BQ Pabrik Biodiesel MM-Btm" xfId="457" xr:uid="{00000000-0005-0000-0000-000076010000}"/>
    <cellStyle name="‡_Managerevdir2_price toolrev1_BQ Pabrik Biodiesel MM-Btm_REKAP UTAMA" xfId="458" xr:uid="{00000000-0005-0000-0000-000077010000}"/>
    <cellStyle name="‡_Managerevdir2_price toolrev1_REKAP UTAMA" xfId="459" xr:uid="{00000000-0005-0000-0000-000078010000}"/>
    <cellStyle name="‡_Managerevdir2_REKAP UTAMA" xfId="460" xr:uid="{00000000-0005-0000-0000-000079010000}"/>
    <cellStyle name="‡_Managerevdir2_std" xfId="461" xr:uid="{00000000-0005-0000-0000-00007A010000}"/>
    <cellStyle name="‡_Managerevdir2_std_BQ &amp; An Pds Gdg - KIM I" xfId="462" xr:uid="{00000000-0005-0000-0000-00007B010000}"/>
    <cellStyle name="‡_Managerevdir2_std_BQ &amp; An Pds Gdg - KIM I_REKAP UTAMA" xfId="463" xr:uid="{00000000-0005-0000-0000-00007C010000}"/>
    <cellStyle name="‡_Managerevdir2_std_BQ &amp; An Pondasi SEP &amp; WAREHOUSE-KIM I (R-0)" xfId="464" xr:uid="{00000000-0005-0000-0000-00007D010000}"/>
    <cellStyle name="‡_Managerevdir2_std_BQ &amp; An Pondasi SEP &amp; WAREHOUSE-KIM I (R-0)_REKAP UTAMA" xfId="465" xr:uid="{00000000-0005-0000-0000-00007E010000}"/>
    <cellStyle name="‡_Managerevdir2_std_BQ Pabrik Biodiesel MM-Btm" xfId="466" xr:uid="{00000000-0005-0000-0000-00007F010000}"/>
    <cellStyle name="‡_Managerevdir2_std_BQ Pabrik Biodiesel MM-Btm_REKAP UTAMA" xfId="467" xr:uid="{00000000-0005-0000-0000-000080010000}"/>
    <cellStyle name="‡_Managerevdir2_std_REKAP UTAMA" xfId="468" xr:uid="{00000000-0005-0000-0000-000081010000}"/>
    <cellStyle name="‡_Managerevdir2_Tie-in-Budget-1" xfId="469" xr:uid="{00000000-0005-0000-0000-000082010000}"/>
    <cellStyle name="‡_Managerevdir2_Tie-in-Budget-1_BQ &amp; An Pds Gdg - KIM I" xfId="470" xr:uid="{00000000-0005-0000-0000-000083010000}"/>
    <cellStyle name="‡_Managerevdir2_Tie-in-Budget-1_BQ &amp; An Pds Gdg - KIM I_REKAP UTAMA" xfId="471" xr:uid="{00000000-0005-0000-0000-000084010000}"/>
    <cellStyle name="‡_Managerevdir2_Tie-in-Budget-1_BQ &amp; An Pondasi SEP &amp; WAREHOUSE-KIM I (R-0)" xfId="472" xr:uid="{00000000-0005-0000-0000-000085010000}"/>
    <cellStyle name="‡_Managerevdir2_Tie-in-Budget-1_BQ &amp; An Pondasi SEP &amp; WAREHOUSE-KIM I (R-0)_REKAP UTAMA" xfId="473" xr:uid="{00000000-0005-0000-0000-000086010000}"/>
    <cellStyle name="‡_Managerevdir2_Tie-in-Budget-1_BQ Pabrik Biodiesel MM-Btm" xfId="474" xr:uid="{00000000-0005-0000-0000-000087010000}"/>
    <cellStyle name="‡_Managerevdir2_Tie-in-Budget-1_BQ Pabrik Biodiesel MM-Btm_REKAP UTAMA" xfId="475" xr:uid="{00000000-0005-0000-0000-000088010000}"/>
    <cellStyle name="‡_Managerevdir2_Tie-in-Budget-1_REKAP UTAMA" xfId="476" xr:uid="{00000000-0005-0000-0000-000089010000}"/>
    <cellStyle name="‡_me-AAF-COMBINED" xfId="477" xr:uid="{00000000-0005-0000-0000-00008A010000}"/>
    <cellStyle name="‡_me-AAF-COMBINED_AUTO2000" xfId="478" xr:uid="{00000000-0005-0000-0000-00008B010000}"/>
    <cellStyle name="‡_me-AAF-COMBINED_AUTO2000_BQ &amp; An Pds Gdg - KIM I" xfId="479" xr:uid="{00000000-0005-0000-0000-00008C010000}"/>
    <cellStyle name="‡_me-AAF-COMBINED_AUTO2000_BQ &amp; An Pds Gdg - KIM I_REKAP UTAMA" xfId="480" xr:uid="{00000000-0005-0000-0000-00008D010000}"/>
    <cellStyle name="‡_me-AAF-COMBINED_AUTO2000_BQ &amp; An Pondasi SEP &amp; WAREHOUSE-KIM I (R-0)" xfId="481" xr:uid="{00000000-0005-0000-0000-00008E010000}"/>
    <cellStyle name="‡_me-AAF-COMBINED_AUTO2000_BQ &amp; An Pondasi SEP &amp; WAREHOUSE-KIM I (R-0)_REKAP UTAMA" xfId="482" xr:uid="{00000000-0005-0000-0000-00008F010000}"/>
    <cellStyle name="‡_me-AAF-COMBINED_AUTO2000_BQ Pabrik Biodiesel MM-Btm" xfId="483" xr:uid="{00000000-0005-0000-0000-000090010000}"/>
    <cellStyle name="‡_me-AAF-COMBINED_AUTO2000_BQ Pabrik Biodiesel MM-Btm_REKAP UTAMA" xfId="484" xr:uid="{00000000-0005-0000-0000-000091010000}"/>
    <cellStyle name="‡_me-AAF-COMBINED_AUTO2000_REKAP UTAMA" xfId="485" xr:uid="{00000000-0005-0000-0000-000092010000}"/>
    <cellStyle name="‡_me-AAF-COMBINED_BQ &amp; An Pds Gdg - KIM I" xfId="486" xr:uid="{00000000-0005-0000-0000-000093010000}"/>
    <cellStyle name="‡_me-AAF-COMBINED_BQ &amp; An Pds Gdg - KIM I_REKAP UTAMA" xfId="487" xr:uid="{00000000-0005-0000-0000-000094010000}"/>
    <cellStyle name="‡_me-AAF-COMBINED_BQ &amp; An Pondasi SEP &amp; WAREHOUSE-KIM I (R-0)" xfId="488" xr:uid="{00000000-0005-0000-0000-000095010000}"/>
    <cellStyle name="‡_me-AAF-COMBINED_BQ &amp; An Pondasi SEP &amp; WAREHOUSE-KIM I (R-0)_REKAP UTAMA" xfId="489" xr:uid="{00000000-0005-0000-0000-000096010000}"/>
    <cellStyle name="‡_me-AAF-COMBINED_BQ Pabrik Biodiesel MM-Btm" xfId="490" xr:uid="{00000000-0005-0000-0000-000097010000}"/>
    <cellStyle name="‡_me-AAF-COMBINED_BQ Pabrik Biodiesel MM-Btm_REKAP UTAMA" xfId="491" xr:uid="{00000000-0005-0000-0000-000098010000}"/>
    <cellStyle name="‡_me-AAF-COMBINED_REKAP UTAMA" xfId="492" xr:uid="{00000000-0005-0000-0000-000099010000}"/>
    <cellStyle name="‡_Mekanikal Indobharat-3" xfId="493" xr:uid="{00000000-0005-0000-0000-00009A010000}"/>
    <cellStyle name="‡_Mekanikal Indobharat-3_BQ &amp; An Pds Gdg - KIM I" xfId="494" xr:uid="{00000000-0005-0000-0000-00009B010000}"/>
    <cellStyle name="‡_Mekanikal Indobharat-3_BQ &amp; An Pds Gdg - KIM I_REKAP UTAMA" xfId="495" xr:uid="{00000000-0005-0000-0000-00009C010000}"/>
    <cellStyle name="‡_Mekanikal Indobharat-3_BQ &amp; An Pondasi SEP &amp; WAREHOUSE-KIM I (R-0)" xfId="496" xr:uid="{00000000-0005-0000-0000-00009D010000}"/>
    <cellStyle name="‡_Mekanikal Indobharat-3_BQ &amp; An Pondasi SEP &amp; WAREHOUSE-KIM I (R-0)_REKAP UTAMA" xfId="497" xr:uid="{00000000-0005-0000-0000-00009E010000}"/>
    <cellStyle name="‡_Mekanikal Indobharat-3_BQ Pabrik Biodiesel MM-Btm" xfId="498" xr:uid="{00000000-0005-0000-0000-00009F010000}"/>
    <cellStyle name="‡_Mekanikal Indobharat-3_BQ Pabrik Biodiesel MM-Btm_REKAP UTAMA" xfId="499" xr:uid="{00000000-0005-0000-0000-0000A0010000}"/>
    <cellStyle name="‡_Mekanikal Indobharat-3_REKAP UTAMA" xfId="500" xr:uid="{00000000-0005-0000-0000-0000A1010000}"/>
    <cellStyle name="‡_PEB Blue sky Piping tie-in-Package-1" xfId="501" xr:uid="{00000000-0005-0000-0000-0000A2010000}"/>
    <cellStyle name="‡_PEB Blue sky Piping tie-in-Package-1_BQ &amp; An Pds Gdg - KIM I" xfId="502" xr:uid="{00000000-0005-0000-0000-0000A3010000}"/>
    <cellStyle name="‡_PEB Blue sky Piping tie-in-Package-1_BQ &amp; An Pds Gdg - KIM I_REKAP UTAMA" xfId="503" xr:uid="{00000000-0005-0000-0000-0000A4010000}"/>
    <cellStyle name="‡_PEB Blue sky Piping tie-in-Package-1_BQ &amp; An Pondasi SEP &amp; WAREHOUSE-KIM I (R-0)" xfId="504" xr:uid="{00000000-0005-0000-0000-0000A5010000}"/>
    <cellStyle name="‡_PEB Blue sky Piping tie-in-Package-1_BQ &amp; An Pondasi SEP &amp; WAREHOUSE-KIM I (R-0)_REKAP UTAMA" xfId="505" xr:uid="{00000000-0005-0000-0000-0000A6010000}"/>
    <cellStyle name="‡_PEB Blue sky Piping tie-in-Package-1_BQ Pabrik Biodiesel MM-Btm" xfId="506" xr:uid="{00000000-0005-0000-0000-0000A7010000}"/>
    <cellStyle name="‡_PEB Blue sky Piping tie-in-Package-1_BQ Pabrik Biodiesel MM-Btm_REKAP UTAMA" xfId="507" xr:uid="{00000000-0005-0000-0000-0000A8010000}"/>
    <cellStyle name="‡_PEB Blue sky Piping tie-in-Package-1_REKAP UTAMA" xfId="508" xr:uid="{00000000-0005-0000-0000-0000A9010000}"/>
    <cellStyle name="‡_Piping" xfId="509" xr:uid="{00000000-0005-0000-0000-0000AA010000}"/>
    <cellStyle name="‡_Piping &amp; Mechanical" xfId="510" xr:uid="{00000000-0005-0000-0000-0000AB010000}"/>
    <cellStyle name="‡_Piping &amp; Mechanical_BQ &amp; An Pds Gdg - KIM I" xfId="511" xr:uid="{00000000-0005-0000-0000-0000AC010000}"/>
    <cellStyle name="‡_Piping &amp; Mechanical_BQ &amp; An Pds Gdg - KIM I_REKAP UTAMA" xfId="512" xr:uid="{00000000-0005-0000-0000-0000AD010000}"/>
    <cellStyle name="‡_Piping &amp; Mechanical_BQ &amp; An Pondasi SEP &amp; WAREHOUSE-KIM I (R-0)" xfId="513" xr:uid="{00000000-0005-0000-0000-0000AE010000}"/>
    <cellStyle name="‡_Piping &amp; Mechanical_BQ &amp; An Pondasi SEP &amp; WAREHOUSE-KIM I (R-0)_REKAP UTAMA" xfId="514" xr:uid="{00000000-0005-0000-0000-0000AF010000}"/>
    <cellStyle name="‡_Piping &amp; Mechanical_BQ Pabrik Biodiesel MM-Btm" xfId="515" xr:uid="{00000000-0005-0000-0000-0000B0010000}"/>
    <cellStyle name="‡_Piping &amp; Mechanical_BQ Pabrik Biodiesel MM-Btm_REKAP UTAMA" xfId="516" xr:uid="{00000000-0005-0000-0000-0000B1010000}"/>
    <cellStyle name="‡_Piping &amp; Mechanical_REKAP UTAMA" xfId="517" xr:uid="{00000000-0005-0000-0000-0000B2010000}"/>
    <cellStyle name="‡_Piping_AUTO2000" xfId="518" xr:uid="{00000000-0005-0000-0000-0000B3010000}"/>
    <cellStyle name="‡_Piping_AUTO2000_BQ &amp; An Pds Gdg - KIM I" xfId="519" xr:uid="{00000000-0005-0000-0000-0000B4010000}"/>
    <cellStyle name="‡_Piping_AUTO2000_BQ &amp; An Pds Gdg - KIM I_REKAP UTAMA" xfId="520" xr:uid="{00000000-0005-0000-0000-0000B5010000}"/>
    <cellStyle name="‡_Piping_AUTO2000_BQ &amp; An Pondasi SEP &amp; WAREHOUSE-KIM I (R-0)" xfId="521" xr:uid="{00000000-0005-0000-0000-0000B6010000}"/>
    <cellStyle name="‡_Piping_AUTO2000_BQ &amp; An Pondasi SEP &amp; WAREHOUSE-KIM I (R-0)_REKAP UTAMA" xfId="522" xr:uid="{00000000-0005-0000-0000-0000B7010000}"/>
    <cellStyle name="‡_Piping_AUTO2000_BQ Pabrik Biodiesel MM-Btm" xfId="523" xr:uid="{00000000-0005-0000-0000-0000B8010000}"/>
    <cellStyle name="‡_Piping_AUTO2000_BQ Pabrik Biodiesel MM-Btm_REKAP UTAMA" xfId="524" xr:uid="{00000000-0005-0000-0000-0000B9010000}"/>
    <cellStyle name="‡_Piping_AUTO2000_REKAP UTAMA" xfId="525" xr:uid="{00000000-0005-0000-0000-0000BA010000}"/>
    <cellStyle name="‡_Piping_BQ &amp; An Pds Gdg - KIM I" xfId="526" xr:uid="{00000000-0005-0000-0000-0000BB010000}"/>
    <cellStyle name="‡_Piping_BQ &amp; An Pds Gdg - KIM I_REKAP UTAMA" xfId="527" xr:uid="{00000000-0005-0000-0000-0000BC010000}"/>
    <cellStyle name="‡_Piping_BQ &amp; An Pondasi SEP &amp; WAREHOUSE-KIM I (R-0)" xfId="528" xr:uid="{00000000-0005-0000-0000-0000BD010000}"/>
    <cellStyle name="‡_Piping_BQ &amp; An Pondasi SEP &amp; WAREHOUSE-KIM I (R-0)_REKAP UTAMA" xfId="529" xr:uid="{00000000-0005-0000-0000-0000BE010000}"/>
    <cellStyle name="‡_Piping_BQ Pabrik Biodiesel MM-Btm" xfId="530" xr:uid="{00000000-0005-0000-0000-0000BF010000}"/>
    <cellStyle name="‡_Piping_BQ Pabrik Biodiesel MM-Btm_REKAP UTAMA" xfId="531" xr:uid="{00000000-0005-0000-0000-0000C0010000}"/>
    <cellStyle name="‡_Piping_Cost Piping AG Install" xfId="532" xr:uid="{00000000-0005-0000-0000-0000C1010000}"/>
    <cellStyle name="‡_Piping_Cost Piping AG Install_BQ &amp; An Pds Gdg - KIM I" xfId="533" xr:uid="{00000000-0005-0000-0000-0000C2010000}"/>
    <cellStyle name="‡_Piping_Cost Piping AG Install_BQ &amp; An Pds Gdg - KIM I_REKAP UTAMA" xfId="534" xr:uid="{00000000-0005-0000-0000-0000C3010000}"/>
    <cellStyle name="‡_Piping_Cost Piping AG Install_BQ &amp; An Pondasi SEP &amp; WAREHOUSE-KIM I (R-0)" xfId="535" xr:uid="{00000000-0005-0000-0000-0000C4010000}"/>
    <cellStyle name="‡_Piping_Cost Piping AG Install_BQ &amp; An Pondasi SEP &amp; WAREHOUSE-KIM I (R-0)_REKAP UTAMA" xfId="536" xr:uid="{00000000-0005-0000-0000-0000C5010000}"/>
    <cellStyle name="‡_Piping_Cost Piping AG Install_BQ Pabrik Biodiesel MM-Btm" xfId="537" xr:uid="{00000000-0005-0000-0000-0000C6010000}"/>
    <cellStyle name="‡_Piping_Cost Piping AG Install_BQ Pabrik Biodiesel MM-Btm_REKAP UTAMA" xfId="538" xr:uid="{00000000-0005-0000-0000-0000C7010000}"/>
    <cellStyle name="‡_Piping_Cost Piping AG Install_REKAP UTAMA" xfId="539" xr:uid="{00000000-0005-0000-0000-0000C8010000}"/>
    <cellStyle name="‡_Piping_Cost Piping PIM2revf" xfId="540" xr:uid="{00000000-0005-0000-0000-0000C9010000}"/>
    <cellStyle name="‡_Piping_Cost Piping PIM2revf_BQ &amp; An Pds Gdg - KIM I" xfId="541" xr:uid="{00000000-0005-0000-0000-0000CA010000}"/>
    <cellStyle name="‡_Piping_Cost Piping PIM2revf_BQ &amp; An Pds Gdg - KIM I_REKAP UTAMA" xfId="542" xr:uid="{00000000-0005-0000-0000-0000CB010000}"/>
    <cellStyle name="‡_Piping_Cost Piping PIM2revf_BQ &amp; An Pondasi SEP &amp; WAREHOUSE-KIM I (R-0)" xfId="543" xr:uid="{00000000-0005-0000-0000-0000CC010000}"/>
    <cellStyle name="‡_Piping_Cost Piping PIM2revf_BQ &amp; An Pondasi SEP &amp; WAREHOUSE-KIM I (R-0)_REKAP UTAMA" xfId="544" xr:uid="{00000000-0005-0000-0000-0000CD010000}"/>
    <cellStyle name="‡_Piping_Cost Piping PIM2revf_BQ Pabrik Biodiesel MM-Btm" xfId="545" xr:uid="{00000000-0005-0000-0000-0000CE010000}"/>
    <cellStyle name="‡_Piping_Cost Piping PIM2revf_BQ Pabrik Biodiesel MM-Btm_REKAP UTAMA" xfId="546" xr:uid="{00000000-0005-0000-0000-0000CF010000}"/>
    <cellStyle name="‡_Piping_Cost Piping PIM2revf_REKAP UTAMA" xfId="547" xr:uid="{00000000-0005-0000-0000-0000D0010000}"/>
    <cellStyle name="‡_Piping_Granulation Rev1 Costdirect Pim2" xfId="548" xr:uid="{00000000-0005-0000-0000-0000D1010000}"/>
    <cellStyle name="‡_Piping_Granulation Rev1 Costdirect Pim2_BQ &amp; An Pds Gdg - KIM I" xfId="549" xr:uid="{00000000-0005-0000-0000-0000D2010000}"/>
    <cellStyle name="‡_Piping_Granulation Rev1 Costdirect Pim2_BQ &amp; An Pds Gdg - KIM I_REKAP UTAMA" xfId="550" xr:uid="{00000000-0005-0000-0000-0000D3010000}"/>
    <cellStyle name="‡_Piping_Granulation Rev1 Costdirect Pim2_BQ &amp; An Pondasi SEP &amp; WAREHOUSE-KIM I (R-0)" xfId="551" xr:uid="{00000000-0005-0000-0000-0000D4010000}"/>
    <cellStyle name="‡_Piping_Granulation Rev1 Costdirect Pim2_BQ &amp; An Pondasi SEP &amp; WAREHOUSE-KIM I (R-0)_REKAP UTAMA" xfId="552" xr:uid="{00000000-0005-0000-0000-0000D5010000}"/>
    <cellStyle name="‡_Piping_Granulation Rev1 Costdirect Pim2_BQ Pabrik Biodiesel MM-Btm" xfId="553" xr:uid="{00000000-0005-0000-0000-0000D6010000}"/>
    <cellStyle name="‡_Piping_Granulation Rev1 Costdirect Pim2_BQ Pabrik Biodiesel MM-Btm_REKAP UTAMA" xfId="554" xr:uid="{00000000-0005-0000-0000-0000D7010000}"/>
    <cellStyle name="‡_Piping_Granulation Rev1 Costdirect Pim2_REKAP UTAMA" xfId="555" xr:uid="{00000000-0005-0000-0000-0000D8010000}"/>
    <cellStyle name="‡_Piping_price toolrev1" xfId="556" xr:uid="{00000000-0005-0000-0000-0000D9010000}"/>
    <cellStyle name="‡_Piping_price toolrev1_BQ &amp; An Pds Gdg - KIM I" xfId="557" xr:uid="{00000000-0005-0000-0000-0000DA010000}"/>
    <cellStyle name="‡_Piping_price toolrev1_BQ &amp; An Pds Gdg - KIM I_REKAP UTAMA" xfId="558" xr:uid="{00000000-0005-0000-0000-0000DB010000}"/>
    <cellStyle name="‡_Piping_price toolrev1_BQ &amp; An Pondasi SEP &amp; WAREHOUSE-KIM I (R-0)" xfId="559" xr:uid="{00000000-0005-0000-0000-0000DC010000}"/>
    <cellStyle name="‡_Piping_price toolrev1_BQ &amp; An Pondasi SEP &amp; WAREHOUSE-KIM I (R-0)_REKAP UTAMA" xfId="560" xr:uid="{00000000-0005-0000-0000-0000DD010000}"/>
    <cellStyle name="‡_Piping_price toolrev1_BQ Pabrik Biodiesel MM-Btm" xfId="561" xr:uid="{00000000-0005-0000-0000-0000DE010000}"/>
    <cellStyle name="‡_Piping_price toolrev1_BQ Pabrik Biodiesel MM-Btm_REKAP UTAMA" xfId="562" xr:uid="{00000000-0005-0000-0000-0000DF010000}"/>
    <cellStyle name="‡_Piping_price toolrev1_REKAP UTAMA" xfId="563" xr:uid="{00000000-0005-0000-0000-0000E0010000}"/>
    <cellStyle name="‡_Piping_REKAP UTAMA" xfId="564" xr:uid="{00000000-0005-0000-0000-0000E1010000}"/>
    <cellStyle name="‡_Piping_std" xfId="565" xr:uid="{00000000-0005-0000-0000-0000E2010000}"/>
    <cellStyle name="‡_Piping_std_BQ &amp; An Pds Gdg - KIM I" xfId="566" xr:uid="{00000000-0005-0000-0000-0000E3010000}"/>
    <cellStyle name="‡_Piping_std_BQ &amp; An Pds Gdg - KIM I_REKAP UTAMA" xfId="567" xr:uid="{00000000-0005-0000-0000-0000E4010000}"/>
    <cellStyle name="‡_Piping_std_BQ &amp; An Pondasi SEP &amp; WAREHOUSE-KIM I (R-0)" xfId="568" xr:uid="{00000000-0005-0000-0000-0000E5010000}"/>
    <cellStyle name="‡_Piping_std_BQ &amp; An Pondasi SEP &amp; WAREHOUSE-KIM I (R-0)_REKAP UTAMA" xfId="569" xr:uid="{00000000-0005-0000-0000-0000E6010000}"/>
    <cellStyle name="‡_Piping_std_BQ Pabrik Biodiesel MM-Btm" xfId="570" xr:uid="{00000000-0005-0000-0000-0000E7010000}"/>
    <cellStyle name="‡_Piping_std_BQ Pabrik Biodiesel MM-Btm_REKAP UTAMA" xfId="571" xr:uid="{00000000-0005-0000-0000-0000E8010000}"/>
    <cellStyle name="‡_Piping_std_REKAP UTAMA" xfId="572" xr:uid="{00000000-0005-0000-0000-0000E9010000}"/>
    <cellStyle name="‡_Piping_Tie-in-Budget-1" xfId="573" xr:uid="{00000000-0005-0000-0000-0000EA010000}"/>
    <cellStyle name="‡_Piping_Tie-in-Budget-1_BQ &amp; An Pds Gdg - KIM I" xfId="574" xr:uid="{00000000-0005-0000-0000-0000EB010000}"/>
    <cellStyle name="‡_Piping_Tie-in-Budget-1_BQ &amp; An Pds Gdg - KIM I_REKAP UTAMA" xfId="575" xr:uid="{00000000-0005-0000-0000-0000EC010000}"/>
    <cellStyle name="‡_Piping_Tie-in-Budget-1_BQ &amp; An Pondasi SEP &amp; WAREHOUSE-KIM I (R-0)" xfId="576" xr:uid="{00000000-0005-0000-0000-0000ED010000}"/>
    <cellStyle name="‡_Piping_Tie-in-Budget-1_BQ &amp; An Pondasi SEP &amp; WAREHOUSE-KIM I (R-0)_REKAP UTAMA" xfId="577" xr:uid="{00000000-0005-0000-0000-0000EE010000}"/>
    <cellStyle name="‡_Piping_Tie-in-Budget-1_BQ Pabrik Biodiesel MM-Btm" xfId="578" xr:uid="{00000000-0005-0000-0000-0000EF010000}"/>
    <cellStyle name="‡_Piping_Tie-in-Budget-1_BQ Pabrik Biodiesel MM-Btm_REKAP UTAMA" xfId="579" xr:uid="{00000000-0005-0000-0000-0000F0010000}"/>
    <cellStyle name="‡_Piping_Tie-in-Budget-1_REKAP UTAMA" xfId="580" xr:uid="{00000000-0005-0000-0000-0000F1010000}"/>
    <cellStyle name="‡_Piping-CostCO2" xfId="581" xr:uid="{00000000-0005-0000-0000-0000F2010000}"/>
    <cellStyle name="‡_Piping-CostCO2_AUTO2000" xfId="582" xr:uid="{00000000-0005-0000-0000-0000F3010000}"/>
    <cellStyle name="‡_Piping-CostCO2_AUTO2000_BQ &amp; An Pds Gdg - KIM I" xfId="583" xr:uid="{00000000-0005-0000-0000-0000F4010000}"/>
    <cellStyle name="‡_Piping-CostCO2_AUTO2000_BQ &amp; An Pds Gdg - KIM I_REKAP UTAMA" xfId="584" xr:uid="{00000000-0005-0000-0000-0000F5010000}"/>
    <cellStyle name="‡_Piping-CostCO2_AUTO2000_BQ &amp; An Pondasi SEP &amp; WAREHOUSE-KIM I (R-0)" xfId="585" xr:uid="{00000000-0005-0000-0000-0000F6010000}"/>
    <cellStyle name="‡_Piping-CostCO2_AUTO2000_BQ &amp; An Pondasi SEP &amp; WAREHOUSE-KIM I (R-0)_REKAP UTAMA" xfId="586" xr:uid="{00000000-0005-0000-0000-0000F7010000}"/>
    <cellStyle name="‡_Piping-CostCO2_AUTO2000_BQ Pabrik Biodiesel MM-Btm" xfId="587" xr:uid="{00000000-0005-0000-0000-0000F8010000}"/>
    <cellStyle name="‡_Piping-CostCO2_AUTO2000_BQ Pabrik Biodiesel MM-Btm_REKAP UTAMA" xfId="588" xr:uid="{00000000-0005-0000-0000-0000F9010000}"/>
    <cellStyle name="‡_Piping-CostCO2_AUTO2000_REKAP UTAMA" xfId="589" xr:uid="{00000000-0005-0000-0000-0000FA010000}"/>
    <cellStyle name="‡_Piping-CostCO2_BQ &amp; An Pds Gdg - KIM I" xfId="590" xr:uid="{00000000-0005-0000-0000-0000FB010000}"/>
    <cellStyle name="‡_Piping-CostCO2_BQ &amp; An Pds Gdg - KIM I_REKAP UTAMA" xfId="591" xr:uid="{00000000-0005-0000-0000-0000FC010000}"/>
    <cellStyle name="‡_Piping-CostCO2_BQ &amp; An Pondasi SEP &amp; WAREHOUSE-KIM I (R-0)" xfId="592" xr:uid="{00000000-0005-0000-0000-0000FD010000}"/>
    <cellStyle name="‡_Piping-CostCO2_BQ &amp; An Pondasi SEP &amp; WAREHOUSE-KIM I (R-0)_REKAP UTAMA" xfId="593" xr:uid="{00000000-0005-0000-0000-0000FE010000}"/>
    <cellStyle name="‡_Piping-CostCO2_BQ Pabrik Biodiesel MM-Btm" xfId="594" xr:uid="{00000000-0005-0000-0000-0000FF010000}"/>
    <cellStyle name="‡_Piping-CostCO2_BQ Pabrik Biodiesel MM-Btm_REKAP UTAMA" xfId="595" xr:uid="{00000000-0005-0000-0000-000000020000}"/>
    <cellStyle name="‡_Piping-CostCO2_REKAP UTAMA" xfId="596" xr:uid="{00000000-0005-0000-0000-000001020000}"/>
    <cellStyle name="‡_Piping-Costrev2" xfId="597" xr:uid="{00000000-0005-0000-0000-000002020000}"/>
    <cellStyle name="‡_Piping-Costrev2_AUTO2000" xfId="598" xr:uid="{00000000-0005-0000-0000-000003020000}"/>
    <cellStyle name="‡_Piping-Costrev2_AUTO2000_BQ &amp; An Pds Gdg - KIM I" xfId="599" xr:uid="{00000000-0005-0000-0000-000004020000}"/>
    <cellStyle name="‡_Piping-Costrev2_AUTO2000_BQ &amp; An Pds Gdg - KIM I_REKAP UTAMA" xfId="600" xr:uid="{00000000-0005-0000-0000-000005020000}"/>
    <cellStyle name="‡_Piping-Costrev2_AUTO2000_BQ &amp; An Pondasi SEP &amp; WAREHOUSE-KIM I (R-0)" xfId="601" xr:uid="{00000000-0005-0000-0000-000006020000}"/>
    <cellStyle name="‡_Piping-Costrev2_AUTO2000_BQ &amp; An Pondasi SEP &amp; WAREHOUSE-KIM I (R-0)_REKAP UTAMA" xfId="602" xr:uid="{00000000-0005-0000-0000-000007020000}"/>
    <cellStyle name="‡_Piping-Costrev2_AUTO2000_BQ Pabrik Biodiesel MM-Btm" xfId="603" xr:uid="{00000000-0005-0000-0000-000008020000}"/>
    <cellStyle name="‡_Piping-Costrev2_AUTO2000_BQ Pabrik Biodiesel MM-Btm_REKAP UTAMA" xfId="604" xr:uid="{00000000-0005-0000-0000-000009020000}"/>
    <cellStyle name="‡_Piping-Costrev2_AUTO2000_REKAP UTAMA" xfId="605" xr:uid="{00000000-0005-0000-0000-00000A020000}"/>
    <cellStyle name="‡_Piping-Costrev2_BQ &amp; An Pds Gdg - KIM I" xfId="606" xr:uid="{00000000-0005-0000-0000-00000B020000}"/>
    <cellStyle name="‡_Piping-Costrev2_BQ &amp; An Pds Gdg - KIM I_REKAP UTAMA" xfId="607" xr:uid="{00000000-0005-0000-0000-00000C020000}"/>
    <cellStyle name="‡_Piping-Costrev2_BQ &amp; An Pondasi SEP &amp; WAREHOUSE-KIM I (R-0)" xfId="608" xr:uid="{00000000-0005-0000-0000-00000D020000}"/>
    <cellStyle name="‡_Piping-Costrev2_BQ &amp; An Pondasi SEP &amp; WAREHOUSE-KIM I (R-0)_REKAP UTAMA" xfId="609" xr:uid="{00000000-0005-0000-0000-00000E020000}"/>
    <cellStyle name="‡_Piping-Costrev2_BQ Pabrik Biodiesel MM-Btm" xfId="610" xr:uid="{00000000-0005-0000-0000-00000F020000}"/>
    <cellStyle name="‡_Piping-Costrev2_BQ Pabrik Biodiesel MM-Btm_REKAP UTAMA" xfId="611" xr:uid="{00000000-0005-0000-0000-000010020000}"/>
    <cellStyle name="‡_Piping-Costrev2_REKAP UTAMA" xfId="612" xr:uid="{00000000-0005-0000-0000-000011020000}"/>
    <cellStyle name="‡_PLDT" xfId="613" xr:uid="{00000000-0005-0000-0000-000012020000}"/>
    <cellStyle name="‡_RAB ARSITEK IRNA 1 R 1213.02" xfId="614" xr:uid="{00000000-0005-0000-0000-000013020000}"/>
    <cellStyle name="‡_RAB ARSITEK PAGAR R 1213.09" xfId="615" xr:uid="{00000000-0005-0000-0000-000014020000}"/>
    <cellStyle name="‡_REKAP UTAMA" xfId="616" xr:uid="{00000000-0005-0000-0000-000015020000}"/>
    <cellStyle name="‡_STA-DRP" xfId="617" xr:uid="{00000000-0005-0000-0000-000016020000}"/>
    <cellStyle name="‡_STA-DRP_3.RAB ARSITEK IRNA 1 R 1213.09" xfId="618" xr:uid="{00000000-0005-0000-0000-000017020000}"/>
    <cellStyle name="‡_STA-DRP_3.RAB ARSITEK SELASAR R 1213.09" xfId="619" xr:uid="{00000000-0005-0000-0000-000018020000}"/>
    <cellStyle name="‡_STA-DRP_BOOK1" xfId="620" xr:uid="{00000000-0005-0000-0000-000019020000}"/>
    <cellStyle name="‡_STA-DRP_BQ &amp; An Pds Gdg - KIM I" xfId="621" xr:uid="{00000000-0005-0000-0000-00001A020000}"/>
    <cellStyle name="‡_STA-DRP_BQ &amp; An Pds Gdg - KIM I_REKAP UTAMA" xfId="622" xr:uid="{00000000-0005-0000-0000-00001B020000}"/>
    <cellStyle name="‡_STA-DRP_BQ &amp; An Pondasi SEP &amp; WAREHOUSE-KIM I (R-0)" xfId="623" xr:uid="{00000000-0005-0000-0000-00001C020000}"/>
    <cellStyle name="‡_STA-DRP_BQ &amp; An Pondasi SEP &amp; WAREHOUSE-KIM I (R-0)_REKAP UTAMA" xfId="624" xr:uid="{00000000-0005-0000-0000-00001D020000}"/>
    <cellStyle name="‡_STA-DRP_BQ Pabrik Biodiesel MM-Btm" xfId="625" xr:uid="{00000000-0005-0000-0000-00001E020000}"/>
    <cellStyle name="‡_STA-DRP_BQ Pabrik Biodiesel MM-Btm_REKAP UTAMA" xfId="626" xr:uid="{00000000-0005-0000-0000-00001F020000}"/>
    <cellStyle name="‡_STA-DRP_RAB ARSITEK IRNA 1 R 1213.02" xfId="627" xr:uid="{00000000-0005-0000-0000-000020020000}"/>
    <cellStyle name="‡_STA-DRP_RAB ARSITEK PAGAR R 1213.09" xfId="628" xr:uid="{00000000-0005-0000-0000-000021020000}"/>
    <cellStyle name="‡_STA-DRP_REKAP UTAMA" xfId="629" xr:uid="{00000000-0005-0000-0000-000022020000}"/>
    <cellStyle name="‡_Subang Piping" xfId="630" xr:uid="{00000000-0005-0000-0000-000023020000}"/>
    <cellStyle name="‡_Subang Piping_BQ &amp; An Pds Gdg - KIM I" xfId="631" xr:uid="{00000000-0005-0000-0000-000024020000}"/>
    <cellStyle name="‡_Subang Piping_BQ &amp; An Pds Gdg - KIM I_REKAP UTAMA" xfId="632" xr:uid="{00000000-0005-0000-0000-000025020000}"/>
    <cellStyle name="‡_Subang Piping_BQ &amp; An Pondasi SEP &amp; WAREHOUSE-KIM I (R-0)" xfId="633" xr:uid="{00000000-0005-0000-0000-000026020000}"/>
    <cellStyle name="‡_Subang Piping_BQ &amp; An Pondasi SEP &amp; WAREHOUSE-KIM I (R-0)_REKAP UTAMA" xfId="634" xr:uid="{00000000-0005-0000-0000-000027020000}"/>
    <cellStyle name="‡_Subang Piping_BQ Pabrik Biodiesel MM-Btm" xfId="635" xr:uid="{00000000-0005-0000-0000-000028020000}"/>
    <cellStyle name="‡_Subang Piping_BQ Pabrik Biodiesel MM-Btm_REKAP UTAMA" xfId="636" xr:uid="{00000000-0005-0000-0000-000029020000}"/>
    <cellStyle name="‡_Subang Piping_REKAP UTAMA" xfId="637" xr:uid="{00000000-0005-0000-0000-00002A020000}"/>
    <cellStyle name="‡_tool&amp;consum-2003" xfId="638" xr:uid="{00000000-0005-0000-0000-00002B020000}"/>
    <cellStyle name="‡_tool&amp;consum-2003_BQ &amp; An Pds Gdg - KIM I" xfId="639" xr:uid="{00000000-0005-0000-0000-00002C020000}"/>
    <cellStyle name="‡_tool&amp;consum-2003_BQ &amp; An Pds Gdg - KIM I_REKAP UTAMA" xfId="640" xr:uid="{00000000-0005-0000-0000-00002D020000}"/>
    <cellStyle name="‡_tool&amp;consum-2003_BQ &amp; An Pondasi SEP &amp; WAREHOUSE-KIM I (R-0)" xfId="641" xr:uid="{00000000-0005-0000-0000-00002E020000}"/>
    <cellStyle name="‡_tool&amp;consum-2003_BQ &amp; An Pondasi SEP &amp; WAREHOUSE-KIM I (R-0)_REKAP UTAMA" xfId="642" xr:uid="{00000000-0005-0000-0000-00002F020000}"/>
    <cellStyle name="‡_tool&amp;consum-2003_BQ Pabrik Biodiesel MM-Btm" xfId="643" xr:uid="{00000000-0005-0000-0000-000030020000}"/>
    <cellStyle name="‡_tool&amp;consum-2003_BQ Pabrik Biodiesel MM-Btm_REKAP UTAMA" xfId="644" xr:uid="{00000000-0005-0000-0000-000031020000}"/>
    <cellStyle name="‡_tool&amp;consum-2003_REKAP UTAMA" xfId="645" xr:uid="{00000000-0005-0000-0000-000032020000}"/>
    <cellStyle name="•W?_Approv.ppt" xfId="646" xr:uid="{00000000-0005-0000-0000-000033020000}"/>
    <cellStyle name="•W€_’¼ÚHŽ–’P‰¿”äŠr•\RFP-003" xfId="647" xr:uid="{00000000-0005-0000-0000-000034020000}"/>
    <cellStyle name="•W_’¼ÚH–’P‰¿”äŠr•\RFP-003" xfId="648" xr:uid="{00000000-0005-0000-0000-000035020000}"/>
    <cellStyle name="" xfId="649" xr:uid="{00000000-0005-0000-0000-000036020000}"/>
    <cellStyle name="" xfId="650" xr:uid="{00000000-0005-0000-0000-000037020000}"/>
    <cellStyle name="W_ITEMRIST" xfId="651" xr:uid="{00000000-0005-0000-0000-000038020000}"/>
    <cellStyle name="0,0_x000a__x000a_NA_x000a__x000a_" xfId="652" xr:uid="{00000000-0005-0000-0000-000039020000}"/>
    <cellStyle name="0,0_x000a__x000a_NA_x000a__x000a_ 2" xfId="653" xr:uid="{00000000-0005-0000-0000-00003A020000}"/>
    <cellStyle name="0,0_x000a__x000a_NA_x000a__x000a__BQ BCA KCU Sukabumi-ASP Rev.tgl 3-8-2012" xfId="654" xr:uid="{00000000-0005-0000-0000-00003B020000}"/>
    <cellStyle name="0,0_x000d__x000a_NA_x000d__x000a_" xfId="655" xr:uid="{00000000-0005-0000-0000-00003C020000}"/>
    <cellStyle name="0,0_x000d__x000a_NA_x000d__x000a_ 2" xfId="656" xr:uid="{00000000-0005-0000-0000-00003D020000}"/>
    <cellStyle name="0,0_x000d__x000a_NA_x000d__x000a_ 3" xfId="657" xr:uid="{00000000-0005-0000-0000-00003E020000}"/>
    <cellStyle name="0,0_x000d__x000a_NA_x000d__x000a__3.RAB ARC RENOV MPR 01-09-2013" xfId="658" xr:uid="{00000000-0005-0000-0000-00003F020000}"/>
    <cellStyle name="¹éºÐÀ²_±âÅ¸" xfId="659" xr:uid="{00000000-0005-0000-0000-000040020000}"/>
    <cellStyle name="20% - Accent1 2" xfId="660" xr:uid="{00000000-0005-0000-0000-000041020000}"/>
    <cellStyle name="20% - Accent1 2 2" xfId="661" xr:uid="{00000000-0005-0000-0000-000042020000}"/>
    <cellStyle name="20% - Accent1 3" xfId="662" xr:uid="{00000000-0005-0000-0000-000043020000}"/>
    <cellStyle name="20% - Accent2 2" xfId="663" xr:uid="{00000000-0005-0000-0000-000044020000}"/>
    <cellStyle name="20% - Accent2 3" xfId="664" xr:uid="{00000000-0005-0000-0000-000045020000}"/>
    <cellStyle name="20% - Accent3 2" xfId="665" xr:uid="{00000000-0005-0000-0000-000046020000}"/>
    <cellStyle name="20% - Accent3 3" xfId="666" xr:uid="{00000000-0005-0000-0000-000047020000}"/>
    <cellStyle name="20% - Accent4 2" xfId="667" xr:uid="{00000000-0005-0000-0000-000048020000}"/>
    <cellStyle name="20% - Accent4 3" xfId="668" xr:uid="{00000000-0005-0000-0000-000049020000}"/>
    <cellStyle name="20% - Accent5 2" xfId="669" xr:uid="{00000000-0005-0000-0000-00004A020000}"/>
    <cellStyle name="20% - Accent5 2 2" xfId="670" xr:uid="{00000000-0005-0000-0000-00004B020000}"/>
    <cellStyle name="20% - Accent5 3" xfId="671" xr:uid="{00000000-0005-0000-0000-00004C020000}"/>
    <cellStyle name="20% - Accent6 2" xfId="672" xr:uid="{00000000-0005-0000-0000-00004D020000}"/>
    <cellStyle name="20% - Accent6 2 2" xfId="673" xr:uid="{00000000-0005-0000-0000-00004E020000}"/>
    <cellStyle name="20% - Accent6 3" xfId="674" xr:uid="{00000000-0005-0000-0000-00004F020000}"/>
    <cellStyle name="40% - Accent1 2" xfId="675" xr:uid="{00000000-0005-0000-0000-000050020000}"/>
    <cellStyle name="40% - Accent1 3" xfId="676" xr:uid="{00000000-0005-0000-0000-000051020000}"/>
    <cellStyle name="40% - Accent2 2" xfId="677" xr:uid="{00000000-0005-0000-0000-000052020000}"/>
    <cellStyle name="40% - Accent2 3" xfId="678" xr:uid="{00000000-0005-0000-0000-000053020000}"/>
    <cellStyle name="40% - Accent3 2" xfId="679" xr:uid="{00000000-0005-0000-0000-000054020000}"/>
    <cellStyle name="40% - Accent3 3" xfId="680" xr:uid="{00000000-0005-0000-0000-000055020000}"/>
    <cellStyle name="40% - Accent4 2" xfId="681" xr:uid="{00000000-0005-0000-0000-000056020000}"/>
    <cellStyle name="40% - Accent4 3" xfId="682" xr:uid="{00000000-0005-0000-0000-000057020000}"/>
    <cellStyle name="40% - Accent5 2" xfId="683" xr:uid="{00000000-0005-0000-0000-000058020000}"/>
    <cellStyle name="40% - Accent5 3" xfId="684" xr:uid="{00000000-0005-0000-0000-000059020000}"/>
    <cellStyle name="40% - Accent6 2" xfId="685" xr:uid="{00000000-0005-0000-0000-00005A020000}"/>
    <cellStyle name="40% - Accent6 3" xfId="686" xr:uid="{00000000-0005-0000-0000-00005B020000}"/>
    <cellStyle name="60% - Accent1 2" xfId="687" xr:uid="{00000000-0005-0000-0000-00005C020000}"/>
    <cellStyle name="60% - Accent1 3" xfId="688" xr:uid="{00000000-0005-0000-0000-00005D020000}"/>
    <cellStyle name="60% - Accent2 2" xfId="689" xr:uid="{00000000-0005-0000-0000-00005E020000}"/>
    <cellStyle name="60% - Accent2 3" xfId="690" xr:uid="{00000000-0005-0000-0000-00005F020000}"/>
    <cellStyle name="60% - Accent3 2" xfId="691" xr:uid="{00000000-0005-0000-0000-000060020000}"/>
    <cellStyle name="60% - Accent3 3" xfId="692" xr:uid="{00000000-0005-0000-0000-000061020000}"/>
    <cellStyle name="60% - Accent4 2" xfId="693" xr:uid="{00000000-0005-0000-0000-000062020000}"/>
    <cellStyle name="60% - Accent4 3" xfId="694" xr:uid="{00000000-0005-0000-0000-000063020000}"/>
    <cellStyle name="60% - Accent5 2" xfId="695" xr:uid="{00000000-0005-0000-0000-000064020000}"/>
    <cellStyle name="60% - Accent5 3" xfId="696" xr:uid="{00000000-0005-0000-0000-000065020000}"/>
    <cellStyle name="60% - Accent6 2" xfId="697" xr:uid="{00000000-0005-0000-0000-000066020000}"/>
    <cellStyle name="60% - Accent6 3" xfId="698" xr:uid="{00000000-0005-0000-0000-000067020000}"/>
    <cellStyle name="a" xfId="699" xr:uid="{00000000-0005-0000-0000-000068020000}"/>
    <cellStyle name="a_AC" xfId="700" xr:uid="{00000000-0005-0000-0000-000069020000}"/>
    <cellStyle name="a_Analisa BCA Padang" xfId="701" xr:uid="{00000000-0005-0000-0000-00006A020000}"/>
    <cellStyle name="a_Backup of JGC Cilandak-EE WD R1" xfId="702" xr:uid="{00000000-0005-0000-0000-00006B020000}"/>
    <cellStyle name="a_Blanko Surat" xfId="703" xr:uid="{00000000-0005-0000-0000-00006C020000}"/>
    <cellStyle name="a_Boq" xfId="704" xr:uid="{00000000-0005-0000-0000-00006D020000}"/>
    <cellStyle name="a_BOQ KTR (ME)-ASP" xfId="705" xr:uid="{00000000-0005-0000-0000-00006E020000}"/>
    <cellStyle name="a_BQ - REMBANG ( Revisi  1)-Asp" xfId="706" xr:uid="{00000000-0005-0000-0000-00006F020000}"/>
    <cellStyle name="a_BQ BCA Kantor Kas Teuku Umar Banda Aceh" xfId="707" xr:uid="{00000000-0005-0000-0000-000070020000}"/>
    <cellStyle name="a_BQ BCA KCP Cilegon" xfId="708" xr:uid="{00000000-0005-0000-0000-000071020000}"/>
    <cellStyle name="a_BQ BCA KCP Cilegon 2" xfId="709" xr:uid="{00000000-0005-0000-0000-000072020000}"/>
    <cellStyle name="a_BQ BCA KCP Cilegon_BQ-ME-BCA-TPI Rev.1-ASP" xfId="710" xr:uid="{00000000-0005-0000-0000-000073020000}"/>
    <cellStyle name="a_BQ BCA KCP Cilegon_BQ-ME-BCA-TPI Rev.1-ASP-Disk" xfId="711" xr:uid="{00000000-0005-0000-0000-000074020000}"/>
    <cellStyle name="a_BQ BCA KCP City Resort-Asp-R1" xfId="712" xr:uid="{00000000-0005-0000-0000-000075020000}"/>
    <cellStyle name="a_BQ BCA KCP City Resort-Asp-R2" xfId="713" xr:uid="{00000000-0005-0000-0000-000076020000}"/>
    <cellStyle name="a_BQ BCA KCP Perak Barat - Surabaya Rev. 11 Mei 2011-Asp" xfId="714" xr:uid="{00000000-0005-0000-0000-000077020000}"/>
    <cellStyle name="a_BQ BCA KCU Sukabumi-ASP Rev.tgl 3-8-2012" xfId="715" xr:uid="{00000000-0005-0000-0000-000078020000}"/>
    <cellStyle name="a_BQ KCP Cipanas 18-5-2011-Asp-disk" xfId="716" xr:uid="{00000000-0005-0000-0000-000079020000}"/>
    <cellStyle name="a_BQ KK BCA LOMBOK TIMUR" xfId="717" xr:uid="{00000000-0005-0000-0000-00007A020000}"/>
    <cellStyle name="a_BQ Kosong BCA KCP Citra Raya - Cikupa ( Type Cranz 2)-ASP (kanwil XII) rev.24 Juli2012-R1" xfId="718" xr:uid="{00000000-0005-0000-0000-00007B020000}"/>
    <cellStyle name="a_BQ ME BCA Wlingi-Blitar-R2 Asp" xfId="719" xr:uid="{00000000-0005-0000-0000-00007C020000}"/>
    <cellStyle name="a_BQ ME BCA Wlingi-Blitar-R3 Asp" xfId="720" xr:uid="{00000000-0005-0000-0000-00007D020000}"/>
    <cellStyle name="a_BQ ME KCP Ratulangi BCA - 091111-ASP-SPK" xfId="721" xr:uid="{00000000-0005-0000-0000-00007E020000}"/>
    <cellStyle name="a_BQ ME KCP Ratulangi BCA - 281011-ASP" xfId="722" xr:uid="{00000000-0005-0000-0000-00007F020000}"/>
    <cellStyle name="a_BQ TENDER BCA KCP JABABEKA R-02-ASP" xfId="723" xr:uid="{00000000-0005-0000-0000-000080020000}"/>
    <cellStyle name="a_BQ TENDER BCA SUNTER PARADISE ( Asp )-R2-SPK" xfId="724" xr:uid="{00000000-0005-0000-0000-000081020000}"/>
    <cellStyle name="a_BQ Tender ME (c) Plaza Harmoni-Asp-R1" xfId="725" xr:uid="{00000000-0005-0000-0000-000082020000}"/>
    <cellStyle name="a_BQ Tender ME (c) Plaza Harmoni-Asp-R1-disk" xfId="726" xr:uid="{00000000-0005-0000-0000-000083020000}"/>
    <cellStyle name="a_BQ Tender ME BCA KCP Kenten Palembang-k-Asp-R3-disk" xfId="727" xr:uid="{00000000-0005-0000-0000-000084020000}"/>
    <cellStyle name="a_BQ Tender ME BCA KCP Kertosono (Revisi ASP) 28 JULI" xfId="728" xr:uid="{00000000-0005-0000-0000-000085020000}"/>
    <cellStyle name="a_BQ Tender ME BCA KCP Kota Paris Sukabumi Revisi Tgl.28-4-2011-Asp" xfId="729" xr:uid="{00000000-0005-0000-0000-000086020000}"/>
    <cellStyle name="a_BQ Tender ME BCA KCP Kramat Jati 261110-ASP(tissue)" xfId="730" xr:uid="{00000000-0005-0000-0000-000087020000}"/>
    <cellStyle name="a_BQ Tender ME KCP BCA KCP JEBUS - BANGKA R1 (3102012)-ASP-disk" xfId="731" xr:uid="{00000000-0005-0000-0000-000088020000}"/>
    <cellStyle name="a_BQ_BCA KCP PERINTIS KEMERDEKAAN MAKASSAR_REV020212-ASP-R1-SPK" xfId="732" xr:uid="{00000000-0005-0000-0000-000089020000}"/>
    <cellStyle name="a_BQ_BCA_SLOMRETAN_23 Mei 12_ME-ASP" xfId="733" xr:uid="{00000000-0005-0000-0000-00008A020000}"/>
    <cellStyle name="a_BQ-EL-AC-BCA.GERSIK-RR3 (14-2-2012)-Asp" xfId="734" xr:uid="{00000000-0005-0000-0000-00008B020000}"/>
    <cellStyle name="a_BQ-EL-AC-BCA-KETANGGUNGAN-baru-Asp" xfId="735" xr:uid="{00000000-0005-0000-0000-00008C020000}"/>
    <cellStyle name="a_BQ-KCP Ratulangi Revisi-1 (c)-Asp" xfId="736" xr:uid="{00000000-0005-0000-0000-00008D020000}"/>
    <cellStyle name="a_BQ-KCP Ratulangi Revisi-2 (c)-Asp" xfId="737" xr:uid="{00000000-0005-0000-0000-00008E020000}"/>
    <cellStyle name="a_EVA-SAME 1" xfId="738" xr:uid="{00000000-0005-0000-0000-00008F020000}"/>
    <cellStyle name="a_EVA-SP-NO.1" xfId="739" xr:uid="{00000000-0005-0000-0000-000090020000}"/>
    <cellStyle name="a_INDOSAT BANDUNG-EE TAHAP 1" xfId="740" xr:uid="{00000000-0005-0000-0000-000091020000}"/>
    <cellStyle name="a_JGC Cilandak- RAB WD R-1" xfId="741" xr:uid="{00000000-0005-0000-0000-000092020000}"/>
    <cellStyle name="a_JGC Cilandak- RAB WD R-2" xfId="742" xr:uid="{00000000-0005-0000-0000-000093020000}"/>
    <cellStyle name="a_JGC Cilandak- RAB WD R-3" xfId="743" xr:uid="{00000000-0005-0000-0000-000094020000}"/>
    <cellStyle name="a_KCP Tebet Prioritas-Asp-SPK" xfId="744" xr:uid="{00000000-0005-0000-0000-000095020000}"/>
    <cellStyle name="a_LAPIRAN KLARIFIKASI" xfId="745" xr:uid="{00000000-0005-0000-0000-000096020000}"/>
    <cellStyle name="a_Lintas  Bandung - EE" xfId="746" xr:uid="{00000000-0005-0000-0000-000097020000}"/>
    <cellStyle name="a_Lintasarta fin" xfId="747" xr:uid="{00000000-0005-0000-0000-000098020000}"/>
    <cellStyle name="a_ME EE WD REV" xfId="748" xr:uid="{00000000-0005-0000-0000-000099020000}"/>
    <cellStyle name="a_ME-BQ" xfId="749" xr:uid="{00000000-0005-0000-0000-00009A020000}"/>
    <cellStyle name="a_RAB ARSITEKTUR BCA 12-4-2013" xfId="750" xr:uid="{00000000-0005-0000-0000-00009B020000}"/>
    <cellStyle name="a_Revisi BQ KCP Rawasari Jakarta Rev1-ASP" xfId="751" xr:uid="{00000000-0005-0000-0000-00009C020000}"/>
    <cellStyle name="a_Revisi BQ KCP Rawasari Jakarta-ASP" xfId="752" xr:uid="{00000000-0005-0000-0000-00009D020000}"/>
    <cellStyle name="a_Revisi BQ TENDER  BCA KCU MANADO 02 (26-Mei-2011)-Asp" xfId="753" xr:uid="{00000000-0005-0000-0000-00009E020000}"/>
    <cellStyle name="a_Revisi BQ TENDER  BCA KCU MANADO 03 (16-juni-2011)-Asp" xfId="754" xr:uid="{00000000-0005-0000-0000-00009F020000}"/>
    <cellStyle name="a_Struktur Arsitektur - BQ" xfId="755" xr:uid="{00000000-0005-0000-0000-0000A0020000}"/>
    <cellStyle name="a_Struktural Steel Upper Struct New Skin - Unilever" xfId="756" xr:uid="{00000000-0005-0000-0000-0000A1020000}"/>
    <cellStyle name="A4 Small 210 x 297 mm" xfId="757" xr:uid="{00000000-0005-0000-0000-0000A2020000}"/>
    <cellStyle name="Accent1 2" xfId="758" xr:uid="{00000000-0005-0000-0000-0000A3020000}"/>
    <cellStyle name="Accent1 3" xfId="759" xr:uid="{00000000-0005-0000-0000-0000A4020000}"/>
    <cellStyle name="Accent2 2" xfId="760" xr:uid="{00000000-0005-0000-0000-0000A5020000}"/>
    <cellStyle name="Accent2 3" xfId="761" xr:uid="{00000000-0005-0000-0000-0000A6020000}"/>
    <cellStyle name="Accent3 2" xfId="762" xr:uid="{00000000-0005-0000-0000-0000A7020000}"/>
    <cellStyle name="Accent3 3" xfId="763" xr:uid="{00000000-0005-0000-0000-0000A8020000}"/>
    <cellStyle name="Accent4 2" xfId="764" xr:uid="{00000000-0005-0000-0000-0000A9020000}"/>
    <cellStyle name="Accent4 3" xfId="765" xr:uid="{00000000-0005-0000-0000-0000AA020000}"/>
    <cellStyle name="Accent5 2" xfId="766" xr:uid="{00000000-0005-0000-0000-0000AB020000}"/>
    <cellStyle name="Accent5 3" xfId="767" xr:uid="{00000000-0005-0000-0000-0000AC020000}"/>
    <cellStyle name="Accent6 2" xfId="768" xr:uid="{00000000-0005-0000-0000-0000AD020000}"/>
    <cellStyle name="Accent6 3" xfId="769" xr:uid="{00000000-0005-0000-0000-0000AE020000}"/>
    <cellStyle name="adidia" xfId="770" xr:uid="{00000000-0005-0000-0000-0000AF020000}"/>
    <cellStyle name="adidia3" xfId="771" xr:uid="{00000000-0005-0000-0000-0000B0020000}"/>
    <cellStyle name="adidia3 2" xfId="1667" xr:uid="{7E1D8DF6-9438-40CD-A486-2A6EBB9B6534}"/>
    <cellStyle name="ÅëÈ­ [0]_±âÅ¸" xfId="772" xr:uid="{00000000-0005-0000-0000-0000B1020000}"/>
    <cellStyle name="AeE­ [0]_INQUIRY ¿μ¾÷AßAø " xfId="773" xr:uid="{00000000-0005-0000-0000-0000B2020000}"/>
    <cellStyle name="ÅëÈ­_±âÅ¸" xfId="774" xr:uid="{00000000-0005-0000-0000-0000B3020000}"/>
    <cellStyle name="AeE­_INQUIRY ¿µ¾÷AßAø " xfId="775" xr:uid="{00000000-0005-0000-0000-0000B4020000}"/>
    <cellStyle name="args.style" xfId="776" xr:uid="{00000000-0005-0000-0000-0000B5020000}"/>
    <cellStyle name="Arial10" xfId="777" xr:uid="{00000000-0005-0000-0000-0000B6020000}"/>
    <cellStyle name="ARKONIN" xfId="778" xr:uid="{00000000-0005-0000-0000-0000B7020000}"/>
    <cellStyle name="ÄÞ¸¶ [0]_±âÅ¸" xfId="779" xr:uid="{00000000-0005-0000-0000-0000B8020000}"/>
    <cellStyle name="AÞ¸¶ [0]_INQUIRY ¿?¾÷AßAø " xfId="780" xr:uid="{00000000-0005-0000-0000-0000B9020000}"/>
    <cellStyle name="ÄÞ¸¶ [20]" xfId="781" xr:uid="{00000000-0005-0000-0000-0000BA020000}"/>
    <cellStyle name="ÄÞ¸¶_±âÅ¸" xfId="782" xr:uid="{00000000-0005-0000-0000-0000BB020000}"/>
    <cellStyle name="AÞ¸¶_INQUIRY ¿?¾÷AßAø " xfId="783" xr:uid="{00000000-0005-0000-0000-0000BC020000}"/>
    <cellStyle name="Bad 2" xfId="784" xr:uid="{00000000-0005-0000-0000-0000BD020000}"/>
    <cellStyle name="Bad 3" xfId="785" xr:uid="{00000000-0005-0000-0000-0000BE020000}"/>
    <cellStyle name="Baik" xfId="786" xr:uid="{00000000-0005-0000-0000-0000BF020000}"/>
    <cellStyle name="Body" xfId="787" xr:uid="{00000000-0005-0000-0000-0000C0020000}"/>
    <cellStyle name="bol" xfId="788" xr:uid="{00000000-0005-0000-0000-0000C1020000}"/>
    <cellStyle name="Bol 1" xfId="789" xr:uid="{00000000-0005-0000-0000-0000C2020000}"/>
    <cellStyle name="Bol 1 2" xfId="1668" xr:uid="{19415647-385A-4958-8D0E-20EDCBD61BAD}"/>
    <cellStyle name="bol1" xfId="790" xr:uid="{00000000-0005-0000-0000-0000C3020000}"/>
    <cellStyle name="bottom" xfId="791" xr:uid="{00000000-0005-0000-0000-0000C4020000}"/>
    <cellStyle name="Budget form" xfId="792" xr:uid="{00000000-0005-0000-0000-0000C5020000}"/>
    <cellStyle name="C?AØ_¿?¾÷CoE² " xfId="793" xr:uid="{00000000-0005-0000-0000-0000C6020000}"/>
    <cellStyle name="Ç¥ÁØ_¿¬°£´©°è¿¹»ó" xfId="794" xr:uid="{00000000-0005-0000-0000-0000C7020000}"/>
    <cellStyle name="C￥AØ_¿μ¾÷CoE² " xfId="795" xr:uid="{00000000-0005-0000-0000-0000C8020000}"/>
    <cellStyle name="Calc Currency (0)" xfId="796" xr:uid="{00000000-0005-0000-0000-0000C9020000}"/>
    <cellStyle name="Calculation 2" xfId="797" xr:uid="{00000000-0005-0000-0000-0000CA020000}"/>
    <cellStyle name="Calculation 2 2" xfId="1669" xr:uid="{1F66C86E-3CBA-46B3-A327-2C418C13FFD9}"/>
    <cellStyle name="Calculation 3" xfId="798" xr:uid="{00000000-0005-0000-0000-0000CB020000}"/>
    <cellStyle name="Calculation 3 2" xfId="1670" xr:uid="{5CF14910-F801-4B8A-AD3C-7A1E7AD55789}"/>
    <cellStyle name="Catatan" xfId="799" xr:uid="{00000000-0005-0000-0000-0000CC020000}"/>
    <cellStyle name="Catatan 2" xfId="1671" xr:uid="{2FEFFBB7-F263-4AD6-A7B9-4E3FC8EBB9E6}"/>
    <cellStyle name="Cek Sel" xfId="800" xr:uid="{00000000-0005-0000-0000-0000CD020000}"/>
    <cellStyle name="Check Cell 2" xfId="801" xr:uid="{00000000-0005-0000-0000-0000CE020000}"/>
    <cellStyle name="Check Cell 3" xfId="802" xr:uid="{00000000-0005-0000-0000-0000CF020000}"/>
    <cellStyle name="Comma" xfId="71" builtinId="3"/>
    <cellStyle name="Comma  - Style1" xfId="803" xr:uid="{00000000-0005-0000-0000-0000D1020000}"/>
    <cellStyle name="Comma  - Style1 2" xfId="804" xr:uid="{00000000-0005-0000-0000-0000D2020000}"/>
    <cellStyle name="Comma  - Style2" xfId="805" xr:uid="{00000000-0005-0000-0000-0000D3020000}"/>
    <cellStyle name="Comma  - Style2 2" xfId="806" xr:uid="{00000000-0005-0000-0000-0000D4020000}"/>
    <cellStyle name="Comma  - Style3" xfId="807" xr:uid="{00000000-0005-0000-0000-0000D5020000}"/>
    <cellStyle name="Comma  - Style3 2" xfId="808" xr:uid="{00000000-0005-0000-0000-0000D6020000}"/>
    <cellStyle name="Comma  - Style4" xfId="809" xr:uid="{00000000-0005-0000-0000-0000D7020000}"/>
    <cellStyle name="Comma  - Style4 2" xfId="810" xr:uid="{00000000-0005-0000-0000-0000D8020000}"/>
    <cellStyle name="Comma  - Style5" xfId="811" xr:uid="{00000000-0005-0000-0000-0000D9020000}"/>
    <cellStyle name="Comma  - Style5 2" xfId="812" xr:uid="{00000000-0005-0000-0000-0000DA020000}"/>
    <cellStyle name="Comma  - Style6" xfId="813" xr:uid="{00000000-0005-0000-0000-0000DB020000}"/>
    <cellStyle name="Comma  - Style6 2" xfId="814" xr:uid="{00000000-0005-0000-0000-0000DC020000}"/>
    <cellStyle name="Comma  - Style7" xfId="815" xr:uid="{00000000-0005-0000-0000-0000DD020000}"/>
    <cellStyle name="Comma  - Style7 2" xfId="816" xr:uid="{00000000-0005-0000-0000-0000DE020000}"/>
    <cellStyle name="Comma  - Style8" xfId="817" xr:uid="{00000000-0005-0000-0000-0000DF020000}"/>
    <cellStyle name="Comma  - Style8 2" xfId="818" xr:uid="{00000000-0005-0000-0000-0000E0020000}"/>
    <cellStyle name="Comma [0]" xfId="1" builtinId="6"/>
    <cellStyle name="Comma [0] 10" xfId="16" xr:uid="{00000000-0005-0000-0000-0000E2020000}"/>
    <cellStyle name="Comma [0] 10 2" xfId="27" xr:uid="{00000000-0005-0000-0000-0000E3020000}"/>
    <cellStyle name="Comma [0] 10 2 4" xfId="819" xr:uid="{00000000-0005-0000-0000-0000E4020000}"/>
    <cellStyle name="Comma [0] 10 3" xfId="77" xr:uid="{00000000-0005-0000-0000-0000E5020000}"/>
    <cellStyle name="Comma [0] 11" xfId="820" xr:uid="{00000000-0005-0000-0000-0000E6020000}"/>
    <cellStyle name="Comma [0] 12" xfId="821" xr:uid="{00000000-0005-0000-0000-0000E7020000}"/>
    <cellStyle name="Comma [0] 13" xfId="822" xr:uid="{00000000-0005-0000-0000-0000E8020000}"/>
    <cellStyle name="Comma [0] 14" xfId="79" xr:uid="{00000000-0005-0000-0000-0000E9020000}"/>
    <cellStyle name="Comma [0] 15" xfId="823" xr:uid="{00000000-0005-0000-0000-0000EA020000}"/>
    <cellStyle name="Comma [0] 16" xfId="824" xr:uid="{00000000-0005-0000-0000-0000EB020000}"/>
    <cellStyle name="Comma [0] 17" xfId="825" xr:uid="{00000000-0005-0000-0000-0000EC020000}"/>
    <cellStyle name="Comma [0] 18" xfId="826" xr:uid="{00000000-0005-0000-0000-0000ED020000}"/>
    <cellStyle name="Comma [0] 19" xfId="827" xr:uid="{00000000-0005-0000-0000-0000EE020000}"/>
    <cellStyle name="Comma [0] 2" xfId="2" xr:uid="{00000000-0005-0000-0000-0000EF020000}"/>
    <cellStyle name="Comma [0] 2 2" xfId="6" xr:uid="{00000000-0005-0000-0000-0000F0020000}"/>
    <cellStyle name="Comma [0] 2 2 2" xfId="14" xr:uid="{00000000-0005-0000-0000-0000F1020000}"/>
    <cellStyle name="Comma [0] 2 2 2 2" xfId="828" xr:uid="{00000000-0005-0000-0000-0000F2020000}"/>
    <cellStyle name="Comma [0] 2 2 2_3.RAB ARSITEK IRNA 1 R 1213.09" xfId="829" xr:uid="{00000000-0005-0000-0000-0000F3020000}"/>
    <cellStyle name="Comma [0] 2 2 3" xfId="48" xr:uid="{00000000-0005-0000-0000-0000F4020000}"/>
    <cellStyle name="Comma [0] 2 2 3 2" xfId="1644" xr:uid="{BA0B77AD-A1B2-4D84-8BF1-A62363ECC3B2}"/>
    <cellStyle name="Comma [0] 2 2_3.RAB ARSITEK IRNA 1 R 1213.09" xfId="830" xr:uid="{00000000-0005-0000-0000-0000F5020000}"/>
    <cellStyle name="Comma [0] 2 3" xfId="50" xr:uid="{00000000-0005-0000-0000-0000F6020000}"/>
    <cellStyle name="Comma [0] 2 3 2" xfId="831" xr:uid="{00000000-0005-0000-0000-0000F7020000}"/>
    <cellStyle name="Comma [0] 2 3 3" xfId="832" xr:uid="{00000000-0005-0000-0000-0000F8020000}"/>
    <cellStyle name="Comma [0] 2 3 4" xfId="1646" xr:uid="{67CEB8C1-58E9-4C32-8D55-454391FC65A8}"/>
    <cellStyle name="Comma [0] 2 3 5" xfId="833" xr:uid="{00000000-0005-0000-0000-0000F9020000}"/>
    <cellStyle name="Comma [0] 2 3_RAB  POWER HOUSE STAI 07-11-09" xfId="834" xr:uid="{00000000-0005-0000-0000-0000FA020000}"/>
    <cellStyle name="Comma [0] 2 4" xfId="52" xr:uid="{00000000-0005-0000-0000-0000FB020000}"/>
    <cellStyle name="Comma [0] 2 4 2" xfId="1648" xr:uid="{CA5870DE-47D1-4216-A0F1-046617AE14FC}"/>
    <cellStyle name="Comma [0] 2 5" xfId="46" xr:uid="{00000000-0005-0000-0000-0000FC020000}"/>
    <cellStyle name="Comma [0] 2 5 2" xfId="1642" xr:uid="{E46AA857-104F-438B-A340-99B049AEF89D}"/>
    <cellStyle name="Comma [0] 2 6" xfId="835" xr:uid="{00000000-0005-0000-0000-0000FD020000}"/>
    <cellStyle name="Comma [0] 2 6 2" xfId="1711" xr:uid="{5D4BA55C-8048-4391-A4DE-A3B3C215C859}"/>
    <cellStyle name="Comma [0] 2_3.RAB ARSITEK IRNA 1 R 1213.09" xfId="836" xr:uid="{00000000-0005-0000-0000-0000FE020000}"/>
    <cellStyle name="Comma [0] 20" xfId="837" xr:uid="{00000000-0005-0000-0000-0000FF020000}"/>
    <cellStyle name="Comma [0] 21" xfId="838" xr:uid="{00000000-0005-0000-0000-000000030000}"/>
    <cellStyle name="Comma [0] 22" xfId="839" xr:uid="{00000000-0005-0000-0000-000001030000}"/>
    <cellStyle name="Comma [0] 23" xfId="840" xr:uid="{00000000-0005-0000-0000-000002030000}"/>
    <cellStyle name="Comma [0] 25" xfId="841" xr:uid="{00000000-0005-0000-0000-000003030000}"/>
    <cellStyle name="Comma [0] 26" xfId="842" xr:uid="{00000000-0005-0000-0000-000004030000}"/>
    <cellStyle name="Comma [0] 27" xfId="843" xr:uid="{00000000-0005-0000-0000-000005030000}"/>
    <cellStyle name="Comma [0] 28" xfId="844" xr:uid="{00000000-0005-0000-0000-000006030000}"/>
    <cellStyle name="Comma [0] 29" xfId="845" xr:uid="{00000000-0005-0000-0000-000007030000}"/>
    <cellStyle name="Comma [0] 3" xfId="13" xr:uid="{00000000-0005-0000-0000-000008030000}"/>
    <cellStyle name="Comma [0] 3 2" xfId="35" xr:uid="{00000000-0005-0000-0000-000009030000}"/>
    <cellStyle name="Comma [0] 3 2 2" xfId="846" xr:uid="{00000000-0005-0000-0000-00000A030000}"/>
    <cellStyle name="Comma [0] 3 2 2 2" xfId="847" xr:uid="{00000000-0005-0000-0000-00000B030000}"/>
    <cellStyle name="Comma [0] 3 2 2_3.RAB ARSITEK IRNA 1 R 1213.09" xfId="848" xr:uid="{00000000-0005-0000-0000-00000C030000}"/>
    <cellStyle name="Comma [0] 3 2_RAB ARSITEKTUR BCA 12-4-2013" xfId="849" xr:uid="{00000000-0005-0000-0000-00000D030000}"/>
    <cellStyle name="Comma [0] 3 3" xfId="38" xr:uid="{00000000-0005-0000-0000-00000E030000}"/>
    <cellStyle name="Comma [0] 3 3 2" xfId="850" xr:uid="{00000000-0005-0000-0000-00000F030000}"/>
    <cellStyle name="Comma [0] 3 3 2 2" xfId="851" xr:uid="{00000000-0005-0000-0000-000010030000}"/>
    <cellStyle name="Comma [0] 3 3 2_RAB ARSITEKTUR BCA 12-4-2013" xfId="852" xr:uid="{00000000-0005-0000-0000-000011030000}"/>
    <cellStyle name="Comma [0] 3 3_RAB ARSITEKTUR BCA 12-4-2013" xfId="853" xr:uid="{00000000-0005-0000-0000-000012030000}"/>
    <cellStyle name="Comma [0] 3 4" xfId="55" xr:uid="{00000000-0005-0000-0000-000013030000}"/>
    <cellStyle name="Comma [0] 3 4 2" xfId="80" xr:uid="{00000000-0005-0000-0000-000014030000}"/>
    <cellStyle name="Comma [0] 3 4 3" xfId="1651" xr:uid="{2324BA7F-AA7D-4C16-9277-4C4ACF90E1D0}"/>
    <cellStyle name="Comma [0] 3 4 4" xfId="1709" xr:uid="{99FE12FF-DBF7-4AB3-8C21-BFDB33C83F4C}"/>
    <cellStyle name="Comma [0] 3 5" xfId="1626" xr:uid="{732C854B-0FD7-4DB7-89AA-405F1672B7BD}"/>
    <cellStyle name="Comma [0] 3_3.RAB ARSITEK IRNA 1 R 1213.09" xfId="854" xr:uid="{00000000-0005-0000-0000-000015030000}"/>
    <cellStyle name="Comma [0] 30" xfId="855" xr:uid="{00000000-0005-0000-0000-000016030000}"/>
    <cellStyle name="Comma [0] 31" xfId="856" xr:uid="{00000000-0005-0000-0000-000017030000}"/>
    <cellStyle name="Comma [0] 33" xfId="857" xr:uid="{00000000-0005-0000-0000-000018030000}"/>
    <cellStyle name="Comma [0] 34" xfId="858" xr:uid="{00000000-0005-0000-0000-000019030000}"/>
    <cellStyle name="Comma [0] 35" xfId="859" xr:uid="{00000000-0005-0000-0000-00001A030000}"/>
    <cellStyle name="Comma [0] 38" xfId="1713" xr:uid="{913B0C3B-1B59-435B-A6A2-074FC841F9E0}"/>
    <cellStyle name="Comma [0] 4" xfId="20" xr:uid="{00000000-0005-0000-0000-00001B030000}"/>
    <cellStyle name="Comma [0] 4 2" xfId="59" xr:uid="{00000000-0005-0000-0000-00001C030000}"/>
    <cellStyle name="Comma [0] 4 2 2" xfId="1655" xr:uid="{B2E4B522-8336-4110-9137-12F51C2186F1}"/>
    <cellStyle name="Comma [0] 4 3" xfId="70" xr:uid="{00000000-0005-0000-0000-00001D030000}"/>
    <cellStyle name="Comma [0] 4 3 2" xfId="1666" xr:uid="{BE4E2FD5-9094-4DEB-A6EB-A00110F2C1B0}"/>
    <cellStyle name="Comma [0] 4 4" xfId="1630" xr:uid="{C26E2903-4B64-4778-B842-BABD24446C88}"/>
    <cellStyle name="Comma [0] 4_BCA CIHAMPELAS" xfId="860" xr:uid="{00000000-0005-0000-0000-00001E030000}"/>
    <cellStyle name="Comma [0] 5" xfId="39" xr:uid="{00000000-0005-0000-0000-00001F030000}"/>
    <cellStyle name="Comma [0] 5 2" xfId="861" xr:uid="{00000000-0005-0000-0000-000020030000}"/>
    <cellStyle name="Comma [0] 5 3" xfId="862" xr:uid="{00000000-0005-0000-0000-000021030000}"/>
    <cellStyle name="Comma [0] 5 4" xfId="863" xr:uid="{00000000-0005-0000-0000-000022030000}"/>
    <cellStyle name="Comma [0] 5 5" xfId="864" xr:uid="{00000000-0005-0000-0000-000023030000}"/>
    <cellStyle name="Comma [0] 5 6" xfId="865" xr:uid="{00000000-0005-0000-0000-000024030000}"/>
    <cellStyle name="Comma [0] 5 7" xfId="866" xr:uid="{00000000-0005-0000-0000-000025030000}"/>
    <cellStyle name="Comma [0] 5_3.RAB ARSITEK IRNA 1 R 1213.09" xfId="867" xr:uid="{00000000-0005-0000-0000-000026030000}"/>
    <cellStyle name="Comma [0] 6" xfId="41" xr:uid="{00000000-0005-0000-0000-000027030000}"/>
    <cellStyle name="Comma [0] 6 2" xfId="66" xr:uid="{00000000-0005-0000-0000-000028030000}"/>
    <cellStyle name="Comma [0] 6 2 2" xfId="1662" xr:uid="{4D1498CE-AC09-44F9-97D2-48A2F5CD156C}"/>
    <cellStyle name="Comma [0] 6 3" xfId="868" xr:uid="{00000000-0005-0000-0000-000029030000}"/>
    <cellStyle name="Comma [0] 6 3 2" xfId="869" xr:uid="{00000000-0005-0000-0000-00002A030000}"/>
    <cellStyle name="Comma [0] 6 3 3" xfId="870" xr:uid="{00000000-0005-0000-0000-00002B030000}"/>
    <cellStyle name="Comma [0] 6 4" xfId="72" xr:uid="{00000000-0005-0000-0000-00002C030000}"/>
    <cellStyle name="Comma [0] 6 5" xfId="1637" xr:uid="{EEE7FFF3-FF61-448A-BB7B-B7D6F088BD30}"/>
    <cellStyle name="Comma [0] 6 5 2" xfId="1721" xr:uid="{B1BFF7FE-EB7C-4759-9A39-703014A44BE2}"/>
    <cellStyle name="Comma [0] 6_RAB ARSITEKTUR BCA 12-4-2013" xfId="871" xr:uid="{00000000-0005-0000-0000-00002D030000}"/>
    <cellStyle name="Comma [0] 7" xfId="44" xr:uid="{00000000-0005-0000-0000-00002E030000}"/>
    <cellStyle name="Comma [0] 7 2" xfId="872" xr:uid="{00000000-0005-0000-0000-00002F030000}"/>
    <cellStyle name="Comma [0] 7 3" xfId="1640" xr:uid="{06E65F49-1359-43C0-B8E2-15A1B919E939}"/>
    <cellStyle name="Comma [0] 8" xfId="873" xr:uid="{00000000-0005-0000-0000-000030030000}"/>
    <cellStyle name="Comma [0] 8 2" xfId="874" xr:uid="{00000000-0005-0000-0000-000031030000}"/>
    <cellStyle name="Comma [0] 9" xfId="875" xr:uid="{00000000-0005-0000-0000-000032030000}"/>
    <cellStyle name="Comma [0] 9 2" xfId="24" xr:uid="{00000000-0005-0000-0000-000033030000}"/>
    <cellStyle name="Comma [2]" xfId="876" xr:uid="{00000000-0005-0000-0000-000034030000}"/>
    <cellStyle name="Comma [3]" xfId="877" xr:uid="{00000000-0005-0000-0000-000035030000}"/>
    <cellStyle name="Comma 0" xfId="878" xr:uid="{00000000-0005-0000-0000-000036030000}"/>
    <cellStyle name="Comma 0 2" xfId="1672" xr:uid="{6A48DD59-CCC4-4959-967A-7527AE943CB2}"/>
    <cellStyle name="Comma 10" xfId="879" xr:uid="{00000000-0005-0000-0000-000037030000}"/>
    <cellStyle name="Comma 10 2" xfId="11" xr:uid="{00000000-0005-0000-0000-000038030000}"/>
    <cellStyle name="Comma 10 2 5" xfId="880" xr:uid="{00000000-0005-0000-0000-000039030000}"/>
    <cellStyle name="Comma 10 2 5 2" xfId="881" xr:uid="{00000000-0005-0000-0000-00003A030000}"/>
    <cellStyle name="Comma 10 3" xfId="19" xr:uid="{00000000-0005-0000-0000-00003B030000}"/>
    <cellStyle name="Comma 10_BQ BCA Kantor Kas Teuku Umar Banda Aceh" xfId="882" xr:uid="{00000000-0005-0000-0000-00003C030000}"/>
    <cellStyle name="Comma 11" xfId="22" xr:uid="{00000000-0005-0000-0000-00003D030000}"/>
    <cellStyle name="Comma 11 2" xfId="883" xr:uid="{00000000-0005-0000-0000-00003E030000}"/>
    <cellStyle name="Comma 11 2 2" xfId="884" xr:uid="{00000000-0005-0000-0000-00003F030000}"/>
    <cellStyle name="Comma 11_RAB ARSITEKTUR BCA 12-4-2013" xfId="885" xr:uid="{00000000-0005-0000-0000-000040030000}"/>
    <cellStyle name="Comma 12" xfId="886" xr:uid="{00000000-0005-0000-0000-000041030000}"/>
    <cellStyle name="Comma 13" xfId="887" xr:uid="{00000000-0005-0000-0000-000042030000}"/>
    <cellStyle name="Comma 14" xfId="888" xr:uid="{00000000-0005-0000-0000-000043030000}"/>
    <cellStyle name="Comma 15" xfId="889" xr:uid="{00000000-0005-0000-0000-000044030000}"/>
    <cellStyle name="Comma 16" xfId="890" xr:uid="{00000000-0005-0000-0000-000045030000}"/>
    <cellStyle name="Comma 17" xfId="891" xr:uid="{00000000-0005-0000-0000-000046030000}"/>
    <cellStyle name="Comma 18" xfId="892" xr:uid="{00000000-0005-0000-0000-000047030000}"/>
    <cellStyle name="Comma 19" xfId="893" xr:uid="{00000000-0005-0000-0000-000048030000}"/>
    <cellStyle name="Comma 2" xfId="15" xr:uid="{00000000-0005-0000-0000-000049030000}"/>
    <cellStyle name="Comma 2 10" xfId="894" xr:uid="{00000000-0005-0000-0000-00004A030000}"/>
    <cellStyle name="Comma 2 2" xfId="12" xr:uid="{00000000-0005-0000-0000-00004B030000}"/>
    <cellStyle name="Comma 2 2 2" xfId="895" xr:uid="{00000000-0005-0000-0000-00004C030000}"/>
    <cellStyle name="Comma 2 2 2 2" xfId="896" xr:uid="{00000000-0005-0000-0000-00004D030000}"/>
    <cellStyle name="Comma 2 2 2 2 2" xfId="897" xr:uid="{00000000-0005-0000-0000-00004E030000}"/>
    <cellStyle name="Comma 2 2 2 2 2 2" xfId="898" xr:uid="{00000000-0005-0000-0000-00004F030000}"/>
    <cellStyle name="Comma 2 2 2_3.RAB ARSITEK IRNA 1 R 1213.09" xfId="899" xr:uid="{00000000-0005-0000-0000-000050030000}"/>
    <cellStyle name="Comma 2 2 3" xfId="900" xr:uid="{00000000-0005-0000-0000-000051030000}"/>
    <cellStyle name="Comma 2 2 4" xfId="901" xr:uid="{00000000-0005-0000-0000-000052030000}"/>
    <cellStyle name="Comma 2 2 5" xfId="902" xr:uid="{00000000-0005-0000-0000-000053030000}"/>
    <cellStyle name="Comma 2 2 6" xfId="903" xr:uid="{00000000-0005-0000-0000-000054030000}"/>
    <cellStyle name="Comma 2 2 7" xfId="904" xr:uid="{00000000-0005-0000-0000-000055030000}"/>
    <cellStyle name="Comma 2 2 8" xfId="905" xr:uid="{00000000-0005-0000-0000-000056030000}"/>
    <cellStyle name="Comma 2 2 8 2" xfId="906" xr:uid="{00000000-0005-0000-0000-000057030000}"/>
    <cellStyle name="Comma 2 2_BQ-ME-BCA-TPI Rev.1-ASP" xfId="907" xr:uid="{00000000-0005-0000-0000-000058030000}"/>
    <cellStyle name="Comma 2 3" xfId="56" xr:uid="{00000000-0005-0000-0000-000059030000}"/>
    <cellStyle name="Comma 2 3 2" xfId="908" xr:uid="{00000000-0005-0000-0000-00005A030000}"/>
    <cellStyle name="Comma 2 3 2 2" xfId="909" xr:uid="{00000000-0005-0000-0000-00005B030000}"/>
    <cellStyle name="Comma 2 3 2 2 2" xfId="910" xr:uid="{00000000-0005-0000-0000-00005C030000}"/>
    <cellStyle name="Comma 2 3 3" xfId="1652" xr:uid="{6F198919-F0DE-4468-9727-E189646F0DA4}"/>
    <cellStyle name="Comma 2 3_3.RAB ARSITEK IRNA 1 R 1213.09" xfId="911" xr:uid="{00000000-0005-0000-0000-00005D030000}"/>
    <cellStyle name="Comma 2 4" xfId="912" xr:uid="{00000000-0005-0000-0000-00005E030000}"/>
    <cellStyle name="Comma 2 5" xfId="913" xr:uid="{00000000-0005-0000-0000-00005F030000}"/>
    <cellStyle name="Comma 2 5 2" xfId="914" xr:uid="{00000000-0005-0000-0000-000060030000}"/>
    <cellStyle name="Comma 2 6" xfId="915" xr:uid="{00000000-0005-0000-0000-000061030000}"/>
    <cellStyle name="Comma 2 6 2" xfId="1673" xr:uid="{8E9DEF7D-AF38-43A9-8404-97BEFAFC2657}"/>
    <cellStyle name="Comma 2 7" xfId="1627" xr:uid="{7FAAEE4B-B024-471F-9821-23A7D1BBDA76}"/>
    <cellStyle name="Comma 2 8" xfId="1725" xr:uid="{3FE5749F-5DF8-4CC0-A2E9-DF9C03F39742}"/>
    <cellStyle name="Comma 2_3.RAB ARSITEK IRNA 1 R 1213.09" xfId="916" xr:uid="{00000000-0005-0000-0000-000062030000}"/>
    <cellStyle name="Comma 20" xfId="917" xr:uid="{00000000-0005-0000-0000-000063030000}"/>
    <cellStyle name="Comma 22 2" xfId="918" xr:uid="{00000000-0005-0000-0000-000064030000}"/>
    <cellStyle name="Comma 23 2" xfId="919" xr:uid="{00000000-0005-0000-0000-000065030000}"/>
    <cellStyle name="Comma 23 2 2" xfId="26" xr:uid="{00000000-0005-0000-0000-000066030000}"/>
    <cellStyle name="Comma 23 2 2 2" xfId="60" xr:uid="{00000000-0005-0000-0000-000067030000}"/>
    <cellStyle name="Comma 23 2 2 2 2" xfId="1656" xr:uid="{F7450C8C-6403-4940-B10E-C82620F4DCC5}"/>
    <cellStyle name="Comma 23 2 2 3" xfId="1631" xr:uid="{BB49C33E-4FA0-4371-A0D1-967B26B30254}"/>
    <cellStyle name="Comma 24" xfId="920" xr:uid="{00000000-0005-0000-0000-000068030000}"/>
    <cellStyle name="Comma 24 4" xfId="921" xr:uid="{00000000-0005-0000-0000-000069030000}"/>
    <cellStyle name="Comma 26 2" xfId="922" xr:uid="{00000000-0005-0000-0000-00006A030000}"/>
    <cellStyle name="Comma 3" xfId="75" xr:uid="{00000000-0005-0000-0000-00006B030000}"/>
    <cellStyle name="Comma 3 2" xfId="37" xr:uid="{00000000-0005-0000-0000-00006C030000}"/>
    <cellStyle name="Comma 3 2 2" xfId="923" xr:uid="{00000000-0005-0000-0000-00006D030000}"/>
    <cellStyle name="Comma 3 3" xfId="924" xr:uid="{00000000-0005-0000-0000-00006E030000}"/>
    <cellStyle name="Comma 3 3 2" xfId="925" xr:uid="{00000000-0005-0000-0000-00006F030000}"/>
    <cellStyle name="Comma 3 4" xfId="926" xr:uid="{00000000-0005-0000-0000-000070030000}"/>
    <cellStyle name="Comma 3 5" xfId="927" xr:uid="{00000000-0005-0000-0000-000071030000}"/>
    <cellStyle name="Comma 3 6" xfId="928" xr:uid="{00000000-0005-0000-0000-000072030000}"/>
    <cellStyle name="Comma 3_BQ - REMBANG ( Revisi  1)-Asp" xfId="929" xr:uid="{00000000-0005-0000-0000-000073030000}"/>
    <cellStyle name="Comma 4" xfId="31" xr:uid="{00000000-0005-0000-0000-000074030000}"/>
    <cellStyle name="Comma 4 2" xfId="930" xr:uid="{00000000-0005-0000-0000-000075030000}"/>
    <cellStyle name="Comma 4 2 2" xfId="25" xr:uid="{00000000-0005-0000-0000-000076030000}"/>
    <cellStyle name="Comma 4 2 2 2" xfId="931" xr:uid="{00000000-0005-0000-0000-000077030000}"/>
    <cellStyle name="Comma 4 2 3" xfId="932" xr:uid="{00000000-0005-0000-0000-000078030000}"/>
    <cellStyle name="Comma 4 2_RAB ARSITEKTUR BCA 12-4-2013" xfId="933" xr:uid="{00000000-0005-0000-0000-000079030000}"/>
    <cellStyle name="Comma 4 3" xfId="934" xr:uid="{00000000-0005-0000-0000-00007A030000}"/>
    <cellStyle name="Comma 4 4" xfId="935" xr:uid="{00000000-0005-0000-0000-00007B030000}"/>
    <cellStyle name="Comma 4 4 2" xfId="936" xr:uid="{00000000-0005-0000-0000-00007C030000}"/>
    <cellStyle name="Comma 4 4_3.RAB ARSITEK IRNA 1 R 1213.09" xfId="937" xr:uid="{00000000-0005-0000-0000-00007D030000}"/>
    <cellStyle name="Comma 4 5" xfId="938" xr:uid="{00000000-0005-0000-0000-00007E030000}"/>
    <cellStyle name="Comma 4 5 2" xfId="939" xr:uid="{00000000-0005-0000-0000-00007F030000}"/>
    <cellStyle name="Comma 4 5_3.RAB ARSITEK IRNA 1 R 1213.09" xfId="940" xr:uid="{00000000-0005-0000-0000-000080030000}"/>
    <cellStyle name="Comma 4 6" xfId="941" xr:uid="{00000000-0005-0000-0000-000081030000}"/>
    <cellStyle name="Comma 4 7" xfId="942" xr:uid="{00000000-0005-0000-0000-000082030000}"/>
    <cellStyle name="Comma 4 8" xfId="943" xr:uid="{00000000-0005-0000-0000-000083030000}"/>
    <cellStyle name="Comma 4_3.RAB ARSITEK IRNA 1 R 1213.09" xfId="944" xr:uid="{00000000-0005-0000-0000-000084030000}"/>
    <cellStyle name="Comma 5" xfId="945" xr:uid="{00000000-0005-0000-0000-000085030000}"/>
    <cellStyle name="Comma 5 2 2" xfId="1715" xr:uid="{F7017621-CB82-47DE-9F88-D9182A6823F1}"/>
    <cellStyle name="Comma 6" xfId="18" xr:uid="{00000000-0005-0000-0000-000086030000}"/>
    <cellStyle name="Comma 6 2" xfId="58" xr:uid="{00000000-0005-0000-0000-000087030000}"/>
    <cellStyle name="Comma 6 2 2" xfId="1654" xr:uid="{6158F602-2534-434E-B7CA-6F5FF4934357}"/>
    <cellStyle name="Comma 6 3" xfId="69" xr:uid="{00000000-0005-0000-0000-000088030000}"/>
    <cellStyle name="Comma 6 3 2" xfId="1665" xr:uid="{96F19D9C-5371-42E0-9166-6852B42054FE}"/>
    <cellStyle name="Comma 6 4" xfId="946" xr:uid="{00000000-0005-0000-0000-000089030000}"/>
    <cellStyle name="Comma 6 5" xfId="947" xr:uid="{00000000-0005-0000-0000-00008A030000}"/>
    <cellStyle name="Comma 6 6" xfId="948" xr:uid="{00000000-0005-0000-0000-00008B030000}"/>
    <cellStyle name="Comma 6 7" xfId="1629" xr:uid="{4B07775C-E042-4202-8EB9-BB2DE29A5163}"/>
    <cellStyle name="Comma 6_3.RAB ARSITEK IRNA 1 R 1213.09" xfId="949" xr:uid="{00000000-0005-0000-0000-00008C030000}"/>
    <cellStyle name="Comma 7" xfId="950" xr:uid="{00000000-0005-0000-0000-00008D030000}"/>
    <cellStyle name="Comma 8" xfId="951" xr:uid="{00000000-0005-0000-0000-00008E030000}"/>
    <cellStyle name="Comma 8 2" xfId="952" xr:uid="{00000000-0005-0000-0000-00008F030000}"/>
    <cellStyle name="Comma 8 3" xfId="953" xr:uid="{00000000-0005-0000-0000-000090030000}"/>
    <cellStyle name="Comma 8_3.RAB ARSITEK IRNA 1 R 1213.09" xfId="954" xr:uid="{00000000-0005-0000-0000-000091030000}"/>
    <cellStyle name="Comma 9" xfId="955" xr:uid="{00000000-0005-0000-0000-000092030000}"/>
    <cellStyle name="Comma_Sebutan" xfId="1726" xr:uid="{6B01CC4D-09E9-49A7-A54C-7DD6FAC1DFE8}"/>
    <cellStyle name="Comma0" xfId="956" xr:uid="{00000000-0005-0000-0000-000093030000}"/>
    <cellStyle name="Copied" xfId="957" xr:uid="{00000000-0005-0000-0000-000094030000}"/>
    <cellStyle name="CSI" xfId="958" xr:uid="{00000000-0005-0000-0000-000095030000}"/>
    <cellStyle name="Currency [0] 2" xfId="959" xr:uid="{00000000-0005-0000-0000-000096030000}"/>
    <cellStyle name="Currency 2" xfId="960" xr:uid="{00000000-0005-0000-0000-000097030000}"/>
    <cellStyle name="Currency0" xfId="961" xr:uid="{00000000-0005-0000-0000-000098030000}"/>
    <cellStyle name="custom" xfId="962" xr:uid="{00000000-0005-0000-0000-000099030000}"/>
    <cellStyle name="Custom - Style8" xfId="963" xr:uid="{00000000-0005-0000-0000-00009A030000}"/>
    <cellStyle name="Data   - Style2" xfId="964" xr:uid="{00000000-0005-0000-0000-00009B030000}"/>
    <cellStyle name="Data   - Style2 2" xfId="1674" xr:uid="{34189AD7-F985-481B-B323-B60CE63E3F89}"/>
    <cellStyle name="Date" xfId="965" xr:uid="{00000000-0005-0000-0000-00009C030000}"/>
    <cellStyle name="date1" xfId="966" xr:uid="{00000000-0005-0000-0000-00009D030000}"/>
    <cellStyle name="Description" xfId="967" xr:uid="{00000000-0005-0000-0000-00009E030000}"/>
    <cellStyle name="Dezimal [0]_Central Install 6-up" xfId="968" xr:uid="{00000000-0005-0000-0000-00009F030000}"/>
    <cellStyle name="Dezimal_Central Install 6-up" xfId="969" xr:uid="{00000000-0005-0000-0000-0000A0030000}"/>
    <cellStyle name="Entered" xfId="970" xr:uid="{00000000-0005-0000-0000-0000A1030000}"/>
    <cellStyle name="Euro" xfId="971" xr:uid="{00000000-0005-0000-0000-0000A2030000}"/>
    <cellStyle name="Excel Built-in Comma [0]" xfId="972" xr:uid="{00000000-0005-0000-0000-0000A3030000}"/>
    <cellStyle name="Excel Built-in Normal" xfId="973" xr:uid="{00000000-0005-0000-0000-0000A4030000}"/>
    <cellStyle name="Explanatory Text 2" xfId="974" xr:uid="{00000000-0005-0000-0000-0000A5030000}"/>
    <cellStyle name="Explanatory Text 3" xfId="975" xr:uid="{00000000-0005-0000-0000-0000A6030000}"/>
    <cellStyle name="ƒ" xfId="976" xr:uid="{00000000-0005-0000-0000-0000A7030000}"/>
    <cellStyle name="F2" xfId="977" xr:uid="{00000000-0005-0000-0000-0000A8030000}"/>
    <cellStyle name="F3" xfId="978" xr:uid="{00000000-0005-0000-0000-0000A9030000}"/>
    <cellStyle name="F4" xfId="979" xr:uid="{00000000-0005-0000-0000-0000AA030000}"/>
    <cellStyle name="F5" xfId="980" xr:uid="{00000000-0005-0000-0000-0000AB030000}"/>
    <cellStyle name="F6" xfId="981" xr:uid="{00000000-0005-0000-0000-0000AC030000}"/>
    <cellStyle name="F7" xfId="982" xr:uid="{00000000-0005-0000-0000-0000AD030000}"/>
    <cellStyle name="F8" xfId="983" xr:uid="{00000000-0005-0000-0000-0000AE030000}"/>
    <cellStyle name="Fixed" xfId="984" xr:uid="{00000000-0005-0000-0000-0000AF030000}"/>
    <cellStyle name="Foottitle" xfId="985" xr:uid="{00000000-0005-0000-0000-0000B0030000}"/>
    <cellStyle name="Good 2" xfId="986" xr:uid="{00000000-0005-0000-0000-0000B1030000}"/>
    <cellStyle name="Good 3" xfId="987" xr:uid="{00000000-0005-0000-0000-0000B2030000}"/>
    <cellStyle name="Grey" xfId="988" xr:uid="{00000000-0005-0000-0000-0000B3030000}"/>
    <cellStyle name="GTT%" xfId="989" xr:uid="{00000000-0005-0000-0000-0000B4030000}"/>
    <cellStyle name="HEADER" xfId="990" xr:uid="{00000000-0005-0000-0000-0000B5030000}"/>
    <cellStyle name="Header1" xfId="991" xr:uid="{00000000-0005-0000-0000-0000B6030000}"/>
    <cellStyle name="Header1 2" xfId="1675" xr:uid="{587320BB-6369-4944-AF3B-097AE40AF428}"/>
    <cellStyle name="Header2" xfId="992" xr:uid="{00000000-0005-0000-0000-0000B7030000}"/>
    <cellStyle name="Header2 2" xfId="1676" xr:uid="{AF1BE484-F4DD-4E79-B850-409EB1CAC811}"/>
    <cellStyle name="Heading 1 2" xfId="993" xr:uid="{00000000-0005-0000-0000-0000B8030000}"/>
    <cellStyle name="Heading 1 3" xfId="994" xr:uid="{00000000-0005-0000-0000-0000B9030000}"/>
    <cellStyle name="Heading 2 2" xfId="995" xr:uid="{00000000-0005-0000-0000-0000BA030000}"/>
    <cellStyle name="Heading 2 3" xfId="996" xr:uid="{00000000-0005-0000-0000-0000BB030000}"/>
    <cellStyle name="Heading 3 2" xfId="997" xr:uid="{00000000-0005-0000-0000-0000BC030000}"/>
    <cellStyle name="Heading 3 3" xfId="998" xr:uid="{00000000-0005-0000-0000-0000BD030000}"/>
    <cellStyle name="Heading 4 2" xfId="999" xr:uid="{00000000-0005-0000-0000-0000BE030000}"/>
    <cellStyle name="Heading 4 3" xfId="1000" xr:uid="{00000000-0005-0000-0000-0000BF030000}"/>
    <cellStyle name="Heading1" xfId="1001" xr:uid="{00000000-0005-0000-0000-0000C0030000}"/>
    <cellStyle name="Heading1 1" xfId="1002" xr:uid="{00000000-0005-0000-0000-0000C1030000}"/>
    <cellStyle name="Heading2" xfId="1003" xr:uid="{00000000-0005-0000-0000-0000C2030000}"/>
    <cellStyle name="HEADINGS" xfId="1004" xr:uid="{00000000-0005-0000-0000-0000C3030000}"/>
    <cellStyle name="HEADINGSTOP" xfId="1005" xr:uid="{00000000-0005-0000-0000-0000C4030000}"/>
    <cellStyle name="Hyperlink 2" xfId="1006" xr:uid="{00000000-0005-0000-0000-0000C5030000}"/>
    <cellStyle name="Hyperlink 2 2" xfId="1007" xr:uid="{00000000-0005-0000-0000-0000C6030000}"/>
    <cellStyle name="Hyperlink 2_Copy of penawaran final BCA J.W.Marriott-Latihan" xfId="1008" xr:uid="{00000000-0005-0000-0000-0000C7030000}"/>
    <cellStyle name="Input [yellow]" xfId="1009" xr:uid="{00000000-0005-0000-0000-0000C8030000}"/>
    <cellStyle name="Input 2" xfId="1010" xr:uid="{00000000-0005-0000-0000-0000C9030000}"/>
    <cellStyle name="Input 2 2" xfId="1011" xr:uid="{00000000-0005-0000-0000-0000CA030000}"/>
    <cellStyle name="Input 2 2 2" xfId="1678" xr:uid="{49A567AA-F063-4088-8601-6A52916B9C07}"/>
    <cellStyle name="Input 2 3" xfId="1677" xr:uid="{3BBCEF80-B188-475C-B683-0EEFD0E9E73B}"/>
    <cellStyle name="Input 3" xfId="1012" xr:uid="{00000000-0005-0000-0000-0000CB030000}"/>
    <cellStyle name="Input 3 2" xfId="1679" xr:uid="{2CC3B48B-59B0-4A59-8875-C2B887ABF871}"/>
    <cellStyle name="Input 4" xfId="1013" xr:uid="{00000000-0005-0000-0000-0000CC030000}"/>
    <cellStyle name="Input 4 2" xfId="1680" xr:uid="{339D98C3-BE98-465B-8A9B-1D1B40344177}"/>
    <cellStyle name="Input 5" xfId="1014" xr:uid="{00000000-0005-0000-0000-0000CD030000}"/>
    <cellStyle name="Input 5 2" xfId="1681" xr:uid="{A3938228-A4F0-4476-B2B8-75237B139607}"/>
    <cellStyle name="Judul" xfId="1015" xr:uid="{00000000-0005-0000-0000-0000CE030000}"/>
    <cellStyle name="k" xfId="1016" xr:uid="{00000000-0005-0000-0000-0000CF030000}"/>
    <cellStyle name="k_BQ-Kontrak Utama (5)-radja" xfId="1017" xr:uid="{00000000-0005-0000-0000-0000D0030000}"/>
    <cellStyle name="k_BQ-Kontrak Utama (5)-radja_BQ RAPP 06.01.11 KOTAK KATIK" xfId="1018" xr:uid="{00000000-0005-0000-0000-0000D1030000}"/>
    <cellStyle name="k_BQ-Kontrak Utama (5)-radja_BQ RAPP 5 01 2011 email 15" xfId="1019" xr:uid="{00000000-0005-0000-0000-0000D2030000}"/>
    <cellStyle name="k_BQ-Kontrak Utama (5)-radja_BQ-Kontrak Utama (R)" xfId="1020" xr:uid="{00000000-0005-0000-0000-0000D3030000}"/>
    <cellStyle name="k_BQ-Kontrak Utama (5)-radja_BQ-Kontrak Utama (R)_BQ RAPP 06.01.11 KOTAK KATIK" xfId="1021" xr:uid="{00000000-0005-0000-0000-0000D4030000}"/>
    <cellStyle name="k_BQ-Kontrak Utama (5)-radja_BQ-Kontrak Utama (R)_BQ RAPP 5 01 2011 email 15" xfId="1022" xr:uid="{00000000-0005-0000-0000-0000D5030000}"/>
    <cellStyle name="k_BQ-Kontrak Utama (5)-radja_BQ-Kontrak Utama (R)_BQ-Omni Wuryanto edit-KWD 10 Juli 2006 hendra" xfId="1023" xr:uid="{00000000-0005-0000-0000-0000D6030000}"/>
    <cellStyle name="k_BQ-Kontrak Utama (5)-radja_BQ-Kontrak Utama (R)_BQ-Omni Wuryanto edit-KWD 10 Juli 2006 hendra_BQ RAPP 06.01.11 KOTAK KATIK" xfId="1024" xr:uid="{00000000-0005-0000-0000-0000D7030000}"/>
    <cellStyle name="k_BQ-Kontrak Utama (5)-radja_BQ-Kontrak Utama (R)_BQ-Omni Wuryanto edit-KWD 10 Juli 2006 hendra_BQ RAPP 5 01 2011 email 15" xfId="1025" xr:uid="{00000000-0005-0000-0000-0000D8030000}"/>
    <cellStyle name="k_BQ-Kontrak Utama (5)-radja_BQ-Kontrak Utama (R)_BQ-Omni Wuryanto edit-KWD 10 Juli 2006 hendra_COST PLAN SRUKTUR&amp;ARSITEK_R1" xfId="1026" xr:uid="{00000000-0005-0000-0000-0000D9030000}"/>
    <cellStyle name="k_BQ-Kontrak Utama (5)-radja_BQ-Kontrak Utama (R)_BQ-Omni Wuryanto edit-KWD 10 Juli 2006 hendra_Struktural Steel Upper Struct New Skin - Unilever" xfId="1027" xr:uid="{00000000-0005-0000-0000-0000DA030000}"/>
    <cellStyle name="k_BQ-Kontrak Utama (5)-radja_BQ-Kontrak Utama (R)_Copy of BQ-Kontrak Utama-KWrev1" xfId="1028" xr:uid="{00000000-0005-0000-0000-0000DB030000}"/>
    <cellStyle name="k_BQ-Kontrak Utama (5)-radja_BQ-Kontrak Utama (R)_Copy of BQ-Kontrak Utama-KWrev1_BQ RAPP 06.01.11 KOTAK KATIK" xfId="1029" xr:uid="{00000000-0005-0000-0000-0000DC030000}"/>
    <cellStyle name="k_BQ-Kontrak Utama (5)-radja_BQ-Kontrak Utama (R)_Copy of BQ-Kontrak Utama-KWrev1_BQ RAPP 5 01 2011 email 15" xfId="1030" xr:uid="{00000000-0005-0000-0000-0000DD030000}"/>
    <cellStyle name="k_BQ-Kontrak Utama (5)-radja_BQ-Kontrak Utama (R)_Copy of BQ-Kontrak Utama-KWrev1_COST PLAN SRUKTUR&amp;ARSITEK_R1" xfId="1031" xr:uid="{00000000-0005-0000-0000-0000DE030000}"/>
    <cellStyle name="k_BQ-Kontrak Utama (5)-radja_BQ-Kontrak Utama (R)_Copy of BQ-Kontrak Utama-KWrev1_Struktural Steel Upper Struct New Skin - Unilever" xfId="1032" xr:uid="{00000000-0005-0000-0000-0000DF030000}"/>
    <cellStyle name="k_BQ-Kontrak Utama (5)-radja_BQ-Kontrak Utama (R)_COST PLAN SRUKTUR&amp;ARSITEK_R1" xfId="1033" xr:uid="{00000000-0005-0000-0000-0000E0030000}"/>
    <cellStyle name="k_BQ-Kontrak Utama (5)-radja_BQ-Kontrak Utama (R)_MKU14July06" xfId="1034" xr:uid="{00000000-0005-0000-0000-0000E1030000}"/>
    <cellStyle name="k_BQ-Kontrak Utama (5)-radja_BQ-Kontrak Utama (R)_MKU14July06_BQ RAPP 06.01.11 KOTAK KATIK" xfId="1035" xr:uid="{00000000-0005-0000-0000-0000E2030000}"/>
    <cellStyle name="k_BQ-Kontrak Utama (5)-radja_BQ-Kontrak Utama (R)_MKU14July06_BQ RAPP 5 01 2011 email 15" xfId="1036" xr:uid="{00000000-0005-0000-0000-0000E3030000}"/>
    <cellStyle name="k_BQ-Kontrak Utama (5)-radja_BQ-Kontrak Utama (R)_MKU14July06_COST PLAN SRUKTUR&amp;ARSITEK_R1" xfId="1037" xr:uid="{00000000-0005-0000-0000-0000E4030000}"/>
    <cellStyle name="k_BQ-Kontrak Utama (5)-radja_BQ-Kontrak Utama (R)_MKU14July06_Struktural Steel Upper Struct New Skin - Unilever" xfId="1038" xr:uid="{00000000-0005-0000-0000-0000E5030000}"/>
    <cellStyle name="k_BQ-Kontrak Utama (5)-radja_BQ-Kontrak Utama (R)_Struktural Steel Upper Struct New Skin - Unilever" xfId="1039" xr:uid="{00000000-0005-0000-0000-0000E6030000}"/>
    <cellStyle name="k_BQ-Kontrak Utama (5)-radja_BQ-Omni Wuryanto edit-KWD 10 Juli 2006 hendra" xfId="1040" xr:uid="{00000000-0005-0000-0000-0000E7030000}"/>
    <cellStyle name="k_BQ-Kontrak Utama (5)-radja_BQ-Omni Wuryanto edit-KWD 10 Juli 2006 hendra_BQ RAPP 06.01.11 KOTAK KATIK" xfId="1041" xr:uid="{00000000-0005-0000-0000-0000E8030000}"/>
    <cellStyle name="k_BQ-Kontrak Utama (5)-radja_BQ-Omni Wuryanto edit-KWD 10 Juli 2006 hendra_BQ RAPP 5 01 2011 email 15" xfId="1042" xr:uid="{00000000-0005-0000-0000-0000E9030000}"/>
    <cellStyle name="k_BQ-Kontrak Utama (5)-radja_BQ-Omni Wuryanto edit-KWD 10 Juli 2006 hendra_COST PLAN SRUKTUR&amp;ARSITEK_R1" xfId="1043" xr:uid="{00000000-0005-0000-0000-0000EA030000}"/>
    <cellStyle name="k_BQ-Kontrak Utama (5)-radja_BQ-Omni Wuryanto edit-KWD 10 Juli 2006 hendra_Struktural Steel Upper Struct New Skin - Unilever" xfId="1044" xr:uid="{00000000-0005-0000-0000-0000EB030000}"/>
    <cellStyle name="k_BQ-Kontrak Utama (5)-radja_Copy of BQ-Kontrak Utama-KWrev1" xfId="1045" xr:uid="{00000000-0005-0000-0000-0000EC030000}"/>
    <cellStyle name="k_BQ-Kontrak Utama (5)-radja_Copy of BQ-Kontrak Utama-KWrev1_BQ RAPP 06.01.11 KOTAK KATIK" xfId="1046" xr:uid="{00000000-0005-0000-0000-0000ED030000}"/>
    <cellStyle name="k_BQ-Kontrak Utama (5)-radja_Copy of BQ-Kontrak Utama-KWrev1_BQ RAPP 5 01 2011 email 15" xfId="1047" xr:uid="{00000000-0005-0000-0000-0000EE030000}"/>
    <cellStyle name="k_BQ-Kontrak Utama (5)-radja_Copy of BQ-Kontrak Utama-KWrev1_COST PLAN SRUKTUR&amp;ARSITEK_R1" xfId="1048" xr:uid="{00000000-0005-0000-0000-0000EF030000}"/>
    <cellStyle name="k_BQ-Kontrak Utama (5)-radja_Copy of BQ-Kontrak Utama-KWrev1_Struktural Steel Upper Struct New Skin - Unilever" xfId="1049" xr:uid="{00000000-0005-0000-0000-0000F0030000}"/>
    <cellStyle name="k_BQ-Kontrak Utama (5)-radja_COST PLAN SRUKTUR&amp;ARSITEK_R1" xfId="1050" xr:uid="{00000000-0005-0000-0000-0000F1030000}"/>
    <cellStyle name="k_BQ-Kontrak Utama (5)-radja_MKU14July06" xfId="1051" xr:uid="{00000000-0005-0000-0000-0000F2030000}"/>
    <cellStyle name="k_BQ-Kontrak Utama (5)-radja_MKU14July06_BQ RAPP 06.01.11 KOTAK KATIK" xfId="1052" xr:uid="{00000000-0005-0000-0000-0000F3030000}"/>
    <cellStyle name="k_BQ-Kontrak Utama (5)-radja_MKU14July06_BQ RAPP 5 01 2011 email 15" xfId="1053" xr:uid="{00000000-0005-0000-0000-0000F4030000}"/>
    <cellStyle name="k_BQ-Kontrak Utama (5)-radja_MKU14July06_COST PLAN SRUKTUR&amp;ARSITEK_R1" xfId="1054" xr:uid="{00000000-0005-0000-0000-0000F5030000}"/>
    <cellStyle name="k_BQ-Kontrak Utama (5)-radja_MKU14July06_Struktural Steel Upper Struct New Skin - Unilever" xfId="1055" xr:uid="{00000000-0005-0000-0000-0000F6030000}"/>
    <cellStyle name="k_BQ-Kontrak Utama (5)-radja_REVISI ACHIR OMNI" xfId="1056" xr:uid="{00000000-0005-0000-0000-0000F7030000}"/>
    <cellStyle name="k_BQ-Kontrak Utama (5)-radja_REVISI ACHIR OMNI_BQ RAPP 06.01.11 KOTAK KATIK" xfId="1057" xr:uid="{00000000-0005-0000-0000-0000F8030000}"/>
    <cellStyle name="k_BQ-Kontrak Utama (5)-radja_REVISI ACHIR OMNI_BQ RAPP 5 01 2011 email 15" xfId="1058" xr:uid="{00000000-0005-0000-0000-0000F9030000}"/>
    <cellStyle name="k_BQ-Kontrak Utama (5)-radja_REVISI ACHIR OMNI_COST PLAN SRUKTUR&amp;ARSITEK_R1" xfId="1059" xr:uid="{00000000-0005-0000-0000-0000FA030000}"/>
    <cellStyle name="k_BQ-Kontrak Utama (5)-radja_REVISI ACHIR OMNI_Struktural Steel Upper Struct New Skin - Unilever" xfId="1060" xr:uid="{00000000-0005-0000-0000-0000FB030000}"/>
    <cellStyle name="k_BQ-Kontrak Utama (5)-radja_Struktural Steel Upper Struct New Skin - Unilever" xfId="1061" xr:uid="{00000000-0005-0000-0000-0000FC030000}"/>
    <cellStyle name="k_BQ-Kontrak Utama (R)" xfId="1062" xr:uid="{00000000-0005-0000-0000-0000FD030000}"/>
    <cellStyle name="k_BQ-Kontrak Utama (R)_BQ RAPP 06.01.11 KOTAK KATIK" xfId="1063" xr:uid="{00000000-0005-0000-0000-0000FE030000}"/>
    <cellStyle name="k_BQ-Kontrak Utama (R)_BQ RAPP 5 01 2011 email 15" xfId="1064" xr:uid="{00000000-0005-0000-0000-0000FF030000}"/>
    <cellStyle name="k_BQ-Kontrak Utama (R)_BQ-Omni Wuryanto edit-KWD 10 Juli 2006 hendra" xfId="1065" xr:uid="{00000000-0005-0000-0000-000000040000}"/>
    <cellStyle name="k_BQ-Kontrak Utama (R)_BQ-Omni Wuryanto edit-KWD 10 Juli 2006 hendra_BQ RAPP 06.01.11 KOTAK KATIK" xfId="1066" xr:uid="{00000000-0005-0000-0000-000001040000}"/>
    <cellStyle name="k_BQ-Kontrak Utama (R)_BQ-Omni Wuryanto edit-KWD 10 Juli 2006 hendra_BQ RAPP 5 01 2011 email 15" xfId="1067" xr:uid="{00000000-0005-0000-0000-000002040000}"/>
    <cellStyle name="k_BQ-Kontrak Utama (R)_BQ-Omni Wuryanto edit-KWD 10 Juli 2006 hendra_COST PLAN SRUKTUR&amp;ARSITEK_R1" xfId="1068" xr:uid="{00000000-0005-0000-0000-000003040000}"/>
    <cellStyle name="k_BQ-Kontrak Utama (R)_BQ-Omni Wuryanto edit-KWD 10 Juli 2006 hendra_Struktural Steel Upper Struct New Skin - Unilever" xfId="1069" xr:uid="{00000000-0005-0000-0000-000004040000}"/>
    <cellStyle name="k_BQ-Kontrak Utama (R)_Copy of BQ-Kontrak Utama-KWrev1" xfId="1070" xr:uid="{00000000-0005-0000-0000-000005040000}"/>
    <cellStyle name="k_BQ-Kontrak Utama (R)_Copy of BQ-Kontrak Utama-KWrev1_BQ RAPP 06.01.11 KOTAK KATIK" xfId="1071" xr:uid="{00000000-0005-0000-0000-000006040000}"/>
    <cellStyle name="k_BQ-Kontrak Utama (R)_Copy of BQ-Kontrak Utama-KWrev1_BQ RAPP 5 01 2011 email 15" xfId="1072" xr:uid="{00000000-0005-0000-0000-000007040000}"/>
    <cellStyle name="k_BQ-Kontrak Utama (R)_Copy of BQ-Kontrak Utama-KWrev1_COST PLAN SRUKTUR&amp;ARSITEK_R1" xfId="1073" xr:uid="{00000000-0005-0000-0000-000008040000}"/>
    <cellStyle name="k_BQ-Kontrak Utama (R)_Copy of BQ-Kontrak Utama-KWrev1_Struktural Steel Upper Struct New Skin - Unilever" xfId="1074" xr:uid="{00000000-0005-0000-0000-000009040000}"/>
    <cellStyle name="k_BQ-Kontrak Utama (R)_COST PLAN SRUKTUR&amp;ARSITEK_R1" xfId="1075" xr:uid="{00000000-0005-0000-0000-00000A040000}"/>
    <cellStyle name="k_BQ-Kontrak Utama (R)_MKU14July06" xfId="1076" xr:uid="{00000000-0005-0000-0000-00000B040000}"/>
    <cellStyle name="k_BQ-Kontrak Utama (R)_MKU14July06_BQ RAPP 06.01.11 KOTAK KATIK" xfId="1077" xr:uid="{00000000-0005-0000-0000-00000C040000}"/>
    <cellStyle name="k_BQ-Kontrak Utama (R)_MKU14July06_BQ RAPP 5 01 2011 email 15" xfId="1078" xr:uid="{00000000-0005-0000-0000-00000D040000}"/>
    <cellStyle name="k_BQ-Kontrak Utama (R)_MKU14July06_COST PLAN SRUKTUR&amp;ARSITEK_R1" xfId="1079" xr:uid="{00000000-0005-0000-0000-00000E040000}"/>
    <cellStyle name="k_BQ-Kontrak Utama (R)_MKU14July06_Struktural Steel Upper Struct New Skin - Unilever" xfId="1080" xr:uid="{00000000-0005-0000-0000-00000F040000}"/>
    <cellStyle name="k_BQ-Kontrak Utama (R)_Struktural Steel Upper Struct New Skin - Unilever" xfId="1081" xr:uid="{00000000-0005-0000-0000-000010040000}"/>
    <cellStyle name="k_BQ-Omni Wuryanto edit-KWD 10 Juli 2006 hendra" xfId="1082" xr:uid="{00000000-0005-0000-0000-000011040000}"/>
    <cellStyle name="k_BQ-Omni Wuryanto edit-KWD 10 Juli 2006 hendra_BQ RAPP 06.01.11 KOTAK KATIK" xfId="1083" xr:uid="{00000000-0005-0000-0000-000012040000}"/>
    <cellStyle name="k_BQ-Omni Wuryanto edit-KWD 10 Juli 2006 hendra_BQ RAPP 5 01 2011 email 15" xfId="1084" xr:uid="{00000000-0005-0000-0000-000013040000}"/>
    <cellStyle name="k_BQ-Omni Wuryanto edit-KWD 10 Juli 2006 hendra_COST PLAN SRUKTUR&amp;ARSITEK_R1" xfId="1085" xr:uid="{00000000-0005-0000-0000-000014040000}"/>
    <cellStyle name="k_BQ-Omni Wuryanto edit-KWD 10 Juli 2006 hendra_Struktural Steel Upper Struct New Skin - Unilever" xfId="1086" xr:uid="{00000000-0005-0000-0000-000015040000}"/>
    <cellStyle name="k_Copy of BQ-Kontrak Utama-KWrev1" xfId="1087" xr:uid="{00000000-0005-0000-0000-000016040000}"/>
    <cellStyle name="k_Copy of BQ-Kontrak Utama-KWrev1_BQ RAPP 06.01.11 KOTAK KATIK" xfId="1088" xr:uid="{00000000-0005-0000-0000-000017040000}"/>
    <cellStyle name="k_Copy of BQ-Kontrak Utama-KWrev1_BQ RAPP 5 01 2011 email 15" xfId="1089" xr:uid="{00000000-0005-0000-0000-000018040000}"/>
    <cellStyle name="k_Copy of BQ-Kontrak Utama-KWrev1_COST PLAN SRUKTUR&amp;ARSITEK_R1" xfId="1090" xr:uid="{00000000-0005-0000-0000-000019040000}"/>
    <cellStyle name="k_Copy of BQ-Kontrak Utama-KWrev1_Struktural Steel Upper Struct New Skin - Unilever" xfId="1091" xr:uid="{00000000-0005-0000-0000-00001A040000}"/>
    <cellStyle name="k_MKU14July06" xfId="1092" xr:uid="{00000000-0005-0000-0000-00001B040000}"/>
    <cellStyle name="k_MKU14July06_BQ RAPP 06.01.11 KOTAK KATIK" xfId="1093" xr:uid="{00000000-0005-0000-0000-00001C040000}"/>
    <cellStyle name="k_MKU14July06_BQ RAPP 5 01 2011 email 15" xfId="1094" xr:uid="{00000000-0005-0000-0000-00001D040000}"/>
    <cellStyle name="k_MKU14July06_COST PLAN SRUKTUR&amp;ARSITEK_R1" xfId="1095" xr:uid="{00000000-0005-0000-0000-00001E040000}"/>
    <cellStyle name="k_MKU14July06_Struktural Steel Upper Struct New Skin - Unilever" xfId="1096" xr:uid="{00000000-0005-0000-0000-00001F040000}"/>
    <cellStyle name="k_Perkiraan biaya RS OMNI KAPI Elektrikal + Summary" xfId="1097" xr:uid="{00000000-0005-0000-0000-000020040000}"/>
    <cellStyle name="k_Perkiraan biaya RS OMNI KAPI Elektrikal + Summary_BQ RAPP 06.01.11 KOTAK KATIK" xfId="1098" xr:uid="{00000000-0005-0000-0000-000021040000}"/>
    <cellStyle name="k_Perkiraan biaya RS OMNI KAPI Elektrikal + Summary_BQ RAPP 5 01 2011 email 15" xfId="1099" xr:uid="{00000000-0005-0000-0000-000022040000}"/>
    <cellStyle name="k_Perkiraan biaya RS OMNI KAPI Elektrikal + Summary_COST PLAN SRUKTUR&amp;ARSITEK_R1" xfId="1100" xr:uid="{00000000-0005-0000-0000-000023040000}"/>
    <cellStyle name="k_Perkiraan biaya RS OMNI KAPI Elektrikal + Summary_Struktural Steel Upper Struct New Skin - Unilever" xfId="1101" xr:uid="{00000000-0005-0000-0000-000024040000}"/>
    <cellStyle name="k_Perkiraan biaya RS OMNI KAPI Mekanikal" xfId="1102" xr:uid="{00000000-0005-0000-0000-000025040000}"/>
    <cellStyle name="k_Perkiraan biaya RS OMNI KAPI Mekanikal_BQ RAPP 06.01.11 KOTAK KATIK" xfId="1103" xr:uid="{00000000-0005-0000-0000-000026040000}"/>
    <cellStyle name="k_Perkiraan biaya RS OMNI KAPI Mekanikal_BQ RAPP 5 01 2011 email 15" xfId="1104" xr:uid="{00000000-0005-0000-0000-000027040000}"/>
    <cellStyle name="k_Perkiraan biaya RS OMNI KAPI Mekanikal_COST PLAN SRUKTUR&amp;ARSITEK_R1" xfId="1105" xr:uid="{00000000-0005-0000-0000-000028040000}"/>
    <cellStyle name="k_Perkiraan biaya RS OMNI KAPI Mekanikal_Struktural Steel Upper Struct New Skin - Unilever" xfId="1106" xr:uid="{00000000-0005-0000-0000-000029040000}"/>
    <cellStyle name="k_REVISI ACHIR OMNI" xfId="1107" xr:uid="{00000000-0005-0000-0000-00002A040000}"/>
    <cellStyle name="k_REVISI ACHIR OMNI_Struktural Steel Upper Struct New Skin - Unilever" xfId="1108" xr:uid="{00000000-0005-0000-0000-00002B040000}"/>
    <cellStyle name="k_Struktural Steel Upper Struct New Skin - Unilever" xfId="1109" xr:uid="{00000000-0005-0000-0000-00002C040000}"/>
    <cellStyle name="Keluaran" xfId="1110" xr:uid="{00000000-0005-0000-0000-00002D040000}"/>
    <cellStyle name="Keluaran 2" xfId="1682" xr:uid="{9E213194-A5DE-471D-A2B1-5802EF0C4AB6}"/>
    <cellStyle name="L" xfId="1111" xr:uid="{00000000-0005-0000-0000-00002E040000}"/>
    <cellStyle name="L_BQ-Kontrak Utama (5)-radja" xfId="1112" xr:uid="{00000000-0005-0000-0000-00002F040000}"/>
    <cellStyle name="L_BQ-Kontrak Utama (5)-radja_BQ RAPP 06.01.11 KOTAK KATIK" xfId="1113" xr:uid="{00000000-0005-0000-0000-000030040000}"/>
    <cellStyle name="L_BQ-Kontrak Utama (5)-radja_BQ RAPP 5 01 2011 email 15" xfId="1114" xr:uid="{00000000-0005-0000-0000-000031040000}"/>
    <cellStyle name="L_BQ-Kontrak Utama (5)-radja_BQ-Kontrak Utama (R)" xfId="1115" xr:uid="{00000000-0005-0000-0000-000032040000}"/>
    <cellStyle name="L_BQ-Kontrak Utama (5)-radja_BQ-Kontrak Utama (R)_BQ RAPP 06.01.11 KOTAK KATIK" xfId="1116" xr:uid="{00000000-0005-0000-0000-000033040000}"/>
    <cellStyle name="L_BQ-Kontrak Utama (5)-radja_BQ-Kontrak Utama (R)_BQ RAPP 5 01 2011 email 15" xfId="1117" xr:uid="{00000000-0005-0000-0000-000034040000}"/>
    <cellStyle name="L_BQ-Kontrak Utama (5)-radja_BQ-Kontrak Utama (R)_BQ-Omni Wuryanto edit-KWD 10 Juli 2006 hendra" xfId="1118" xr:uid="{00000000-0005-0000-0000-000035040000}"/>
    <cellStyle name="L_BQ-Kontrak Utama (5)-radja_BQ-Kontrak Utama (R)_BQ-Omni Wuryanto edit-KWD 10 Juli 2006 hendra_BQ RAPP 06.01.11 KOTAK KATIK" xfId="1119" xr:uid="{00000000-0005-0000-0000-000036040000}"/>
    <cellStyle name="L_BQ-Kontrak Utama (5)-radja_BQ-Kontrak Utama (R)_BQ-Omni Wuryanto edit-KWD 10 Juli 2006 hendra_BQ RAPP 5 01 2011 email 15" xfId="1120" xr:uid="{00000000-0005-0000-0000-000037040000}"/>
    <cellStyle name="L_BQ-Kontrak Utama (5)-radja_BQ-Kontrak Utama (R)_BQ-Omni Wuryanto edit-KWD 10 Juli 2006 hendra_COST PLAN SRUKTUR&amp;ARSITEK_R1" xfId="1121" xr:uid="{00000000-0005-0000-0000-000038040000}"/>
    <cellStyle name="L_BQ-Kontrak Utama (5)-radja_BQ-Kontrak Utama (R)_BQ-Omni Wuryanto edit-KWD 10 Juli 2006 hendra_Struktural Steel Upper Struct New Skin - Unilever" xfId="1122" xr:uid="{00000000-0005-0000-0000-000039040000}"/>
    <cellStyle name="L_BQ-Kontrak Utama (5)-radja_BQ-Kontrak Utama (R)_Copy of BQ-Kontrak Utama-KWrev1" xfId="1123" xr:uid="{00000000-0005-0000-0000-00003A040000}"/>
    <cellStyle name="L_BQ-Kontrak Utama (5)-radja_BQ-Kontrak Utama (R)_Copy of BQ-Kontrak Utama-KWrev1_BQ RAPP 06.01.11 KOTAK KATIK" xfId="1124" xr:uid="{00000000-0005-0000-0000-00003B040000}"/>
    <cellStyle name="L_BQ-Kontrak Utama (5)-radja_BQ-Kontrak Utama (R)_Copy of BQ-Kontrak Utama-KWrev1_BQ RAPP 5 01 2011 email 15" xfId="1125" xr:uid="{00000000-0005-0000-0000-00003C040000}"/>
    <cellStyle name="L_BQ-Kontrak Utama (5)-radja_BQ-Kontrak Utama (R)_Copy of BQ-Kontrak Utama-KWrev1_COST PLAN SRUKTUR&amp;ARSITEK_R1" xfId="1126" xr:uid="{00000000-0005-0000-0000-00003D040000}"/>
    <cellStyle name="L_BQ-Kontrak Utama (5)-radja_BQ-Kontrak Utama (R)_Copy of BQ-Kontrak Utama-KWrev1_Struktural Steel Upper Struct New Skin - Unilever" xfId="1127" xr:uid="{00000000-0005-0000-0000-00003E040000}"/>
    <cellStyle name="L_BQ-Kontrak Utama (5)-radja_BQ-Kontrak Utama (R)_COST PLAN SRUKTUR&amp;ARSITEK_R1" xfId="1128" xr:uid="{00000000-0005-0000-0000-00003F040000}"/>
    <cellStyle name="L_BQ-Kontrak Utama (5)-radja_BQ-Kontrak Utama (R)_MKU14July06" xfId="1129" xr:uid="{00000000-0005-0000-0000-000040040000}"/>
    <cellStyle name="L_BQ-Kontrak Utama (5)-radja_BQ-Kontrak Utama (R)_MKU14July06_BQ RAPP 06.01.11 KOTAK KATIK" xfId="1130" xr:uid="{00000000-0005-0000-0000-000041040000}"/>
    <cellStyle name="L_BQ-Kontrak Utama (5)-radja_BQ-Kontrak Utama (R)_MKU14July06_BQ RAPP 5 01 2011 email 15" xfId="1131" xr:uid="{00000000-0005-0000-0000-000042040000}"/>
    <cellStyle name="L_BQ-Kontrak Utama (5)-radja_BQ-Kontrak Utama (R)_MKU14July06_COST PLAN SRUKTUR&amp;ARSITEK_R1" xfId="1132" xr:uid="{00000000-0005-0000-0000-000043040000}"/>
    <cellStyle name="L_BQ-Kontrak Utama (5)-radja_BQ-Kontrak Utama (R)_MKU14July06_Struktural Steel Upper Struct New Skin - Unilever" xfId="1133" xr:uid="{00000000-0005-0000-0000-000044040000}"/>
    <cellStyle name="L_BQ-Kontrak Utama (5)-radja_BQ-Kontrak Utama (R)_Struktural Steel Upper Struct New Skin - Unilever" xfId="1134" xr:uid="{00000000-0005-0000-0000-000045040000}"/>
    <cellStyle name="L_BQ-Kontrak Utama (5)-radja_BQ-Omni Wuryanto edit-KWD 10 Juli 2006 hendra" xfId="1135" xr:uid="{00000000-0005-0000-0000-000046040000}"/>
    <cellStyle name="L_BQ-Kontrak Utama (5)-radja_BQ-Omni Wuryanto edit-KWD 10 Juli 2006 hendra_BQ RAPP 06.01.11 KOTAK KATIK" xfId="1136" xr:uid="{00000000-0005-0000-0000-000047040000}"/>
    <cellStyle name="L_BQ-Kontrak Utama (5)-radja_BQ-Omni Wuryanto edit-KWD 10 Juli 2006 hendra_BQ RAPP 5 01 2011 email 15" xfId="1137" xr:uid="{00000000-0005-0000-0000-000048040000}"/>
    <cellStyle name="L_BQ-Kontrak Utama (5)-radja_BQ-Omni Wuryanto edit-KWD 10 Juli 2006 hendra_COST PLAN SRUKTUR&amp;ARSITEK_R1" xfId="1138" xr:uid="{00000000-0005-0000-0000-000049040000}"/>
    <cellStyle name="L_BQ-Kontrak Utama (5)-radja_BQ-Omni Wuryanto edit-KWD 10 Juli 2006 hendra_Struktural Steel Upper Struct New Skin - Unilever" xfId="1139" xr:uid="{00000000-0005-0000-0000-00004A040000}"/>
    <cellStyle name="L_BQ-Kontrak Utama (5)-radja_Copy of BQ-Kontrak Utama-KWrev1" xfId="1140" xr:uid="{00000000-0005-0000-0000-00004B040000}"/>
    <cellStyle name="L_BQ-Kontrak Utama (5)-radja_Copy of BQ-Kontrak Utama-KWrev1_BQ RAPP 06.01.11 KOTAK KATIK" xfId="1141" xr:uid="{00000000-0005-0000-0000-00004C040000}"/>
    <cellStyle name="L_BQ-Kontrak Utama (5)-radja_Copy of BQ-Kontrak Utama-KWrev1_BQ RAPP 5 01 2011 email 15" xfId="1142" xr:uid="{00000000-0005-0000-0000-00004D040000}"/>
    <cellStyle name="L_BQ-Kontrak Utama (5)-radja_Copy of BQ-Kontrak Utama-KWrev1_COST PLAN SRUKTUR&amp;ARSITEK_R1" xfId="1143" xr:uid="{00000000-0005-0000-0000-00004E040000}"/>
    <cellStyle name="L_BQ-Kontrak Utama (5)-radja_Copy of BQ-Kontrak Utama-KWrev1_Struktural Steel Upper Struct New Skin - Unilever" xfId="1144" xr:uid="{00000000-0005-0000-0000-00004F040000}"/>
    <cellStyle name="L_BQ-Kontrak Utama (5)-radja_COST PLAN SRUKTUR&amp;ARSITEK_R1" xfId="1145" xr:uid="{00000000-0005-0000-0000-000050040000}"/>
    <cellStyle name="L_BQ-Kontrak Utama (5)-radja_MKU14July06" xfId="1146" xr:uid="{00000000-0005-0000-0000-000051040000}"/>
    <cellStyle name="L_BQ-Kontrak Utama (5)-radja_MKU14July06_BQ RAPP 06.01.11 KOTAK KATIK" xfId="1147" xr:uid="{00000000-0005-0000-0000-000052040000}"/>
    <cellStyle name="L_BQ-Kontrak Utama (5)-radja_MKU14July06_BQ RAPP 5 01 2011 email 15" xfId="1148" xr:uid="{00000000-0005-0000-0000-000053040000}"/>
    <cellStyle name="L_BQ-Kontrak Utama (5)-radja_MKU14July06_COST PLAN SRUKTUR&amp;ARSITEK_R1" xfId="1149" xr:uid="{00000000-0005-0000-0000-000054040000}"/>
    <cellStyle name="L_BQ-Kontrak Utama (5)-radja_MKU14July06_Struktural Steel Upper Struct New Skin - Unilever" xfId="1150" xr:uid="{00000000-0005-0000-0000-000055040000}"/>
    <cellStyle name="L_BQ-Kontrak Utama (5)-radja_REVISI ACHIR OMNI" xfId="1151" xr:uid="{00000000-0005-0000-0000-000056040000}"/>
    <cellStyle name="L_BQ-Kontrak Utama (5)-radja_REVISI ACHIR OMNI_BQ RAPP 06.01.11 KOTAK KATIK" xfId="1152" xr:uid="{00000000-0005-0000-0000-000057040000}"/>
    <cellStyle name="L_BQ-Kontrak Utama (5)-radja_REVISI ACHIR OMNI_BQ RAPP 5 01 2011 email 15" xfId="1153" xr:uid="{00000000-0005-0000-0000-000058040000}"/>
    <cellStyle name="L_BQ-Kontrak Utama (5)-radja_REVISI ACHIR OMNI_COST PLAN SRUKTUR&amp;ARSITEK_R1" xfId="1154" xr:uid="{00000000-0005-0000-0000-000059040000}"/>
    <cellStyle name="L_BQ-Kontrak Utama (5)-radja_REVISI ACHIR OMNI_Struktural Steel Upper Struct New Skin - Unilever" xfId="1155" xr:uid="{00000000-0005-0000-0000-00005A040000}"/>
    <cellStyle name="L_BQ-Kontrak Utama (5)-radja_Struktural Steel Upper Struct New Skin - Unilever" xfId="1156" xr:uid="{00000000-0005-0000-0000-00005B040000}"/>
    <cellStyle name="L_BQ-Kontrak Utama (R)" xfId="1157" xr:uid="{00000000-0005-0000-0000-00005C040000}"/>
    <cellStyle name="L_BQ-Kontrak Utama (R)_BQ RAPP 06.01.11 KOTAK KATIK" xfId="1158" xr:uid="{00000000-0005-0000-0000-00005D040000}"/>
    <cellStyle name="L_BQ-Kontrak Utama (R)_BQ RAPP 5 01 2011 email 15" xfId="1159" xr:uid="{00000000-0005-0000-0000-00005E040000}"/>
    <cellStyle name="L_BQ-Kontrak Utama (R)_BQ-Omni Wuryanto edit-KWD 10 Juli 2006 hendra" xfId="1160" xr:uid="{00000000-0005-0000-0000-00005F040000}"/>
    <cellStyle name="L_BQ-Kontrak Utama (R)_BQ-Omni Wuryanto edit-KWD 10 Juli 2006 hendra_BQ RAPP 06.01.11 KOTAK KATIK" xfId="1161" xr:uid="{00000000-0005-0000-0000-000060040000}"/>
    <cellStyle name="L_BQ-Kontrak Utama (R)_BQ-Omni Wuryanto edit-KWD 10 Juli 2006 hendra_BQ RAPP 5 01 2011 email 15" xfId="1162" xr:uid="{00000000-0005-0000-0000-000061040000}"/>
    <cellStyle name="L_BQ-Kontrak Utama (R)_BQ-Omni Wuryanto edit-KWD 10 Juli 2006 hendra_COST PLAN SRUKTUR&amp;ARSITEK_R1" xfId="1163" xr:uid="{00000000-0005-0000-0000-000062040000}"/>
    <cellStyle name="L_BQ-Kontrak Utama (R)_BQ-Omni Wuryanto edit-KWD 10 Juli 2006 hendra_Struktural Steel Upper Struct New Skin - Unilever" xfId="1164" xr:uid="{00000000-0005-0000-0000-000063040000}"/>
    <cellStyle name="L_BQ-Kontrak Utama (R)_Copy of BQ-Kontrak Utama-KWrev1" xfId="1165" xr:uid="{00000000-0005-0000-0000-000064040000}"/>
    <cellStyle name="L_BQ-Kontrak Utama (R)_Copy of BQ-Kontrak Utama-KWrev1_BQ RAPP 06.01.11 KOTAK KATIK" xfId="1166" xr:uid="{00000000-0005-0000-0000-000065040000}"/>
    <cellStyle name="L_BQ-Kontrak Utama (R)_Copy of BQ-Kontrak Utama-KWrev1_BQ RAPP 5 01 2011 email 15" xfId="1167" xr:uid="{00000000-0005-0000-0000-000066040000}"/>
    <cellStyle name="L_BQ-Kontrak Utama (R)_Copy of BQ-Kontrak Utama-KWrev1_COST PLAN SRUKTUR&amp;ARSITEK_R1" xfId="1168" xr:uid="{00000000-0005-0000-0000-000067040000}"/>
    <cellStyle name="L_BQ-Kontrak Utama (R)_Copy of BQ-Kontrak Utama-KWrev1_Struktural Steel Upper Struct New Skin - Unilever" xfId="1169" xr:uid="{00000000-0005-0000-0000-000068040000}"/>
    <cellStyle name="L_BQ-Kontrak Utama (R)_COST PLAN SRUKTUR&amp;ARSITEK_R1" xfId="1170" xr:uid="{00000000-0005-0000-0000-000069040000}"/>
    <cellStyle name="L_BQ-Kontrak Utama (R)_MKU14July06" xfId="1171" xr:uid="{00000000-0005-0000-0000-00006A040000}"/>
    <cellStyle name="L_BQ-Kontrak Utama (R)_MKU14July06_BQ RAPP 06.01.11 KOTAK KATIK" xfId="1172" xr:uid="{00000000-0005-0000-0000-00006B040000}"/>
    <cellStyle name="L_BQ-Kontrak Utama (R)_MKU14July06_BQ RAPP 5 01 2011 email 15" xfId="1173" xr:uid="{00000000-0005-0000-0000-00006C040000}"/>
    <cellStyle name="L_BQ-Kontrak Utama (R)_MKU14July06_COST PLAN SRUKTUR&amp;ARSITEK_R1" xfId="1174" xr:uid="{00000000-0005-0000-0000-00006D040000}"/>
    <cellStyle name="L_BQ-Kontrak Utama (R)_MKU14July06_Struktural Steel Upper Struct New Skin - Unilever" xfId="1175" xr:uid="{00000000-0005-0000-0000-00006E040000}"/>
    <cellStyle name="L_BQ-Kontrak Utama (R)_Struktural Steel Upper Struct New Skin - Unilever" xfId="1176" xr:uid="{00000000-0005-0000-0000-00006F040000}"/>
    <cellStyle name="L_BQ-Omni Wuryanto edit-KWD 10 Juli 2006 hendra" xfId="1177" xr:uid="{00000000-0005-0000-0000-000070040000}"/>
    <cellStyle name="L_BQ-Omni Wuryanto edit-KWD 10 Juli 2006 hendra_BQ RAPP 06.01.11 KOTAK KATIK" xfId="1178" xr:uid="{00000000-0005-0000-0000-000071040000}"/>
    <cellStyle name="L_BQ-Omni Wuryanto edit-KWD 10 Juli 2006 hendra_BQ RAPP 5 01 2011 email 15" xfId="1179" xr:uid="{00000000-0005-0000-0000-000072040000}"/>
    <cellStyle name="L_BQ-Omni Wuryanto edit-KWD 10 Juli 2006 hendra_COST PLAN SRUKTUR&amp;ARSITEK_R1" xfId="1180" xr:uid="{00000000-0005-0000-0000-000073040000}"/>
    <cellStyle name="L_BQ-Omni Wuryanto edit-KWD 10 Juli 2006 hendra_Struktural Steel Upper Struct New Skin - Unilever" xfId="1181" xr:uid="{00000000-0005-0000-0000-000074040000}"/>
    <cellStyle name="L_Copy of BQ-Kontrak Utama-KWrev1" xfId="1182" xr:uid="{00000000-0005-0000-0000-000075040000}"/>
    <cellStyle name="L_Copy of BQ-Kontrak Utama-KWrev1_BQ RAPP 06.01.11 KOTAK KATIK" xfId="1183" xr:uid="{00000000-0005-0000-0000-000076040000}"/>
    <cellStyle name="L_Copy of BQ-Kontrak Utama-KWrev1_BQ RAPP 5 01 2011 email 15" xfId="1184" xr:uid="{00000000-0005-0000-0000-000077040000}"/>
    <cellStyle name="L_Copy of BQ-Kontrak Utama-KWrev1_COST PLAN SRUKTUR&amp;ARSITEK_R1" xfId="1185" xr:uid="{00000000-0005-0000-0000-000078040000}"/>
    <cellStyle name="L_Copy of BQ-Kontrak Utama-KWrev1_Struktural Steel Upper Struct New Skin - Unilever" xfId="1186" xr:uid="{00000000-0005-0000-0000-000079040000}"/>
    <cellStyle name="L_MKU14July06" xfId="1187" xr:uid="{00000000-0005-0000-0000-00007A040000}"/>
    <cellStyle name="L_MKU14July06_BQ RAPP 06.01.11 KOTAK KATIK" xfId="1188" xr:uid="{00000000-0005-0000-0000-00007B040000}"/>
    <cellStyle name="L_MKU14July06_BQ RAPP 5 01 2011 email 15" xfId="1189" xr:uid="{00000000-0005-0000-0000-00007C040000}"/>
    <cellStyle name="L_MKU14July06_COST PLAN SRUKTUR&amp;ARSITEK_R1" xfId="1190" xr:uid="{00000000-0005-0000-0000-00007D040000}"/>
    <cellStyle name="L_MKU14July06_Struktural Steel Upper Struct New Skin - Unilever" xfId="1191" xr:uid="{00000000-0005-0000-0000-00007E040000}"/>
    <cellStyle name="L_Perkiraan biaya RS OMNI KAPI Elektrikal + Summary" xfId="1192" xr:uid="{00000000-0005-0000-0000-00007F040000}"/>
    <cellStyle name="L_Perkiraan biaya RS OMNI KAPI Elektrikal + Summary_BQ RAPP 06.01.11 KOTAK KATIK" xfId="1193" xr:uid="{00000000-0005-0000-0000-000080040000}"/>
    <cellStyle name="L_Perkiraan biaya RS OMNI KAPI Elektrikal + Summary_BQ RAPP 5 01 2011 email 15" xfId="1194" xr:uid="{00000000-0005-0000-0000-000081040000}"/>
    <cellStyle name="L_Perkiraan biaya RS OMNI KAPI Elektrikal + Summary_COST PLAN SRUKTUR&amp;ARSITEK_R1" xfId="1195" xr:uid="{00000000-0005-0000-0000-000082040000}"/>
    <cellStyle name="L_Perkiraan biaya RS OMNI KAPI Elektrikal + Summary_Struktural Steel Upper Struct New Skin - Unilever" xfId="1196" xr:uid="{00000000-0005-0000-0000-000083040000}"/>
    <cellStyle name="L_Perkiraan biaya RS OMNI KAPI Mekanikal" xfId="1197" xr:uid="{00000000-0005-0000-0000-000084040000}"/>
    <cellStyle name="L_Perkiraan biaya RS OMNI KAPI Mekanikal_BQ RAPP 06.01.11 KOTAK KATIK" xfId="1198" xr:uid="{00000000-0005-0000-0000-000085040000}"/>
    <cellStyle name="L_Perkiraan biaya RS OMNI KAPI Mekanikal_BQ RAPP 5 01 2011 email 15" xfId="1199" xr:uid="{00000000-0005-0000-0000-000086040000}"/>
    <cellStyle name="L_Perkiraan biaya RS OMNI KAPI Mekanikal_COST PLAN SRUKTUR&amp;ARSITEK_R1" xfId="1200" xr:uid="{00000000-0005-0000-0000-000087040000}"/>
    <cellStyle name="L_Perkiraan biaya RS OMNI KAPI Mekanikal_Struktural Steel Upper Struct New Skin - Unilever" xfId="1201" xr:uid="{00000000-0005-0000-0000-000088040000}"/>
    <cellStyle name="L_REVISI ACHIR OMNI" xfId="1202" xr:uid="{00000000-0005-0000-0000-000089040000}"/>
    <cellStyle name="L_REVISI ACHIR OMNI_Struktural Steel Upper Struct New Skin - Unilever" xfId="1203" xr:uid="{00000000-0005-0000-0000-00008A040000}"/>
    <cellStyle name="L_Struktural Steel Upper Struct New Skin - Unilever" xfId="1204" xr:uid="{00000000-0005-0000-0000-00008B040000}"/>
    <cellStyle name="Labels - Style3" xfId="1205" xr:uid="{00000000-0005-0000-0000-00008C040000}"/>
    <cellStyle name="Labels - Style3 2" xfId="1683" xr:uid="{6BD6F8F9-DDD0-436E-9222-7BE29373C720}"/>
    <cellStyle name="left" xfId="1206" xr:uid="{00000000-0005-0000-0000-00008D040000}"/>
    <cellStyle name="Length" xfId="1207" xr:uid="{00000000-0005-0000-0000-00008E040000}"/>
    <cellStyle name="Linked Cell 2" xfId="1208" xr:uid="{00000000-0005-0000-0000-00008F040000}"/>
    <cellStyle name="Linked Cell 3" xfId="1209" xr:uid="{00000000-0005-0000-0000-000090040000}"/>
    <cellStyle name="lo" xfId="1210" xr:uid="{00000000-0005-0000-0000-000091040000}"/>
    <cellStyle name="m" xfId="1211" xr:uid="{00000000-0005-0000-0000-000092040000}"/>
    <cellStyle name="M_200707 BQ UTILITY BUILDING" xfId="1212" xr:uid="{00000000-0005-0000-0000-000093040000}"/>
    <cellStyle name="M_3.RAB ARSITEK IRNA 1 R 1213.09" xfId="1213" xr:uid="{00000000-0005-0000-0000-000094040000}"/>
    <cellStyle name="M_3.RAB ARSITEK SELASAR R 1213.09" xfId="1214" xr:uid="{00000000-0005-0000-0000-000095040000}"/>
    <cellStyle name="m_Analisa BCA Padang" xfId="1215" xr:uid="{00000000-0005-0000-0000-000096040000}"/>
    <cellStyle name="m_ANALISA HARSAT" xfId="1216" xr:uid="{00000000-0005-0000-0000-000097040000}"/>
    <cellStyle name="m_Bill Of Quantity Robert Susanto Volum" xfId="1217" xr:uid="{00000000-0005-0000-0000-000098040000}"/>
    <cellStyle name="m_Boq" xfId="1218" xr:uid="{00000000-0005-0000-0000-000099040000}"/>
    <cellStyle name="M_BoQ- OIH  (R2)-PEMASUKAN PI ke2" xfId="1219" xr:uid="{00000000-0005-0000-0000-00009A040000}"/>
    <cellStyle name="M_BQ BCA KCU Sukabumi-ASP Rev.tgl 3-8-2012" xfId="1220" xr:uid="{00000000-0005-0000-0000-00009B040000}"/>
    <cellStyle name="M_BQ Kosong BCA KCP Citra Raya - Cikupa ( Type Cranz 2)-ASP (kanwil XII) rev.24 Juli2012-R1" xfId="1221" xr:uid="{00000000-0005-0000-0000-00009C040000}"/>
    <cellStyle name="M_BQ Tender ME KCP BCA KCP JEBUS - BANGKA R1 (3102012)-ASP-disk" xfId="1222" xr:uid="{00000000-0005-0000-0000-00009D040000}"/>
    <cellStyle name="m_BQ_Pancang" xfId="1223" xr:uid="{00000000-0005-0000-0000-00009E040000}"/>
    <cellStyle name="m_BQ_Struktur &amp; Arsitek_R1_Ow" xfId="1224" xr:uid="{00000000-0005-0000-0000-00009F040000}"/>
    <cellStyle name="m_BQ_Struktur_Hotel_Forcon_based 25 Juli 2008_HOTEL" xfId="1225" xr:uid="{00000000-0005-0000-0000-0000A0040000}"/>
    <cellStyle name="M_BQ-Kontrak Utama (5)-radja" xfId="1226" xr:uid="{00000000-0005-0000-0000-0000A1040000}"/>
    <cellStyle name="M_BQ-Kontrak Utama (5)-radja_BQ RAPP 06.01.11 KOTAK KATIK" xfId="1227" xr:uid="{00000000-0005-0000-0000-0000A2040000}"/>
    <cellStyle name="M_BQ-Kontrak Utama (5)-radja_BQ RAPP 5 01 2011 email 15" xfId="1228" xr:uid="{00000000-0005-0000-0000-0000A3040000}"/>
    <cellStyle name="M_BQ-Kontrak Utama (5)-radja_BQ-Kontrak Utama (R)" xfId="1229" xr:uid="{00000000-0005-0000-0000-0000A4040000}"/>
    <cellStyle name="M_BQ-Kontrak Utama (5)-radja_BQ-Kontrak Utama (R)_BQ RAPP 06.01.11 KOTAK KATIK" xfId="1230" xr:uid="{00000000-0005-0000-0000-0000A5040000}"/>
    <cellStyle name="M_BQ-Kontrak Utama (5)-radja_BQ-Kontrak Utama (R)_BQ RAPP 5 01 2011 email 15" xfId="1231" xr:uid="{00000000-0005-0000-0000-0000A6040000}"/>
    <cellStyle name="M_BQ-Kontrak Utama (5)-radja_BQ-Kontrak Utama (R)_BQ-Omni Wuryanto edit-KWD 10 Juli 2006 hendra" xfId="1232" xr:uid="{00000000-0005-0000-0000-0000A7040000}"/>
    <cellStyle name="M_BQ-Kontrak Utama (5)-radja_BQ-Kontrak Utama (R)_BQ-Omni Wuryanto edit-KWD 10 Juli 2006 hendra_BQ RAPP 06.01.11 KOTAK KATIK" xfId="1233" xr:uid="{00000000-0005-0000-0000-0000A8040000}"/>
    <cellStyle name="M_BQ-Kontrak Utama (5)-radja_BQ-Kontrak Utama (R)_BQ-Omni Wuryanto edit-KWD 10 Juli 2006 hendra_BQ RAPP 5 01 2011 email 15" xfId="1234" xr:uid="{00000000-0005-0000-0000-0000A9040000}"/>
    <cellStyle name="M_BQ-Kontrak Utama (5)-radja_BQ-Kontrak Utama (R)_BQ-Omni Wuryanto edit-KWD 10 Juli 2006 hendra_COST PLAN SRUKTUR&amp;ARSITEK_R1" xfId="1235" xr:uid="{00000000-0005-0000-0000-0000AA040000}"/>
    <cellStyle name="M_BQ-Kontrak Utama (5)-radja_BQ-Kontrak Utama (R)_BQ-Omni Wuryanto edit-KWD 10 Juli 2006 hendra_Struktural Steel Upper Struct New Skin - Unilever" xfId="1236" xr:uid="{00000000-0005-0000-0000-0000AB040000}"/>
    <cellStyle name="M_BQ-Kontrak Utama (5)-radja_BQ-Kontrak Utama (R)_Copy of BQ-Kontrak Utama-KWrev1" xfId="1237" xr:uid="{00000000-0005-0000-0000-0000AC040000}"/>
    <cellStyle name="M_BQ-Kontrak Utama (5)-radja_BQ-Kontrak Utama (R)_Copy of BQ-Kontrak Utama-KWrev1_BQ RAPP 06.01.11 KOTAK KATIK" xfId="1238" xr:uid="{00000000-0005-0000-0000-0000AD040000}"/>
    <cellStyle name="M_BQ-Kontrak Utama (5)-radja_BQ-Kontrak Utama (R)_Copy of BQ-Kontrak Utama-KWrev1_BQ RAPP 5 01 2011 email 15" xfId="1239" xr:uid="{00000000-0005-0000-0000-0000AE040000}"/>
    <cellStyle name="M_BQ-Kontrak Utama (5)-radja_BQ-Kontrak Utama (R)_Copy of BQ-Kontrak Utama-KWrev1_COST PLAN SRUKTUR&amp;ARSITEK_R1" xfId="1240" xr:uid="{00000000-0005-0000-0000-0000AF040000}"/>
    <cellStyle name="M_BQ-Kontrak Utama (5)-radja_BQ-Kontrak Utama (R)_Copy of BQ-Kontrak Utama-KWrev1_Struktural Steel Upper Struct New Skin - Unilever" xfId="1241" xr:uid="{00000000-0005-0000-0000-0000B0040000}"/>
    <cellStyle name="M_BQ-Kontrak Utama (5)-radja_BQ-Kontrak Utama (R)_COST PLAN SRUKTUR&amp;ARSITEK_R1" xfId="1242" xr:uid="{00000000-0005-0000-0000-0000B1040000}"/>
    <cellStyle name="M_BQ-Kontrak Utama (5)-radja_BQ-Kontrak Utama (R)_MKU14July06" xfId="1243" xr:uid="{00000000-0005-0000-0000-0000B2040000}"/>
    <cellStyle name="M_BQ-Kontrak Utama (5)-radja_BQ-Kontrak Utama (R)_MKU14July06_BQ RAPP 06.01.11 KOTAK KATIK" xfId="1244" xr:uid="{00000000-0005-0000-0000-0000B3040000}"/>
    <cellStyle name="M_BQ-Kontrak Utama (5)-radja_BQ-Kontrak Utama (R)_MKU14July06_BQ RAPP 5 01 2011 email 15" xfId="1245" xr:uid="{00000000-0005-0000-0000-0000B4040000}"/>
    <cellStyle name="M_BQ-Kontrak Utama (5)-radja_BQ-Kontrak Utama (R)_MKU14July06_COST PLAN SRUKTUR&amp;ARSITEK_R1" xfId="1246" xr:uid="{00000000-0005-0000-0000-0000B5040000}"/>
    <cellStyle name="M_BQ-Kontrak Utama (5)-radja_BQ-Kontrak Utama (R)_MKU14July06_Struktural Steel Upper Struct New Skin - Unilever" xfId="1247" xr:uid="{00000000-0005-0000-0000-0000B6040000}"/>
    <cellStyle name="M_BQ-Kontrak Utama (5)-radja_BQ-Kontrak Utama (R)_Struktural Steel Upper Struct New Skin - Unilever" xfId="1248" xr:uid="{00000000-0005-0000-0000-0000B7040000}"/>
    <cellStyle name="M_BQ-Kontrak Utama (5)-radja_BQ-Omni Wuryanto edit-KWD 10 Juli 2006 hendra" xfId="1249" xr:uid="{00000000-0005-0000-0000-0000B8040000}"/>
    <cellStyle name="M_BQ-Kontrak Utama (5)-radja_BQ-Omni Wuryanto edit-KWD 10 Juli 2006 hendra_BQ RAPP 06.01.11 KOTAK KATIK" xfId="1250" xr:uid="{00000000-0005-0000-0000-0000B9040000}"/>
    <cellStyle name="M_BQ-Kontrak Utama (5)-radja_BQ-Omni Wuryanto edit-KWD 10 Juli 2006 hendra_BQ RAPP 5 01 2011 email 15" xfId="1251" xr:uid="{00000000-0005-0000-0000-0000BA040000}"/>
    <cellStyle name="M_BQ-Kontrak Utama (5)-radja_BQ-Omni Wuryanto edit-KWD 10 Juli 2006 hendra_COST PLAN SRUKTUR&amp;ARSITEK_R1" xfId="1252" xr:uid="{00000000-0005-0000-0000-0000BB040000}"/>
    <cellStyle name="M_BQ-Kontrak Utama (5)-radja_BQ-Omni Wuryanto edit-KWD 10 Juli 2006 hendra_Struktural Steel Upper Struct New Skin - Unilever" xfId="1253" xr:uid="{00000000-0005-0000-0000-0000BC040000}"/>
    <cellStyle name="M_BQ-Kontrak Utama (5)-radja_Copy of BQ-Kontrak Utama-KWrev1" xfId="1254" xr:uid="{00000000-0005-0000-0000-0000BD040000}"/>
    <cellStyle name="M_BQ-Kontrak Utama (5)-radja_Copy of BQ-Kontrak Utama-KWrev1_BQ RAPP 06.01.11 KOTAK KATIK" xfId="1255" xr:uid="{00000000-0005-0000-0000-0000BE040000}"/>
    <cellStyle name="M_BQ-Kontrak Utama (5)-radja_Copy of BQ-Kontrak Utama-KWrev1_BQ RAPP 5 01 2011 email 15" xfId="1256" xr:uid="{00000000-0005-0000-0000-0000BF040000}"/>
    <cellStyle name="M_BQ-Kontrak Utama (5)-radja_Copy of BQ-Kontrak Utama-KWrev1_COST PLAN SRUKTUR&amp;ARSITEK_R1" xfId="1257" xr:uid="{00000000-0005-0000-0000-0000C0040000}"/>
    <cellStyle name="M_BQ-Kontrak Utama (5)-radja_Copy of BQ-Kontrak Utama-KWrev1_Struktural Steel Upper Struct New Skin - Unilever" xfId="1258" xr:uid="{00000000-0005-0000-0000-0000C1040000}"/>
    <cellStyle name="M_BQ-Kontrak Utama (5)-radja_COST PLAN SRUKTUR&amp;ARSITEK_R1" xfId="1259" xr:uid="{00000000-0005-0000-0000-0000C2040000}"/>
    <cellStyle name="M_BQ-Kontrak Utama (5)-radja_MKU14July06" xfId="1260" xr:uid="{00000000-0005-0000-0000-0000C3040000}"/>
    <cellStyle name="M_BQ-Kontrak Utama (5)-radja_MKU14July06_BQ RAPP 06.01.11 KOTAK KATIK" xfId="1261" xr:uid="{00000000-0005-0000-0000-0000C4040000}"/>
    <cellStyle name="M_BQ-Kontrak Utama (5)-radja_MKU14July06_BQ RAPP 5 01 2011 email 15" xfId="1262" xr:uid="{00000000-0005-0000-0000-0000C5040000}"/>
    <cellStyle name="M_BQ-Kontrak Utama (5)-radja_MKU14July06_COST PLAN SRUKTUR&amp;ARSITEK_R1" xfId="1263" xr:uid="{00000000-0005-0000-0000-0000C6040000}"/>
    <cellStyle name="M_BQ-Kontrak Utama (5)-radja_MKU14July06_Struktural Steel Upper Struct New Skin - Unilever" xfId="1264" xr:uid="{00000000-0005-0000-0000-0000C7040000}"/>
    <cellStyle name="M_BQ-Kontrak Utama (5)-radja_REVISI ACHIR OMNI" xfId="1265" xr:uid="{00000000-0005-0000-0000-0000C8040000}"/>
    <cellStyle name="M_BQ-Kontrak Utama (5)-radja_REVISI ACHIR OMNI_BQ RAPP 06.01.11 KOTAK KATIK" xfId="1266" xr:uid="{00000000-0005-0000-0000-0000C9040000}"/>
    <cellStyle name="M_BQ-Kontrak Utama (5)-radja_REVISI ACHIR OMNI_BQ RAPP 5 01 2011 email 15" xfId="1267" xr:uid="{00000000-0005-0000-0000-0000CA040000}"/>
    <cellStyle name="M_BQ-Kontrak Utama (5)-radja_REVISI ACHIR OMNI_COST PLAN SRUKTUR&amp;ARSITEK_R1" xfId="1268" xr:uid="{00000000-0005-0000-0000-0000CB040000}"/>
    <cellStyle name="M_BQ-Kontrak Utama (5)-radja_REVISI ACHIR OMNI_Struktural Steel Upper Struct New Skin - Unilever" xfId="1269" xr:uid="{00000000-0005-0000-0000-0000CC040000}"/>
    <cellStyle name="M_BQ-Kontrak Utama (5)-radja_Struktural Steel Upper Struct New Skin - Unilever" xfId="1270" xr:uid="{00000000-0005-0000-0000-0000CD040000}"/>
    <cellStyle name="M_BQ-Kontrak Utama (R)" xfId="1271" xr:uid="{00000000-0005-0000-0000-0000CE040000}"/>
    <cellStyle name="M_BQ-Kontrak Utama (R)_BoQ- OIH  (R2)-PEMASUKAN PI ke2" xfId="1272" xr:uid="{00000000-0005-0000-0000-0000CF040000}"/>
    <cellStyle name="M_BQ-Kontrak Utama (R)_BoQ- OIH  (R2)-PEMASUKAN PI ke2_BQ RAPP 06.01.11 KOTAK KATIK" xfId="1273" xr:uid="{00000000-0005-0000-0000-0000D0040000}"/>
    <cellStyle name="M_BQ-Kontrak Utama (R)_BoQ- OIH  (R2)-PEMASUKAN PI ke2_BQ RAPP 5 01 2011 email 15" xfId="1274" xr:uid="{00000000-0005-0000-0000-0000D1040000}"/>
    <cellStyle name="M_BQ-Kontrak Utama (R)_BoQ- OIH  (R2)-PEMASUKAN PI ke2_COST PLAN SRUKTUR&amp;ARSITEK_R1" xfId="1275" xr:uid="{00000000-0005-0000-0000-0000D2040000}"/>
    <cellStyle name="M_BQ-Kontrak Utama (R)_BQ-Omni Wuryanto edit-KWD 10 Juli 2006 hendra" xfId="1276" xr:uid="{00000000-0005-0000-0000-0000D3040000}"/>
    <cellStyle name="M_BQ-Kontrak Utama (R)_BQ-Omni Wuryanto edit-KWD 10 Juli 2006 hendra_BQ RAPP 06.01.11 KOTAK KATIK" xfId="1277" xr:uid="{00000000-0005-0000-0000-0000D4040000}"/>
    <cellStyle name="M_BQ-Kontrak Utama (R)_BQ-Omni Wuryanto edit-KWD 10 Juli 2006 hendra_BQ RAPP 5 01 2011 email 15" xfId="1278" xr:uid="{00000000-0005-0000-0000-0000D5040000}"/>
    <cellStyle name="M_BQ-Kontrak Utama (R)_BQ-Omni Wuryanto edit-KWD 10 Juli 2006 hendra_COST PLAN SRUKTUR&amp;ARSITEK_R1" xfId="1279" xr:uid="{00000000-0005-0000-0000-0000D6040000}"/>
    <cellStyle name="M_BQ-Kontrak Utama (R)_BQ-Omni Wuryanto edit-KWD 10 Juli 2006 hendra_Struktural Steel Upper Struct New Skin - Unilever" xfId="1280" xr:uid="{00000000-0005-0000-0000-0000D7040000}"/>
    <cellStyle name="M_BQ-Kontrak Utama (R)_Copy of BQ-Kontrak Utama-KWrev1" xfId="1281" xr:uid="{00000000-0005-0000-0000-0000D8040000}"/>
    <cellStyle name="M_BQ-Kontrak Utama (R)_Copy of BQ-Kontrak Utama-KWrev1_BQ RAPP 06.01.11 KOTAK KATIK" xfId="1282" xr:uid="{00000000-0005-0000-0000-0000D9040000}"/>
    <cellStyle name="M_BQ-Kontrak Utama (R)_Copy of BQ-Kontrak Utama-KWrev1_BQ RAPP 5 01 2011 email 15" xfId="1283" xr:uid="{00000000-0005-0000-0000-0000DA040000}"/>
    <cellStyle name="M_BQ-Kontrak Utama (R)_Copy of BQ-Kontrak Utama-KWrev1_COST PLAN SRUKTUR&amp;ARSITEK_R1" xfId="1284" xr:uid="{00000000-0005-0000-0000-0000DB040000}"/>
    <cellStyle name="M_BQ-Kontrak Utama (R)_Copy of BQ-Kontrak Utama-KWrev1_Struktural Steel Upper Struct New Skin - Unilever" xfId="1285" xr:uid="{00000000-0005-0000-0000-0000DC040000}"/>
    <cellStyle name="M_BQ-Kontrak Utama (R)_MKU14July06" xfId="1286" xr:uid="{00000000-0005-0000-0000-0000DD040000}"/>
    <cellStyle name="M_BQ-Kontrak Utama (R)_MKU14July06_BQ RAPP 06.01.11 KOTAK KATIK" xfId="1287" xr:uid="{00000000-0005-0000-0000-0000DE040000}"/>
    <cellStyle name="M_BQ-Kontrak Utama (R)_MKU14July06_BQ RAPP 5 01 2011 email 15" xfId="1288" xr:uid="{00000000-0005-0000-0000-0000DF040000}"/>
    <cellStyle name="M_BQ-Kontrak Utama (R)_MKU14July06_COST PLAN SRUKTUR&amp;ARSITEK_R1" xfId="1289" xr:uid="{00000000-0005-0000-0000-0000E0040000}"/>
    <cellStyle name="M_BQ-Kontrak Utama (R)_MKU14July06_Struktural Steel Upper Struct New Skin - Unilever" xfId="1290" xr:uid="{00000000-0005-0000-0000-0000E1040000}"/>
    <cellStyle name="M_BQ-Kontrak Utama (R)_Struktural Steel Upper Struct New Skin - Unilever" xfId="1291" xr:uid="{00000000-0005-0000-0000-0000E2040000}"/>
    <cellStyle name="M_BQ-Kontrak Utama OMNI PEMASUKAN CHAIRUL" xfId="1292" xr:uid="{00000000-0005-0000-0000-0000E3040000}"/>
    <cellStyle name="M_BQ-Omni Wuryanto edit-KWD 10 Juli 2006 hendra" xfId="1293" xr:uid="{00000000-0005-0000-0000-0000E4040000}"/>
    <cellStyle name="M_BQ-Omni Wuryanto edit-KWD 10 Juli 2006 hendra_BQ RAPP 06.01.11 KOTAK KATIK" xfId="1294" xr:uid="{00000000-0005-0000-0000-0000E5040000}"/>
    <cellStyle name="M_BQ-Omni Wuryanto edit-KWD 10 Juli 2006 hendra_BQ RAPP 5 01 2011 email 15" xfId="1295" xr:uid="{00000000-0005-0000-0000-0000E6040000}"/>
    <cellStyle name="M_BQ-Omni Wuryanto edit-KWD 10 Juli 2006 hendra_COST PLAN SRUKTUR&amp;ARSITEK_R1" xfId="1296" xr:uid="{00000000-0005-0000-0000-0000E7040000}"/>
    <cellStyle name="M_BQ-Omni Wuryanto edit-KWD 10 Juli 2006 hendra_Struktural Steel Upper Struct New Skin - Unilever" xfId="1297" xr:uid="{00000000-0005-0000-0000-0000E8040000}"/>
    <cellStyle name="M_Copy of BQ-Kontrak Utama-KWrev1" xfId="1298" xr:uid="{00000000-0005-0000-0000-0000E9040000}"/>
    <cellStyle name="M_Copy of BQ-Kontrak Utama-KWrev1_BQ RAPP 06.01.11 KOTAK KATIK" xfId="1299" xr:uid="{00000000-0005-0000-0000-0000EA040000}"/>
    <cellStyle name="M_Copy of BQ-Kontrak Utama-KWrev1_BQ RAPP 5 01 2011 email 15" xfId="1300" xr:uid="{00000000-0005-0000-0000-0000EB040000}"/>
    <cellStyle name="M_Copy of BQ-Kontrak Utama-KWrev1_COST PLAN SRUKTUR&amp;ARSITEK_R1" xfId="1301" xr:uid="{00000000-0005-0000-0000-0000EC040000}"/>
    <cellStyle name="M_Copy of BQ-Kontrak Utama-KWrev1_Struktural Steel Upper Struct New Skin - Unilever" xfId="1302" xr:uid="{00000000-0005-0000-0000-0000ED040000}"/>
    <cellStyle name="m_Cost Plan_STRUKTUR" xfId="1303" xr:uid="{00000000-0005-0000-0000-0000EE040000}"/>
    <cellStyle name="M_MKU14July06" xfId="1304" xr:uid="{00000000-0005-0000-0000-0000EF040000}"/>
    <cellStyle name="M_MKU14July06_BQ RAPP 06.01.11 KOTAK KATIK" xfId="1305" xr:uid="{00000000-0005-0000-0000-0000F0040000}"/>
    <cellStyle name="M_MKU14July06_BQ RAPP 5 01 2011 email 15" xfId="1306" xr:uid="{00000000-0005-0000-0000-0000F1040000}"/>
    <cellStyle name="M_MKU14July06_COST PLAN SRUKTUR&amp;ARSITEK_R1" xfId="1307" xr:uid="{00000000-0005-0000-0000-0000F2040000}"/>
    <cellStyle name="M_MKU14July06_Struktural Steel Upper Struct New Skin - Unilever" xfId="1308" xr:uid="{00000000-0005-0000-0000-0000F3040000}"/>
    <cellStyle name="M_Perkiraan biaya RS OMNI KAPI Elektrikal + Summary" xfId="1309" xr:uid="{00000000-0005-0000-0000-0000F4040000}"/>
    <cellStyle name="M_Perkiraan biaya RS OMNI KAPI Elektrikal + Summary_BQ RAPP 06.01.11 KOTAK KATIK" xfId="1310" xr:uid="{00000000-0005-0000-0000-0000F5040000}"/>
    <cellStyle name="M_Perkiraan biaya RS OMNI KAPI Elektrikal + Summary_BQ RAPP 5 01 2011 email 15" xfId="1311" xr:uid="{00000000-0005-0000-0000-0000F6040000}"/>
    <cellStyle name="M_Perkiraan biaya RS OMNI KAPI Elektrikal + Summary_COST PLAN SRUKTUR&amp;ARSITEK_R1" xfId="1312" xr:uid="{00000000-0005-0000-0000-0000F7040000}"/>
    <cellStyle name="M_Perkiraan biaya RS OMNI KAPI Elektrikal + Summary_Struktural Steel Upper Struct New Skin - Unilever" xfId="1313" xr:uid="{00000000-0005-0000-0000-0000F8040000}"/>
    <cellStyle name="M_Perkiraan biaya RS OMNI KAPI Mekanikal" xfId="1314" xr:uid="{00000000-0005-0000-0000-0000F9040000}"/>
    <cellStyle name="M_Perkiraan biaya RS OMNI KAPI Mekanikal_BQ RAPP 06.01.11 KOTAK KATIK" xfId="1315" xr:uid="{00000000-0005-0000-0000-0000FA040000}"/>
    <cellStyle name="M_Perkiraan biaya RS OMNI KAPI Mekanikal_BQ RAPP 5 01 2011 email 15" xfId="1316" xr:uid="{00000000-0005-0000-0000-0000FB040000}"/>
    <cellStyle name="M_Perkiraan biaya RS OMNI KAPI Mekanikal_COST PLAN SRUKTUR&amp;ARSITEK_R1" xfId="1317" xr:uid="{00000000-0005-0000-0000-0000FC040000}"/>
    <cellStyle name="M_Perkiraan biaya RS OMNI KAPI Mekanikal_Struktural Steel Upper Struct New Skin - Unilever" xfId="1318" xr:uid="{00000000-0005-0000-0000-0000FD040000}"/>
    <cellStyle name="m_PERSIAPAN TARKI" xfId="1319" xr:uid="{00000000-0005-0000-0000-0000FE040000}"/>
    <cellStyle name="M_RAB ARSITEK IRNA 1 R 1213.02" xfId="1320" xr:uid="{00000000-0005-0000-0000-0000FF040000}"/>
    <cellStyle name="M_RAB ARSITEK PAGAR R 1213.09" xfId="1321" xr:uid="{00000000-0005-0000-0000-000000050000}"/>
    <cellStyle name="m_RAB ARSITEKTUR BCA 12-4-2013" xfId="1322" xr:uid="{00000000-0005-0000-0000-000001050000}"/>
    <cellStyle name="M_REVISI ACHIR OMNI" xfId="1323" xr:uid="{00000000-0005-0000-0000-000002050000}"/>
    <cellStyle name="M_REVISI ACHIR OMNI_Struktural Steel Upper Struct New Skin - Unilever" xfId="1324" xr:uid="{00000000-0005-0000-0000-000003050000}"/>
    <cellStyle name="m_Struktural Steel Upper Struct New Skin - Unilever" xfId="1325" xr:uid="{00000000-0005-0000-0000-000004050000}"/>
    <cellStyle name="m_Wolter Monginsidi BQ  5-Full Lt.Kontrak" xfId="1326" xr:uid="{00000000-0005-0000-0000-000005050000}"/>
    <cellStyle name="M-0" xfId="1327" xr:uid="{00000000-0005-0000-0000-000006050000}"/>
    <cellStyle name="MainDescription" xfId="1328" xr:uid="{00000000-0005-0000-0000-000007050000}"/>
    <cellStyle name="markup" xfId="1329" xr:uid="{00000000-0005-0000-0000-000008050000}"/>
    <cellStyle name="Measure" xfId="1330" xr:uid="{00000000-0005-0000-0000-000009050000}"/>
    <cellStyle name="Millares [0]_elec" xfId="1331" xr:uid="{00000000-0005-0000-0000-00000A050000}"/>
    <cellStyle name="Millares_elec" xfId="1332" xr:uid="{00000000-0005-0000-0000-00000B050000}"/>
    <cellStyle name="Milliers [0]_AR1194" xfId="1333" xr:uid="{00000000-0005-0000-0000-00000C050000}"/>
    <cellStyle name="Milliers_AR1194" xfId="1334" xr:uid="{00000000-0005-0000-0000-00000D050000}"/>
    <cellStyle name="m-o" xfId="1335" xr:uid="{00000000-0005-0000-0000-00000E050000}"/>
    <cellStyle name="Moneda [0]_laroux" xfId="1336" xr:uid="{00000000-0005-0000-0000-00000F050000}"/>
    <cellStyle name="Moneda_laroux" xfId="1337" xr:uid="{00000000-0005-0000-0000-000010050000}"/>
    <cellStyle name="Monétaire [0]_AR1194" xfId="1338" xr:uid="{00000000-0005-0000-0000-000011050000}"/>
    <cellStyle name="Monétaire_AR1194" xfId="1339" xr:uid="{00000000-0005-0000-0000-000012050000}"/>
    <cellStyle name="n" xfId="1340" xr:uid="{00000000-0005-0000-0000-000013050000}"/>
    <cellStyle name="n_BQ-Kontrak Utama (5)-radja" xfId="1341" xr:uid="{00000000-0005-0000-0000-000014050000}"/>
    <cellStyle name="n_BQ-Kontrak Utama (5)-radja_BQ RAPP 06.01.11 KOTAK KATIK" xfId="1342" xr:uid="{00000000-0005-0000-0000-000015050000}"/>
    <cellStyle name="n_BQ-Kontrak Utama (5)-radja_BQ RAPP 5 01 2011 email 15" xfId="1343" xr:uid="{00000000-0005-0000-0000-000016050000}"/>
    <cellStyle name="n_BQ-Kontrak Utama (5)-radja_BQ-Kontrak Utama (R)" xfId="1344" xr:uid="{00000000-0005-0000-0000-000017050000}"/>
    <cellStyle name="n_BQ-Kontrak Utama (5)-radja_BQ-Kontrak Utama (R)_BQ RAPP 06.01.11 KOTAK KATIK" xfId="1345" xr:uid="{00000000-0005-0000-0000-000018050000}"/>
    <cellStyle name="n_BQ-Kontrak Utama (5)-radja_BQ-Kontrak Utama (R)_BQ RAPP 5 01 2011 email 15" xfId="1346" xr:uid="{00000000-0005-0000-0000-000019050000}"/>
    <cellStyle name="n_BQ-Kontrak Utama (5)-radja_BQ-Kontrak Utama (R)_BQ-Omni Wuryanto edit-KWD 10 Juli 2006 hendra" xfId="1347" xr:uid="{00000000-0005-0000-0000-00001A050000}"/>
    <cellStyle name="n_BQ-Kontrak Utama (5)-radja_BQ-Kontrak Utama (R)_BQ-Omni Wuryanto edit-KWD 10 Juli 2006 hendra_BQ RAPP 06.01.11 KOTAK KATIK" xfId="1348" xr:uid="{00000000-0005-0000-0000-00001B050000}"/>
    <cellStyle name="n_BQ-Kontrak Utama (5)-radja_BQ-Kontrak Utama (R)_BQ-Omni Wuryanto edit-KWD 10 Juli 2006 hendra_BQ RAPP 5 01 2011 email 15" xfId="1349" xr:uid="{00000000-0005-0000-0000-00001C050000}"/>
    <cellStyle name="n_BQ-Kontrak Utama (5)-radja_BQ-Kontrak Utama (R)_BQ-Omni Wuryanto edit-KWD 10 Juli 2006 hendra_COST PLAN SRUKTUR&amp;ARSITEK_R1" xfId="1350" xr:uid="{00000000-0005-0000-0000-00001D050000}"/>
    <cellStyle name="n_BQ-Kontrak Utama (5)-radja_BQ-Kontrak Utama (R)_BQ-Omni Wuryanto edit-KWD 10 Juli 2006 hendra_Struktural Steel Upper Struct New Skin - Unilever" xfId="1351" xr:uid="{00000000-0005-0000-0000-00001E050000}"/>
    <cellStyle name="n_BQ-Kontrak Utama (5)-radja_BQ-Kontrak Utama (R)_Copy of BQ-Kontrak Utama-KWrev1" xfId="1352" xr:uid="{00000000-0005-0000-0000-00001F050000}"/>
    <cellStyle name="n_BQ-Kontrak Utama (5)-radja_BQ-Kontrak Utama (R)_Copy of BQ-Kontrak Utama-KWrev1_BQ RAPP 06.01.11 KOTAK KATIK" xfId="1353" xr:uid="{00000000-0005-0000-0000-000020050000}"/>
    <cellStyle name="n_BQ-Kontrak Utama (5)-radja_BQ-Kontrak Utama (R)_Copy of BQ-Kontrak Utama-KWrev1_BQ RAPP 5 01 2011 email 15" xfId="1354" xr:uid="{00000000-0005-0000-0000-000021050000}"/>
    <cellStyle name="n_BQ-Kontrak Utama (5)-radja_BQ-Kontrak Utama (R)_Copy of BQ-Kontrak Utama-KWrev1_COST PLAN SRUKTUR&amp;ARSITEK_R1" xfId="1355" xr:uid="{00000000-0005-0000-0000-000022050000}"/>
    <cellStyle name="n_BQ-Kontrak Utama (5)-radja_BQ-Kontrak Utama (R)_Copy of BQ-Kontrak Utama-KWrev1_Struktural Steel Upper Struct New Skin - Unilever" xfId="1356" xr:uid="{00000000-0005-0000-0000-000023050000}"/>
    <cellStyle name="n_BQ-Kontrak Utama (5)-radja_BQ-Kontrak Utama (R)_COST PLAN SRUKTUR&amp;ARSITEK_R1" xfId="1357" xr:uid="{00000000-0005-0000-0000-000024050000}"/>
    <cellStyle name="n_BQ-Kontrak Utama (5)-radja_BQ-Kontrak Utama (R)_MKU14July06" xfId="1358" xr:uid="{00000000-0005-0000-0000-000025050000}"/>
    <cellStyle name="n_BQ-Kontrak Utama (5)-radja_BQ-Kontrak Utama (R)_MKU14July06_BQ RAPP 06.01.11 KOTAK KATIK" xfId="1359" xr:uid="{00000000-0005-0000-0000-000026050000}"/>
    <cellStyle name="n_BQ-Kontrak Utama (5)-radja_BQ-Kontrak Utama (R)_MKU14July06_BQ RAPP 5 01 2011 email 15" xfId="1360" xr:uid="{00000000-0005-0000-0000-000027050000}"/>
    <cellStyle name="n_BQ-Kontrak Utama (5)-radja_BQ-Kontrak Utama (R)_MKU14July06_COST PLAN SRUKTUR&amp;ARSITEK_R1" xfId="1361" xr:uid="{00000000-0005-0000-0000-000028050000}"/>
    <cellStyle name="n_BQ-Kontrak Utama (5)-radja_BQ-Kontrak Utama (R)_MKU14July06_Struktural Steel Upper Struct New Skin - Unilever" xfId="1362" xr:uid="{00000000-0005-0000-0000-000029050000}"/>
    <cellStyle name="n_BQ-Kontrak Utama (5)-radja_BQ-Kontrak Utama (R)_Struktural Steel Upper Struct New Skin - Unilever" xfId="1363" xr:uid="{00000000-0005-0000-0000-00002A050000}"/>
    <cellStyle name="n_BQ-Kontrak Utama (5)-radja_BQ-Omni Wuryanto edit-KWD 10 Juli 2006 hendra" xfId="1364" xr:uid="{00000000-0005-0000-0000-00002B050000}"/>
    <cellStyle name="n_BQ-Kontrak Utama (5)-radja_BQ-Omni Wuryanto edit-KWD 10 Juli 2006 hendra_BQ RAPP 06.01.11 KOTAK KATIK" xfId="1365" xr:uid="{00000000-0005-0000-0000-00002C050000}"/>
    <cellStyle name="n_BQ-Kontrak Utama (5)-radja_BQ-Omni Wuryanto edit-KWD 10 Juli 2006 hendra_BQ RAPP 5 01 2011 email 15" xfId="1366" xr:uid="{00000000-0005-0000-0000-00002D050000}"/>
    <cellStyle name="n_BQ-Kontrak Utama (5)-radja_BQ-Omni Wuryanto edit-KWD 10 Juli 2006 hendra_COST PLAN SRUKTUR&amp;ARSITEK_R1" xfId="1367" xr:uid="{00000000-0005-0000-0000-00002E050000}"/>
    <cellStyle name="n_BQ-Kontrak Utama (5)-radja_BQ-Omni Wuryanto edit-KWD 10 Juli 2006 hendra_Struktural Steel Upper Struct New Skin - Unilever" xfId="1368" xr:uid="{00000000-0005-0000-0000-00002F050000}"/>
    <cellStyle name="n_BQ-Kontrak Utama (5)-radja_Copy of BQ-Kontrak Utama-KWrev1" xfId="1369" xr:uid="{00000000-0005-0000-0000-000030050000}"/>
    <cellStyle name="n_BQ-Kontrak Utama (5)-radja_Copy of BQ-Kontrak Utama-KWrev1_BQ RAPP 06.01.11 KOTAK KATIK" xfId="1370" xr:uid="{00000000-0005-0000-0000-000031050000}"/>
    <cellStyle name="n_BQ-Kontrak Utama (5)-radja_Copy of BQ-Kontrak Utama-KWrev1_BQ RAPP 5 01 2011 email 15" xfId="1371" xr:uid="{00000000-0005-0000-0000-000032050000}"/>
    <cellStyle name="n_BQ-Kontrak Utama (5)-radja_Copy of BQ-Kontrak Utama-KWrev1_COST PLAN SRUKTUR&amp;ARSITEK_R1" xfId="1372" xr:uid="{00000000-0005-0000-0000-000033050000}"/>
    <cellStyle name="n_BQ-Kontrak Utama (5)-radja_Copy of BQ-Kontrak Utama-KWrev1_Struktural Steel Upper Struct New Skin - Unilever" xfId="1373" xr:uid="{00000000-0005-0000-0000-000034050000}"/>
    <cellStyle name="n_BQ-Kontrak Utama (5)-radja_COST PLAN SRUKTUR&amp;ARSITEK_R1" xfId="1374" xr:uid="{00000000-0005-0000-0000-000035050000}"/>
    <cellStyle name="n_BQ-Kontrak Utama (5)-radja_MKU14July06" xfId="1375" xr:uid="{00000000-0005-0000-0000-000036050000}"/>
    <cellStyle name="n_BQ-Kontrak Utama (5)-radja_MKU14July06_BQ RAPP 06.01.11 KOTAK KATIK" xfId="1376" xr:uid="{00000000-0005-0000-0000-000037050000}"/>
    <cellStyle name="n_BQ-Kontrak Utama (5)-radja_MKU14July06_BQ RAPP 5 01 2011 email 15" xfId="1377" xr:uid="{00000000-0005-0000-0000-000038050000}"/>
    <cellStyle name="n_BQ-Kontrak Utama (5)-radja_MKU14July06_COST PLAN SRUKTUR&amp;ARSITEK_R1" xfId="1378" xr:uid="{00000000-0005-0000-0000-000039050000}"/>
    <cellStyle name="n_BQ-Kontrak Utama (5)-radja_MKU14July06_Struktural Steel Upper Struct New Skin - Unilever" xfId="1379" xr:uid="{00000000-0005-0000-0000-00003A050000}"/>
    <cellStyle name="n_BQ-Kontrak Utama (5)-radja_REVISI ACHIR OMNI" xfId="1380" xr:uid="{00000000-0005-0000-0000-00003B050000}"/>
    <cellStyle name="n_BQ-Kontrak Utama (5)-radja_REVISI ACHIR OMNI_BQ RAPP 06.01.11 KOTAK KATIK" xfId="1381" xr:uid="{00000000-0005-0000-0000-00003C050000}"/>
    <cellStyle name="n_BQ-Kontrak Utama (5)-radja_REVISI ACHIR OMNI_BQ RAPP 5 01 2011 email 15" xfId="1382" xr:uid="{00000000-0005-0000-0000-00003D050000}"/>
    <cellStyle name="n_BQ-Kontrak Utama (5)-radja_REVISI ACHIR OMNI_COST PLAN SRUKTUR&amp;ARSITEK_R1" xfId="1383" xr:uid="{00000000-0005-0000-0000-00003E050000}"/>
    <cellStyle name="n_BQ-Kontrak Utama (5)-radja_REVISI ACHIR OMNI_Struktural Steel Upper Struct New Skin - Unilever" xfId="1384" xr:uid="{00000000-0005-0000-0000-00003F050000}"/>
    <cellStyle name="n_BQ-Kontrak Utama (5)-radja_Struktural Steel Upper Struct New Skin - Unilever" xfId="1385" xr:uid="{00000000-0005-0000-0000-000040050000}"/>
    <cellStyle name="n_BQ-Kontrak Utama (R)" xfId="1386" xr:uid="{00000000-0005-0000-0000-000041050000}"/>
    <cellStyle name="n_BQ-Kontrak Utama (R)_BQ RAPP 06.01.11 KOTAK KATIK" xfId="1387" xr:uid="{00000000-0005-0000-0000-000042050000}"/>
    <cellStyle name="n_BQ-Kontrak Utama (R)_BQ RAPP 5 01 2011 email 15" xfId="1388" xr:uid="{00000000-0005-0000-0000-000043050000}"/>
    <cellStyle name="n_BQ-Kontrak Utama (R)_BQ-Omni Wuryanto edit-KWD 10 Juli 2006 hendra" xfId="1389" xr:uid="{00000000-0005-0000-0000-000044050000}"/>
    <cellStyle name="n_BQ-Kontrak Utama (R)_BQ-Omni Wuryanto edit-KWD 10 Juli 2006 hendra_BQ RAPP 06.01.11 KOTAK KATIK" xfId="1390" xr:uid="{00000000-0005-0000-0000-000045050000}"/>
    <cellStyle name="n_BQ-Kontrak Utama (R)_BQ-Omni Wuryanto edit-KWD 10 Juli 2006 hendra_BQ RAPP 5 01 2011 email 15" xfId="1391" xr:uid="{00000000-0005-0000-0000-000046050000}"/>
    <cellStyle name="n_BQ-Kontrak Utama (R)_BQ-Omni Wuryanto edit-KWD 10 Juli 2006 hendra_COST PLAN SRUKTUR&amp;ARSITEK_R1" xfId="1392" xr:uid="{00000000-0005-0000-0000-000047050000}"/>
    <cellStyle name="n_BQ-Kontrak Utama (R)_BQ-Omni Wuryanto edit-KWD 10 Juli 2006 hendra_Struktural Steel Upper Struct New Skin - Unilever" xfId="1393" xr:uid="{00000000-0005-0000-0000-000048050000}"/>
    <cellStyle name="n_BQ-Kontrak Utama (R)_Copy of BQ-Kontrak Utama-KWrev1" xfId="1394" xr:uid="{00000000-0005-0000-0000-000049050000}"/>
    <cellStyle name="n_BQ-Kontrak Utama (R)_Copy of BQ-Kontrak Utama-KWrev1_BQ RAPP 06.01.11 KOTAK KATIK" xfId="1395" xr:uid="{00000000-0005-0000-0000-00004A050000}"/>
    <cellStyle name="n_BQ-Kontrak Utama (R)_Copy of BQ-Kontrak Utama-KWrev1_BQ RAPP 5 01 2011 email 15" xfId="1396" xr:uid="{00000000-0005-0000-0000-00004B050000}"/>
    <cellStyle name="n_BQ-Kontrak Utama (R)_Copy of BQ-Kontrak Utama-KWrev1_COST PLAN SRUKTUR&amp;ARSITEK_R1" xfId="1397" xr:uid="{00000000-0005-0000-0000-00004C050000}"/>
    <cellStyle name="n_BQ-Kontrak Utama (R)_Copy of BQ-Kontrak Utama-KWrev1_Struktural Steel Upper Struct New Skin - Unilever" xfId="1398" xr:uid="{00000000-0005-0000-0000-00004D050000}"/>
    <cellStyle name="n_BQ-Kontrak Utama (R)_COST PLAN SRUKTUR&amp;ARSITEK_R1" xfId="1399" xr:uid="{00000000-0005-0000-0000-00004E050000}"/>
    <cellStyle name="n_BQ-Kontrak Utama (R)_MKU14July06" xfId="1400" xr:uid="{00000000-0005-0000-0000-00004F050000}"/>
    <cellStyle name="n_BQ-Kontrak Utama (R)_MKU14July06_BQ RAPP 06.01.11 KOTAK KATIK" xfId="1401" xr:uid="{00000000-0005-0000-0000-000050050000}"/>
    <cellStyle name="n_BQ-Kontrak Utama (R)_MKU14July06_BQ RAPP 5 01 2011 email 15" xfId="1402" xr:uid="{00000000-0005-0000-0000-000051050000}"/>
    <cellStyle name="n_BQ-Kontrak Utama (R)_MKU14July06_COST PLAN SRUKTUR&amp;ARSITEK_R1" xfId="1403" xr:uid="{00000000-0005-0000-0000-000052050000}"/>
    <cellStyle name="n_BQ-Kontrak Utama (R)_MKU14July06_Struktural Steel Upper Struct New Skin - Unilever" xfId="1404" xr:uid="{00000000-0005-0000-0000-000053050000}"/>
    <cellStyle name="n_BQ-Kontrak Utama (R)_Struktural Steel Upper Struct New Skin - Unilever" xfId="1405" xr:uid="{00000000-0005-0000-0000-000054050000}"/>
    <cellStyle name="n_BQ-Omni Wuryanto edit-KWD 10 Juli 2006 hendra" xfId="1406" xr:uid="{00000000-0005-0000-0000-000055050000}"/>
    <cellStyle name="n_BQ-Omni Wuryanto edit-KWD 10 Juli 2006 hendra_BQ RAPP 06.01.11 KOTAK KATIK" xfId="1407" xr:uid="{00000000-0005-0000-0000-000056050000}"/>
    <cellStyle name="n_BQ-Omni Wuryanto edit-KWD 10 Juli 2006 hendra_BQ RAPP 5 01 2011 email 15" xfId="1408" xr:uid="{00000000-0005-0000-0000-000057050000}"/>
    <cellStyle name="n_BQ-Omni Wuryanto edit-KWD 10 Juli 2006 hendra_COST PLAN SRUKTUR&amp;ARSITEK_R1" xfId="1409" xr:uid="{00000000-0005-0000-0000-000058050000}"/>
    <cellStyle name="n_BQ-Omni Wuryanto edit-KWD 10 Juli 2006 hendra_Struktural Steel Upper Struct New Skin - Unilever" xfId="1410" xr:uid="{00000000-0005-0000-0000-000059050000}"/>
    <cellStyle name="n_Copy of BQ-Kontrak Utama-KWrev1" xfId="1411" xr:uid="{00000000-0005-0000-0000-00005A050000}"/>
    <cellStyle name="n_Copy of BQ-Kontrak Utama-KWrev1_BQ RAPP 06.01.11 KOTAK KATIK" xfId="1412" xr:uid="{00000000-0005-0000-0000-00005B050000}"/>
    <cellStyle name="n_Copy of BQ-Kontrak Utama-KWrev1_BQ RAPP 5 01 2011 email 15" xfId="1413" xr:uid="{00000000-0005-0000-0000-00005C050000}"/>
    <cellStyle name="n_Copy of BQ-Kontrak Utama-KWrev1_COST PLAN SRUKTUR&amp;ARSITEK_R1" xfId="1414" xr:uid="{00000000-0005-0000-0000-00005D050000}"/>
    <cellStyle name="n_Copy of BQ-Kontrak Utama-KWrev1_Struktural Steel Upper Struct New Skin - Unilever" xfId="1415" xr:uid="{00000000-0005-0000-0000-00005E050000}"/>
    <cellStyle name="n_MKU14July06" xfId="1416" xr:uid="{00000000-0005-0000-0000-00005F050000}"/>
    <cellStyle name="n_MKU14July06_BQ RAPP 06.01.11 KOTAK KATIK" xfId="1417" xr:uid="{00000000-0005-0000-0000-000060050000}"/>
    <cellStyle name="n_MKU14July06_BQ RAPP 5 01 2011 email 15" xfId="1418" xr:uid="{00000000-0005-0000-0000-000061050000}"/>
    <cellStyle name="n_MKU14July06_COST PLAN SRUKTUR&amp;ARSITEK_R1" xfId="1419" xr:uid="{00000000-0005-0000-0000-000062050000}"/>
    <cellStyle name="n_MKU14July06_Struktural Steel Upper Struct New Skin - Unilever" xfId="1420" xr:uid="{00000000-0005-0000-0000-000063050000}"/>
    <cellStyle name="n_Perkiraan biaya RS OMNI KAPI Elektrikal + Summary" xfId="1421" xr:uid="{00000000-0005-0000-0000-000064050000}"/>
    <cellStyle name="n_Perkiraan biaya RS OMNI KAPI Elektrikal + Summary_BQ RAPP 06.01.11 KOTAK KATIK" xfId="1422" xr:uid="{00000000-0005-0000-0000-000065050000}"/>
    <cellStyle name="n_Perkiraan biaya RS OMNI KAPI Elektrikal + Summary_BQ RAPP 5 01 2011 email 15" xfId="1423" xr:uid="{00000000-0005-0000-0000-000066050000}"/>
    <cellStyle name="n_Perkiraan biaya RS OMNI KAPI Elektrikal + Summary_COST PLAN SRUKTUR&amp;ARSITEK_R1" xfId="1424" xr:uid="{00000000-0005-0000-0000-000067050000}"/>
    <cellStyle name="n_Perkiraan biaya RS OMNI KAPI Elektrikal + Summary_Struktural Steel Upper Struct New Skin - Unilever" xfId="1425" xr:uid="{00000000-0005-0000-0000-000068050000}"/>
    <cellStyle name="n_Perkiraan biaya RS OMNI KAPI Mekanikal" xfId="1426" xr:uid="{00000000-0005-0000-0000-000069050000}"/>
    <cellStyle name="n_Perkiraan biaya RS OMNI KAPI Mekanikal_BQ RAPP 06.01.11 KOTAK KATIK" xfId="1427" xr:uid="{00000000-0005-0000-0000-00006A050000}"/>
    <cellStyle name="n_Perkiraan biaya RS OMNI KAPI Mekanikal_BQ RAPP 5 01 2011 email 15" xfId="1428" xr:uid="{00000000-0005-0000-0000-00006B050000}"/>
    <cellStyle name="n_Perkiraan biaya RS OMNI KAPI Mekanikal_COST PLAN SRUKTUR&amp;ARSITEK_R1" xfId="1429" xr:uid="{00000000-0005-0000-0000-00006C050000}"/>
    <cellStyle name="n_Perkiraan biaya RS OMNI KAPI Mekanikal_Struktural Steel Upper Struct New Skin - Unilever" xfId="1430" xr:uid="{00000000-0005-0000-0000-00006D050000}"/>
    <cellStyle name="n_REVISI ACHIR OMNI" xfId="1431" xr:uid="{00000000-0005-0000-0000-00006E050000}"/>
    <cellStyle name="n_REVISI ACHIR OMNI_Struktural Steel Upper Struct New Skin - Unilever" xfId="1432" xr:uid="{00000000-0005-0000-0000-00006F050000}"/>
    <cellStyle name="n_Struktural Steel Upper Struct New Skin - Unilever" xfId="1433" xr:uid="{00000000-0005-0000-0000-000070050000}"/>
    <cellStyle name="Netral" xfId="1434" xr:uid="{00000000-0005-0000-0000-000071050000}"/>
    <cellStyle name="Neutral 2" xfId="1435" xr:uid="{00000000-0005-0000-0000-000072050000}"/>
    <cellStyle name="Neutral 3" xfId="1436" xr:uid="{00000000-0005-0000-0000-000073050000}"/>
    <cellStyle name="New Times Roman" xfId="1437" xr:uid="{00000000-0005-0000-0000-000074050000}"/>
    <cellStyle name="no dec" xfId="1438" xr:uid="{00000000-0005-0000-0000-000075050000}"/>
    <cellStyle name="no dec 2" xfId="1439" xr:uid="{00000000-0005-0000-0000-000076050000}"/>
    <cellStyle name="Normal" xfId="0" builtinId="0"/>
    <cellStyle name="Normal - Style1" xfId="1440" xr:uid="{00000000-0005-0000-0000-000078050000}"/>
    <cellStyle name="Normal - Style1 2" xfId="1441" xr:uid="{00000000-0005-0000-0000-000079050000}"/>
    <cellStyle name="Normal - Style2" xfId="1442" xr:uid="{00000000-0005-0000-0000-00007A050000}"/>
    <cellStyle name="Normal - Style3" xfId="1443" xr:uid="{00000000-0005-0000-0000-00007B050000}"/>
    <cellStyle name="Normal - Style4" xfId="1444" xr:uid="{00000000-0005-0000-0000-00007C050000}"/>
    <cellStyle name="Normal - Style5" xfId="1445" xr:uid="{00000000-0005-0000-0000-00007D050000}"/>
    <cellStyle name="Normal - Style6" xfId="1446" xr:uid="{00000000-0005-0000-0000-00007E050000}"/>
    <cellStyle name="Normal - Style7" xfId="1447" xr:uid="{00000000-0005-0000-0000-00007F050000}"/>
    <cellStyle name="Normal - Style8" xfId="1448" xr:uid="{00000000-0005-0000-0000-000080050000}"/>
    <cellStyle name="Normal 1" xfId="1449" xr:uid="{00000000-0005-0000-0000-000081050000}"/>
    <cellStyle name="Normal 10" xfId="9" xr:uid="{00000000-0005-0000-0000-000082050000}"/>
    <cellStyle name="Normal 10 2" xfId="21" xr:uid="{00000000-0005-0000-0000-000083050000}"/>
    <cellStyle name="Normal 10 3" xfId="1450" xr:uid="{00000000-0005-0000-0000-000084050000}"/>
    <cellStyle name="Normal 10 4" xfId="42" xr:uid="{00000000-0005-0000-0000-000085050000}"/>
    <cellStyle name="Normal 10 4 2" xfId="67" xr:uid="{00000000-0005-0000-0000-000086050000}"/>
    <cellStyle name="Normal 10 4 2 2" xfId="1663" xr:uid="{DAD02DD1-5FFB-42A3-989A-EF9027340C54}"/>
    <cellStyle name="Normal 10 4 3" xfId="1638" xr:uid="{B022F9E0-5CD8-492C-A12E-0FC4868C969F}"/>
    <cellStyle name="Normal 10 5" xfId="1451" xr:uid="{00000000-0005-0000-0000-000087050000}"/>
    <cellStyle name="Normal 10_3.RAB ARSITEK IRNA 1 R 1213.09" xfId="1452" xr:uid="{00000000-0005-0000-0000-000088050000}"/>
    <cellStyle name="Normal 11" xfId="1453" xr:uid="{00000000-0005-0000-0000-000089050000}"/>
    <cellStyle name="Normal 12" xfId="1454" xr:uid="{00000000-0005-0000-0000-00008A050000}"/>
    <cellStyle name="Normal 13" xfId="1455" xr:uid="{00000000-0005-0000-0000-00008B050000}"/>
    <cellStyle name="Normal 13 2" xfId="1456" xr:uid="{00000000-0005-0000-0000-00008C050000}"/>
    <cellStyle name="Normal 14" xfId="1457" xr:uid="{00000000-0005-0000-0000-00008D050000}"/>
    <cellStyle name="Normal 14 2" xfId="1458" xr:uid="{00000000-0005-0000-0000-00008E050000}"/>
    <cellStyle name="Normal 14 3" xfId="1459" xr:uid="{00000000-0005-0000-0000-00008F050000}"/>
    <cellStyle name="Normal 14_RAB ARSITEKTUR BCA 12-4-2013" xfId="1460" xr:uid="{00000000-0005-0000-0000-000090050000}"/>
    <cellStyle name="Normal 15" xfId="1461" xr:uid="{00000000-0005-0000-0000-000091050000}"/>
    <cellStyle name="Normal 15 2" xfId="1462" xr:uid="{00000000-0005-0000-0000-000092050000}"/>
    <cellStyle name="Normal 15_RAB ARSITEKTUR BCA 12-4-2013" xfId="1463" xr:uid="{00000000-0005-0000-0000-000093050000}"/>
    <cellStyle name="Normal 16" xfId="1464" xr:uid="{00000000-0005-0000-0000-000094050000}"/>
    <cellStyle name="Normal 17" xfId="1465" xr:uid="{00000000-0005-0000-0000-000095050000}"/>
    <cellStyle name="Normal 18" xfId="1466" xr:uid="{00000000-0005-0000-0000-000096050000}"/>
    <cellStyle name="Normal 18 2" xfId="1467" xr:uid="{00000000-0005-0000-0000-000097050000}"/>
    <cellStyle name="Normal 18 2 2" xfId="1684" xr:uid="{9A406706-62B0-4E30-BC2F-E685AF4DDAD2}"/>
    <cellStyle name="Normal 19" xfId="1468" xr:uid="{00000000-0005-0000-0000-000098050000}"/>
    <cellStyle name="Normal 2" xfId="4" xr:uid="{00000000-0005-0000-0000-000099050000}"/>
    <cellStyle name="Normal 2 12" xfId="1469" xr:uid="{00000000-0005-0000-0000-00009A050000}"/>
    <cellStyle name="Normal 2 2" xfId="8" xr:uid="{00000000-0005-0000-0000-00009B050000}"/>
    <cellStyle name="Normal 2 2 2" xfId="47" xr:uid="{00000000-0005-0000-0000-00009C050000}"/>
    <cellStyle name="Normal 2 2 2 2" xfId="1470" xr:uid="{00000000-0005-0000-0000-00009D050000}"/>
    <cellStyle name="Normal 2 2 2 3" xfId="1471" xr:uid="{00000000-0005-0000-0000-00009E050000}"/>
    <cellStyle name="Normal 2 2 2 4" xfId="1643" xr:uid="{25898ACF-6149-4C73-BD7E-37626AC29796}"/>
    <cellStyle name="Normal 2 2 2_RAB ARSITEKTUR BCA 12-4-2013" xfId="1472" xr:uid="{00000000-0005-0000-0000-00009F050000}"/>
    <cellStyle name="Normal 2 2 3" xfId="23" xr:uid="{00000000-0005-0000-0000-0000A0050000}"/>
    <cellStyle name="Normal 2 2 3 2" xfId="1473" xr:uid="{00000000-0005-0000-0000-0000A1050000}"/>
    <cellStyle name="Normal 2 2 4" xfId="1474" xr:uid="{00000000-0005-0000-0000-0000A2050000}"/>
    <cellStyle name="Normal 2 2 4 2" xfId="1475" xr:uid="{00000000-0005-0000-0000-0000A3050000}"/>
    <cellStyle name="Normal 2 2_3.RAB ARSITEK IRNA 1 R 1213.09" xfId="1476" xr:uid="{00000000-0005-0000-0000-0000A4050000}"/>
    <cellStyle name="Normal 2 3" xfId="49" xr:uid="{00000000-0005-0000-0000-0000A5050000}"/>
    <cellStyle name="Normal 2 3 2" xfId="1477" xr:uid="{00000000-0005-0000-0000-0000A6050000}"/>
    <cellStyle name="Normal 2 3 3" xfId="1645" xr:uid="{D87E908A-37C7-412B-8218-0CE5FA35ABC9}"/>
    <cellStyle name="Normal 2 3 3 2" xfId="1708" xr:uid="{C131FC35-65A3-4C09-A5B5-193B511704BD}"/>
    <cellStyle name="Normal 2 3 3 2 2" xfId="1714" xr:uid="{75C93327-48CD-46E0-A499-EAF5C9C54055}"/>
    <cellStyle name="Normal 2 3 4" xfId="1723" xr:uid="{6D24C1B9-F2E9-46FD-8816-A83ECEB223D5}"/>
    <cellStyle name="Normal 2 3_RAB ARSITEKTUR BCA 12-4-2013" xfId="1478" xr:uid="{00000000-0005-0000-0000-0000A7050000}"/>
    <cellStyle name="Normal 2 4" xfId="51" xr:uid="{00000000-0005-0000-0000-0000A8050000}"/>
    <cellStyle name="Normal 2 4 2" xfId="1479" xr:uid="{00000000-0005-0000-0000-0000A9050000}"/>
    <cellStyle name="Normal 2 4 3" xfId="1480" xr:uid="{00000000-0005-0000-0000-0000AA050000}"/>
    <cellStyle name="Normal 2 4 4" xfId="1647" xr:uid="{8E487B7A-A650-4D97-B81E-C684F974C971}"/>
    <cellStyle name="Normal 2 4_3.RAB ARC BLUE BIRD R0912.03" xfId="1481" xr:uid="{00000000-0005-0000-0000-0000AB050000}"/>
    <cellStyle name="Normal 2 5" xfId="45" xr:uid="{00000000-0005-0000-0000-0000AC050000}"/>
    <cellStyle name="Normal 2 5 2" xfId="1482" xr:uid="{00000000-0005-0000-0000-0000AD050000}"/>
    <cellStyle name="Normal 2 5 2 5" xfId="1483" xr:uid="{00000000-0005-0000-0000-0000AE050000}"/>
    <cellStyle name="Normal 2 5 3" xfId="1641" xr:uid="{86AC2EEB-FC0E-4A5D-91B6-D92937FA8384}"/>
    <cellStyle name="Normal 2 6" xfId="1484" xr:uid="{00000000-0005-0000-0000-0000AF050000}"/>
    <cellStyle name="Normal 2 7" xfId="1485" xr:uid="{00000000-0005-0000-0000-0000B0050000}"/>
    <cellStyle name="Normal 2 8" xfId="1486" xr:uid="{00000000-0005-0000-0000-0000B1050000}"/>
    <cellStyle name="Normal 2 9" xfId="1487" xr:uid="{00000000-0005-0000-0000-0000B2050000}"/>
    <cellStyle name="Normal 2 9 2" xfId="1685" xr:uid="{02BD7543-54D3-49D4-B25D-E2EDE429D4F0}"/>
    <cellStyle name="Normal 2 9 2 2" xfId="1716" xr:uid="{0A4B52B3-A2A9-4667-ACDE-41A9DCB3E9CF}"/>
    <cellStyle name="Normal 2_(13 Juli 2010)RAB ARC Perkiraan Gedung arsipPU R.610.30_tanya" xfId="1488" xr:uid="{00000000-0005-0000-0000-0000B3050000}"/>
    <cellStyle name="Normal 20" xfId="1489" xr:uid="{00000000-0005-0000-0000-0000B4050000}"/>
    <cellStyle name="Normal 21" xfId="1490" xr:uid="{00000000-0005-0000-0000-0000B5050000}"/>
    <cellStyle name="Normal 22" xfId="1491" xr:uid="{00000000-0005-0000-0000-0000B6050000}"/>
    <cellStyle name="Normal 22 4" xfId="1492" xr:uid="{00000000-0005-0000-0000-0000B7050000}"/>
    <cellStyle name="Normal 23" xfId="1493" xr:uid="{00000000-0005-0000-0000-0000B8050000}"/>
    <cellStyle name="Normal 24" xfId="1494" xr:uid="{00000000-0005-0000-0000-0000B9050000}"/>
    <cellStyle name="Normal 25" xfId="1495" xr:uid="{00000000-0005-0000-0000-0000BA050000}"/>
    <cellStyle name="Normal 26" xfId="74" xr:uid="{00000000-0005-0000-0000-0000BB050000}"/>
    <cellStyle name="Normal 28" xfId="1722" xr:uid="{663A324E-0EA7-4C8A-B44D-A5E2C4E9F479}"/>
    <cellStyle name="Normal 3" xfId="5" xr:uid="{00000000-0005-0000-0000-0000BC050000}"/>
    <cellStyle name="Normal 3 2" xfId="54" xr:uid="{00000000-0005-0000-0000-0000BD050000}"/>
    <cellStyle name="Normal 3 2 2" xfId="1496" xr:uid="{00000000-0005-0000-0000-0000BE050000}"/>
    <cellStyle name="Normal 3 2 3" xfId="1650" xr:uid="{1038DE0D-409E-4C87-AADE-CF163BDA4BA7}"/>
    <cellStyle name="Normal 3 2 4" xfId="1710" xr:uid="{4961CE84-D311-43BC-9F39-5C6901F14EFC}"/>
    <cellStyle name="Normal 3 3" xfId="1497" xr:uid="{00000000-0005-0000-0000-0000BF050000}"/>
    <cellStyle name="Normal 3 4" xfId="1498" xr:uid="{00000000-0005-0000-0000-0000C0050000}"/>
    <cellStyle name="Normal 3 5" xfId="73" xr:uid="{00000000-0005-0000-0000-0000C1050000}"/>
    <cellStyle name="Normal 3 6" xfId="1499" xr:uid="{00000000-0005-0000-0000-0000C2050000}"/>
    <cellStyle name="Normal 3 6 2" xfId="1686" xr:uid="{20090641-1047-4F2F-ABD7-0313B00AF029}"/>
    <cellStyle name="Normal 3 7" xfId="1625" xr:uid="{289CE5D9-227C-481B-B482-805E352DD9B1}"/>
    <cellStyle name="Normal 3_120525 BQ ME BCA KK Seririt Kabupaten Buleleng-ASP" xfId="1500" xr:uid="{00000000-0005-0000-0000-0000C3050000}"/>
    <cellStyle name="Normal 4" xfId="3" xr:uid="{00000000-0005-0000-0000-0000C4050000}"/>
    <cellStyle name="Normal 4 2" xfId="32" xr:uid="{00000000-0005-0000-0000-0000C5050000}"/>
    <cellStyle name="Normal 4 2 2" xfId="62" xr:uid="{00000000-0005-0000-0000-0000C6050000}"/>
    <cellStyle name="Normal 4 2 2 2" xfId="1658" xr:uid="{2D3F6373-3868-4362-BDF6-B02992197FC9}"/>
    <cellStyle name="Normal 4 2 3" xfId="81" xr:uid="{00000000-0005-0000-0000-0000C7050000}"/>
    <cellStyle name="Normal 4 2 4" xfId="1633" xr:uid="{FFBAC9D0-4B42-4B8E-B43C-9C6F04D5EECC}"/>
    <cellStyle name="Normal 4 2_3.RAB ARC BLUE BIRD R0912.03" xfId="1501" xr:uid="{00000000-0005-0000-0000-0000C8050000}"/>
    <cellStyle name="Normal 4 3" xfId="33" xr:uid="{00000000-0005-0000-0000-0000C9050000}"/>
    <cellStyle name="Normal 4 3 2" xfId="63" xr:uid="{00000000-0005-0000-0000-0000CA050000}"/>
    <cellStyle name="Normal 4 3 2 2" xfId="1659" xr:uid="{263599AF-AC4B-403F-916C-E7C6E07F99B9}"/>
    <cellStyle name="Normal 4 3 3" xfId="1634" xr:uid="{CD1CDADF-EEE4-4FAB-9BB9-252A5AC351D0}"/>
    <cellStyle name="Normal 4 4" xfId="36" xr:uid="{00000000-0005-0000-0000-0000CB050000}"/>
    <cellStyle name="Normal 4 4 2" xfId="64" xr:uid="{00000000-0005-0000-0000-0000CC050000}"/>
    <cellStyle name="Normal 4 4 2 2" xfId="1660" xr:uid="{AE44E107-B72E-4BA6-B3F7-729724DF0859}"/>
    <cellStyle name="Normal 4 4 3" xfId="1635" xr:uid="{5A37E13C-AD07-4814-9116-98BC72CCFE70}"/>
    <cellStyle name="Normal 4 5" xfId="82" xr:uid="{00000000-0005-0000-0000-0000CD050000}"/>
    <cellStyle name="Normal 4 6" xfId="1724" xr:uid="{FC152F5C-D3DA-4B00-8C2A-B05116E6245E}"/>
    <cellStyle name="Normal 4_3.RAB ARC BLUE BIRD R0912.03" xfId="1502" xr:uid="{00000000-0005-0000-0000-0000CE050000}"/>
    <cellStyle name="Normal 5" xfId="30" xr:uid="{00000000-0005-0000-0000-0000CF050000}"/>
    <cellStyle name="Normal 5 2" xfId="34" xr:uid="{00000000-0005-0000-0000-0000D0050000}"/>
    <cellStyle name="Normal 5 2 3" xfId="29" xr:uid="{00000000-0005-0000-0000-0000D1050000}"/>
    <cellStyle name="Normal 5 3" xfId="1503" xr:uid="{00000000-0005-0000-0000-0000D2050000}"/>
    <cellStyle name="Normal 5 4" xfId="1504" xr:uid="{00000000-0005-0000-0000-0000D3050000}"/>
    <cellStyle name="Normal 5_3.RAB ARC BLUE BIRD R0912.03" xfId="1505" xr:uid="{00000000-0005-0000-0000-0000D4050000}"/>
    <cellStyle name="Normal 6" xfId="43" xr:uid="{00000000-0005-0000-0000-0000D5050000}"/>
    <cellStyle name="Normal 6 2" xfId="1506" xr:uid="{00000000-0005-0000-0000-0000D6050000}"/>
    <cellStyle name="Normal 6 2 2" xfId="1507" xr:uid="{00000000-0005-0000-0000-0000D7050000}"/>
    <cellStyle name="Normal 6 2_RAB ARSITEKTUR BCA 12-4-2013" xfId="1508" xr:uid="{00000000-0005-0000-0000-0000D8050000}"/>
    <cellStyle name="Normal 6 3" xfId="1509" xr:uid="{00000000-0005-0000-0000-0000D9050000}"/>
    <cellStyle name="Normal 6 4" xfId="1639" xr:uid="{3CA6494A-1BA5-4C23-BF73-0831450958A6}"/>
    <cellStyle name="Normal 6 4 2" xfId="1718" xr:uid="{437262D7-6F03-4591-A46E-39E4BF820A44}"/>
    <cellStyle name="Normal 6_3.RAB ARC BLUE BIRD R0912.03" xfId="1510" xr:uid="{00000000-0005-0000-0000-0000DA050000}"/>
    <cellStyle name="Normal 7" xfId="17" xr:uid="{00000000-0005-0000-0000-0000DB050000}"/>
    <cellStyle name="Normal 7 2" xfId="57" xr:uid="{00000000-0005-0000-0000-0000DC050000}"/>
    <cellStyle name="Normal 7 2 2" xfId="1511" xr:uid="{00000000-0005-0000-0000-0000DD050000}"/>
    <cellStyle name="Normal 7 2 2 2" xfId="1687" xr:uid="{78410071-C52B-4F02-B253-DD342DFD3296}"/>
    <cellStyle name="Normal 7 2 3" xfId="1653" xr:uid="{101A956C-1F87-4B75-82D0-12AFC1E1BEA1}"/>
    <cellStyle name="Normal 7 3" xfId="68" xr:uid="{00000000-0005-0000-0000-0000DE050000}"/>
    <cellStyle name="Normal 7 3 2" xfId="1512" xr:uid="{00000000-0005-0000-0000-0000DF050000}"/>
    <cellStyle name="Normal 7 3 3" xfId="1664" xr:uid="{14CA38DB-2E32-41D7-94BB-3196D5CFA05A}"/>
    <cellStyle name="Normal 7 4" xfId="1513" xr:uid="{00000000-0005-0000-0000-0000E0050000}"/>
    <cellStyle name="Normal 7 5" xfId="1628" xr:uid="{09128BFF-C31E-48AD-89E2-C974611CD146}"/>
    <cellStyle name="Normal 7_3.RAB ARC BLUE BIRD R0912.03" xfId="1514" xr:uid="{00000000-0005-0000-0000-0000E1050000}"/>
    <cellStyle name="Normal 73" xfId="1719" xr:uid="{E9D7CC68-C241-4A4D-904C-2B3AE352CEDF}"/>
    <cellStyle name="Normal 8" xfId="1515" xr:uid="{00000000-0005-0000-0000-0000E2050000}"/>
    <cellStyle name="Normal 8 2" xfId="1516" xr:uid="{00000000-0005-0000-0000-0000E3050000}"/>
    <cellStyle name="Normal 8 3" xfId="1517" xr:uid="{00000000-0005-0000-0000-0000E4050000}"/>
    <cellStyle name="Normal 8 4" xfId="1720" xr:uid="{91CDF634-AE67-4A53-900F-4DF9441FC816}"/>
    <cellStyle name="Normal 8_3.RAB ARSITEK IRNA 1 R 1213.09" xfId="1518" xr:uid="{00000000-0005-0000-0000-0000E5050000}"/>
    <cellStyle name="Normal 9" xfId="1519" xr:uid="{00000000-0005-0000-0000-0000E6050000}"/>
    <cellStyle name="Normal 9 2" xfId="1520" xr:uid="{00000000-0005-0000-0000-0000E7050000}"/>
    <cellStyle name="Normal 9_3.RAB ARSITEK IRNA 1 R 1213.09" xfId="1521" xr:uid="{00000000-0005-0000-0000-0000E8050000}"/>
    <cellStyle name="Normal1" xfId="1522" xr:uid="{00000000-0005-0000-0000-0000EA050000}"/>
    <cellStyle name="Normal2" xfId="1523" xr:uid="{00000000-0005-0000-0000-0000EB050000}"/>
    <cellStyle name="Normal3" xfId="1524" xr:uid="{00000000-0005-0000-0000-0000EC050000}"/>
    <cellStyle name="Note 2" xfId="1525" xr:uid="{00000000-0005-0000-0000-0000ED050000}"/>
    <cellStyle name="Note 2 2" xfId="1688" xr:uid="{6DE8F732-977B-42C4-B690-E6FCE7D4F628}"/>
    <cellStyle name="Note 3" xfId="1526" xr:uid="{00000000-0005-0000-0000-0000EE050000}"/>
    <cellStyle name="Note 3 2" xfId="1689" xr:uid="{2676BFC3-0CC4-4D4C-AD3B-3DD135CF8132}"/>
    <cellStyle name="Nr" xfId="1527" xr:uid="{00000000-0005-0000-0000-0000EF050000}"/>
    <cellStyle name="Œ…‹æØ‚è [0.00]_App-orig" xfId="1528" xr:uid="{00000000-0005-0000-0000-0000F0050000}"/>
    <cellStyle name="Œ…‹æØ‚è_App-orig" xfId="1529" xr:uid="{00000000-0005-0000-0000-0000F1050000}"/>
    <cellStyle name="Output 2" xfId="1530" xr:uid="{00000000-0005-0000-0000-0000F2050000}"/>
    <cellStyle name="Output 2 2" xfId="1690" xr:uid="{EDC9CA65-315C-458D-8A12-3F98B11CC5D2}"/>
    <cellStyle name="Output 3" xfId="1531" xr:uid="{00000000-0005-0000-0000-0000F3050000}"/>
    <cellStyle name="Output 3 2" xfId="1691" xr:uid="{2D174CB8-66F2-4865-B91E-0562B9391514}"/>
    <cellStyle name="per.style" xfId="1532" xr:uid="{00000000-0005-0000-0000-0000F4050000}"/>
    <cellStyle name="Percent" xfId="7" builtinId="5"/>
    <cellStyle name="Percent [2]" xfId="1533" xr:uid="{00000000-0005-0000-0000-0000F6050000}"/>
    <cellStyle name="Percent 10" xfId="1534" xr:uid="{00000000-0005-0000-0000-0000F7050000}"/>
    <cellStyle name="Percent 2" xfId="28" xr:uid="{00000000-0005-0000-0000-0000F8050000}"/>
    <cellStyle name="Percent 2 2" xfId="10" xr:uid="{00000000-0005-0000-0000-0000F9050000}"/>
    <cellStyle name="Percent 2 2 2" xfId="40" xr:uid="{00000000-0005-0000-0000-0000FA050000}"/>
    <cellStyle name="Percent 2 2 2 2" xfId="65" xr:uid="{00000000-0005-0000-0000-0000FB050000}"/>
    <cellStyle name="Percent 2 2 2 2 2" xfId="1661" xr:uid="{DFFD1D33-B3AD-471D-8291-4DAF1AE528C6}"/>
    <cellStyle name="Percent 2 2 2 3" xfId="1636" xr:uid="{4CFBCFC1-C5F0-46B7-A915-32E0B4F5096E}"/>
    <cellStyle name="Percent 2 3" xfId="61" xr:uid="{00000000-0005-0000-0000-0000FC050000}"/>
    <cellStyle name="Percent 2 3 2" xfId="1657" xr:uid="{7C12BE2F-B57B-4617-AA17-FFCAD8354B2F}"/>
    <cellStyle name="Percent 2 4" xfId="1632" xr:uid="{1DA3E93D-8157-43E0-A897-23351F93E386}"/>
    <cellStyle name="Percent 3" xfId="53" xr:uid="{00000000-0005-0000-0000-0000FD050000}"/>
    <cellStyle name="Percent 3 2" xfId="1649" xr:uid="{44079B21-9E69-422C-80C8-C57C6CF1978D}"/>
    <cellStyle name="Percent 3 2 2" xfId="1717" xr:uid="{EE9B418C-1C2A-48F8-BDC8-F934C5C403EC}"/>
    <cellStyle name="Percent 3 2 3" xfId="1712" xr:uid="{CEB34663-D604-4419-9E52-85F67F2BF5B5}"/>
    <cellStyle name="Percent 4" xfId="76" xr:uid="{00000000-0005-0000-0000-0000FE050000}"/>
    <cellStyle name="Percent 5" xfId="1535" xr:uid="{00000000-0005-0000-0000-0000FF050000}"/>
    <cellStyle name="Percent 6" xfId="78" xr:uid="{00000000-0005-0000-0000-000000060000}"/>
    <cellStyle name="PERCENTAGE" xfId="1536" xr:uid="{00000000-0005-0000-0000-000001060000}"/>
    <cellStyle name="pound_mu" xfId="1537" xr:uid="{00000000-0005-0000-0000-000002060000}"/>
    <cellStyle name="Rate" xfId="1538" xr:uid="{00000000-0005-0000-0000-000003060000}"/>
    <cellStyle name="RateBold" xfId="1539" xr:uid="{00000000-0005-0000-0000-000004060000}"/>
    <cellStyle name="regstoresfromspecstores" xfId="1540" xr:uid="{00000000-0005-0000-0000-000005060000}"/>
    <cellStyle name="Reset  - Style7" xfId="1541" xr:uid="{00000000-0005-0000-0000-000006060000}"/>
    <cellStyle name="RevList" xfId="1542" xr:uid="{00000000-0005-0000-0000-000007060000}"/>
    <cellStyle name="Rp" xfId="1543" xr:uid="{00000000-0005-0000-0000-000008060000}"/>
    <cellStyle name="Section Title" xfId="1544" xr:uid="{00000000-0005-0000-0000-000009060000}"/>
    <cellStyle name="SHADEDSTORES" xfId="1545" xr:uid="{00000000-0005-0000-0000-00000A060000}"/>
    <cellStyle name="SHADEDSTORES 2" xfId="1546" xr:uid="{00000000-0005-0000-0000-00000B060000}"/>
    <cellStyle name="SHADEDSTORES 2 2" xfId="1693" xr:uid="{68DF1712-A4D8-4E15-89EF-5AFA92CA31D4}"/>
    <cellStyle name="SHADEDSTORES 3" xfId="1692" xr:uid="{E1DB9FCE-297D-4A77-BD25-DC568EB7DA9F}"/>
    <cellStyle name="slo" xfId="1547" xr:uid="{00000000-0005-0000-0000-00000C060000}"/>
    <cellStyle name="specstores" xfId="1548" xr:uid="{00000000-0005-0000-0000-00000D060000}"/>
    <cellStyle name="Standard_laroux" xfId="1549" xr:uid="{00000000-0005-0000-0000-00000E060000}"/>
    <cellStyle name="Style 1" xfId="1550" xr:uid="{00000000-0005-0000-0000-00000F060000}"/>
    <cellStyle name="Style 1 2" xfId="1551" xr:uid="{00000000-0005-0000-0000-000010060000}"/>
    <cellStyle name="Style 1 3" xfId="1552" xr:uid="{00000000-0005-0000-0000-000011060000}"/>
    <cellStyle name="Style 1_RAB ME 19 MARET 2010" xfId="1553" xr:uid="{00000000-0005-0000-0000-000012060000}"/>
    <cellStyle name="Subtitle" xfId="1554" xr:uid="{00000000-0005-0000-0000-000013060000}"/>
    <cellStyle name="Subtotal" xfId="1555" xr:uid="{00000000-0005-0000-0000-000014060000}"/>
    <cellStyle name="Subtotal 2" xfId="1556" xr:uid="{00000000-0005-0000-0000-000015060000}"/>
    <cellStyle name="sum" xfId="1557" xr:uid="{00000000-0005-0000-0000-000016060000}"/>
    <cellStyle name="sum8" xfId="1558" xr:uid="{00000000-0005-0000-0000-000017060000}"/>
    <cellStyle name="Summary_back" xfId="1559" xr:uid="{00000000-0005-0000-0000-000018060000}"/>
    <cellStyle name="T" xfId="1560" xr:uid="{00000000-0005-0000-0000-000019060000}"/>
    <cellStyle name="T 2" xfId="1694" xr:uid="{EC9C050B-B815-4E6E-BC54-5599B6BB9839}"/>
    <cellStyle name="T_Book1" xfId="1561" xr:uid="{00000000-0005-0000-0000-00001A060000}"/>
    <cellStyle name="T_Book1 2" xfId="1695" xr:uid="{0A53D80E-FFA3-4806-866C-FD66F9B6A714}"/>
    <cellStyle name="T_Book1_BQ &amp; An Pds Gdg - KIM I" xfId="1562" xr:uid="{00000000-0005-0000-0000-00001B060000}"/>
    <cellStyle name="T_Book1_BQ &amp; An Pds Gdg - KIM I 2" xfId="1696" xr:uid="{F447A1DC-C287-4DA4-B15C-3049A696293C}"/>
    <cellStyle name="T_Book1_BQ &amp; An Pds Gdg - KIM I_REKAP UTAMA" xfId="1563" xr:uid="{00000000-0005-0000-0000-00001C060000}"/>
    <cellStyle name="T_Book1_BQ &amp; An Pds Gdg - KIM I_REKAP UTAMA 2" xfId="1697" xr:uid="{8D6B2553-C6FD-4D1C-A5FA-E118572A9068}"/>
    <cellStyle name="T_Book1_BQ &amp; An Pondasi SEP &amp; WAREHOUSE-KIM I (R-0)" xfId="1564" xr:uid="{00000000-0005-0000-0000-00001D060000}"/>
    <cellStyle name="T_Book1_BQ &amp; An Pondasi SEP &amp; WAREHOUSE-KIM I (R-0) 2" xfId="1698" xr:uid="{C35E2CAF-F496-48F1-BBAC-6CD20C28D4EC}"/>
    <cellStyle name="T_Book1_BQ &amp; An Pondasi SEP &amp; WAREHOUSE-KIM I (R-0)_REKAP UTAMA" xfId="1565" xr:uid="{00000000-0005-0000-0000-00001E060000}"/>
    <cellStyle name="T_Book1_BQ &amp; An Pondasi SEP &amp; WAREHOUSE-KIM I (R-0)_REKAP UTAMA 2" xfId="1699" xr:uid="{01A2BA87-6984-4BCF-9926-D125FF80A5F3}"/>
    <cellStyle name="T_Book1_REKAP UTAMA" xfId="1566" xr:uid="{00000000-0005-0000-0000-00001F060000}"/>
    <cellStyle name="T_Book1_REKAP UTAMA 2" xfId="1700" xr:uid="{70430F5A-F7C2-4578-9D59-AB6B6573FC60}"/>
    <cellStyle name="TABEL HEADER" xfId="1567" xr:uid="{00000000-0005-0000-0000-000020060000}"/>
    <cellStyle name="Table  - Style6" xfId="1568" xr:uid="{00000000-0005-0000-0000-000021060000}"/>
    <cellStyle name="Table  - Style6 2" xfId="1701" xr:uid="{D47CB9B8-D3A0-4B40-B61B-528EF15C0740}"/>
    <cellStyle name="Teks Peringatan" xfId="1569" xr:uid="{00000000-0005-0000-0000-000022060000}"/>
    <cellStyle name="th" xfId="1570" xr:uid="{00000000-0005-0000-0000-000023060000}"/>
    <cellStyle name="th 2" xfId="1702" xr:uid="{95318996-035A-4B4E-AA85-49298EAC9CAF}"/>
    <cellStyle name="þ_x001d_ð+&amp;„ý›&amp;}ý_x000b__x0008__x0011__x000b_å_x000b__x0007__x0001__x0001_" xfId="1571" xr:uid="{00000000-0005-0000-0000-000024060000}"/>
    <cellStyle name="Title  - Style1" xfId="1572" xr:uid="{00000000-0005-0000-0000-000025060000}"/>
    <cellStyle name="Title 2" xfId="1573" xr:uid="{00000000-0005-0000-0000-000026060000}"/>
    <cellStyle name="Title 3" xfId="1574" xr:uid="{00000000-0005-0000-0000-000027060000}"/>
    <cellStyle name="Title 4" xfId="1575" xr:uid="{00000000-0005-0000-0000-000028060000}"/>
    <cellStyle name="Title 5" xfId="1576" xr:uid="{00000000-0005-0000-0000-000029060000}"/>
    <cellStyle name="Title Row" xfId="1577" xr:uid="{00000000-0005-0000-0000-00002A060000}"/>
    <cellStyle name="Title Row 2" xfId="1703" xr:uid="{76B2BCB8-4D9B-4DEE-BE38-662D373D1746}"/>
    <cellStyle name="Total 2" xfId="1578" xr:uid="{00000000-0005-0000-0000-00002B060000}"/>
    <cellStyle name="Total 2 2" xfId="1704" xr:uid="{9DC0D282-525C-41FD-A382-FBBF8BEAAC48}"/>
    <cellStyle name="Total 3" xfId="1579" xr:uid="{00000000-0005-0000-0000-00002C060000}"/>
    <cellStyle name="Total 3 2" xfId="1705" xr:uid="{3817D369-EE2A-48B8-ACC8-2AE00030A964}"/>
    <cellStyle name="totalbold" xfId="1580" xr:uid="{00000000-0005-0000-0000-00002D060000}"/>
    <cellStyle name="TotCol - Style5" xfId="1581" xr:uid="{00000000-0005-0000-0000-00002E060000}"/>
    <cellStyle name="TotRow - Style4" xfId="1582" xr:uid="{00000000-0005-0000-0000-00002F060000}"/>
    <cellStyle name="TotRow - Style4 2" xfId="1706" xr:uid="{3959F065-C522-4914-8BDA-B11016B82FFB}"/>
    <cellStyle name="ttt" xfId="1583" xr:uid="{00000000-0005-0000-0000-000030060000}"/>
    <cellStyle name="Tusental (0)_pldt" xfId="1584" xr:uid="{00000000-0005-0000-0000-000031060000}"/>
    <cellStyle name="Tusental_pldt" xfId="1585" xr:uid="{00000000-0005-0000-0000-000032060000}"/>
    <cellStyle name="Uang Muka" xfId="1586" xr:uid="{00000000-0005-0000-0000-000033060000}"/>
    <cellStyle name="Undefined" xfId="1587" xr:uid="{00000000-0005-0000-0000-000034060000}"/>
    <cellStyle name="uni" xfId="1588" xr:uid="{00000000-0005-0000-0000-000035060000}"/>
    <cellStyle name="Unit" xfId="1589" xr:uid="{00000000-0005-0000-0000-000036060000}"/>
    <cellStyle name="User_Defined_A" xfId="1590" xr:uid="{00000000-0005-0000-0000-000037060000}"/>
    <cellStyle name="Valuta (0)_pldt" xfId="1591" xr:uid="{00000000-0005-0000-0000-000038060000}"/>
    <cellStyle name="Valuta_pldt" xfId="1592" xr:uid="{00000000-0005-0000-0000-000039060000}"/>
    <cellStyle name="viet" xfId="1593" xr:uid="{00000000-0005-0000-0000-00003A060000}"/>
    <cellStyle name="viet2" xfId="1594" xr:uid="{00000000-0005-0000-0000-00003B060000}"/>
    <cellStyle name="viet2 2" xfId="1707" xr:uid="{4483404F-2C76-4D85-B9B9-566676BDA973}"/>
    <cellStyle name="Währung [0]_Central Install 6-up" xfId="1595" xr:uid="{00000000-0005-0000-0000-00003C060000}"/>
    <cellStyle name="Währung_Central Install 6-up" xfId="1596" xr:uid="{00000000-0005-0000-0000-00003D060000}"/>
    <cellStyle name="Warning Text 2" xfId="1597" xr:uid="{00000000-0005-0000-0000-00003E060000}"/>
    <cellStyle name="Warning Text 3" xfId="1598" xr:uid="{00000000-0005-0000-0000-00003F060000}"/>
    <cellStyle name="wrap" xfId="1599" xr:uid="{00000000-0005-0000-0000-000040060000}"/>
    <cellStyle name="ハイパーリンク_Field Expenses SKP" xfId="1600" xr:uid="{00000000-0005-0000-0000-000041060000}"/>
    <cellStyle name="똿뗦먛귟 [0.00]_PRODUCT DETAIL Q1" xfId="1601" xr:uid="{00000000-0005-0000-0000-000042060000}"/>
    <cellStyle name="똿뗦먛귟_PRODUCT DETAIL Q1" xfId="1602" xr:uid="{00000000-0005-0000-0000-000043060000}"/>
    <cellStyle name="믅됞 [0.00]_PRODUCT DETAIL Q1" xfId="1603" xr:uid="{00000000-0005-0000-0000-000044060000}"/>
    <cellStyle name="믅됞_PRODUCT DETAIL Q1" xfId="1604" xr:uid="{00000000-0005-0000-0000-000045060000}"/>
    <cellStyle name="백분율_95" xfId="1605" xr:uid="{00000000-0005-0000-0000-000046060000}"/>
    <cellStyle name="뷭?_BOOKSHIP" xfId="1606" xr:uid="{00000000-0005-0000-0000-000047060000}"/>
    <cellStyle name="쉼표 [0]_Invoice Form" xfId="1607" xr:uid="{00000000-0005-0000-0000-000048060000}"/>
    <cellStyle name="콤마 [0]_1202" xfId="1608" xr:uid="{00000000-0005-0000-0000-000049060000}"/>
    <cellStyle name="콤마_1202" xfId="1609" xr:uid="{00000000-0005-0000-0000-00004A060000}"/>
    <cellStyle name="통화 [0]_1202" xfId="1610" xr:uid="{00000000-0005-0000-0000-00004B060000}"/>
    <cellStyle name="통화_1202" xfId="1611" xr:uid="{00000000-0005-0000-0000-00004C060000}"/>
    <cellStyle name="표준_(정보부문)월별인원계획" xfId="1612" xr:uid="{00000000-0005-0000-0000-00004D060000}"/>
    <cellStyle name="一般_Book1" xfId="1613" xr:uid="{00000000-0005-0000-0000-00004E060000}"/>
    <cellStyle name="千分位[0]_Book1" xfId="1614" xr:uid="{00000000-0005-0000-0000-00004F060000}"/>
    <cellStyle name="千分位_Book1" xfId="1615" xr:uid="{00000000-0005-0000-0000-000050060000}"/>
    <cellStyle name="未定義" xfId="1616" xr:uid="{00000000-0005-0000-0000-000051060000}"/>
    <cellStyle name="桁区切り [0.00]_BCD Electrical Subcon Eva_011212" xfId="1617" xr:uid="{00000000-0005-0000-0000-000052060000}"/>
    <cellStyle name="桁区切り_ARU_CPP" xfId="1618" xr:uid="{00000000-0005-0000-0000-000053060000}"/>
    <cellStyle name="標準_30C001" xfId="1619" xr:uid="{00000000-0005-0000-0000-000054060000}"/>
    <cellStyle name="行レベル_1_Instr Train I BTG Schedule" xfId="1620" xr:uid="{00000000-0005-0000-0000-000055060000}"/>
    <cellStyle name="貨幣 [0]_Book1" xfId="1621" xr:uid="{00000000-0005-0000-0000-000056060000}"/>
    <cellStyle name="貨幣_Book1" xfId="1622" xr:uid="{00000000-0005-0000-0000-000057060000}"/>
    <cellStyle name="通貨 [0.00]_AECI 見積もり概要" xfId="1623" xr:uid="{00000000-0005-0000-0000-000058060000}"/>
    <cellStyle name="通貨_AECI 見積もり概要" xfId="1624" xr:uid="{00000000-0005-0000-0000-000059060000}"/>
  </cellStyles>
  <dxfs count="36"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numFmt numFmtId="4" formatCode="#,##0.00"/>
    </dxf>
    <dxf>
      <numFmt numFmtId="176" formatCode="0.000%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worksheet" Target="worksheets/sheet21.xml"/><Relationship Id="rId12" Type="http://schemas.openxmlformats.org/officeDocument/2006/relationships/worksheet" Target="worksheets/sheet12.xml"/><Relationship Id="rId23" Type="http://schemas.openxmlformats.org/officeDocument/2006/relationships/worksheet" Target="worksheets/sheet23.xml"/><Relationship Id="rId7" Type="http://schemas.openxmlformats.org/officeDocument/2006/relationships/worksheet" Target="worksheets/sheet7.xml"/><Relationship Id="rId14" Type="http://schemas.openxmlformats.org/officeDocument/2006/relationships/worksheet" Target="worksheets/sheet14.xml"/><Relationship Id="rId25" Type="http://schemas.openxmlformats.org/officeDocument/2006/relationships/worksheet" Target="worksheets/sheet25.xml"/><Relationship Id="rId9" Type="http://schemas.openxmlformats.org/officeDocument/2006/relationships/worksheet" Target="worksheets/sheet9.xml"/><Relationship Id="rId16" Type="http://schemas.openxmlformats.org/officeDocument/2006/relationships/worksheet" Target="worksheets/sheet16.xml"/><Relationship Id="rId548" Type="http://schemas.openxmlformats.org/officeDocument/2006/relationships/theme" Target="theme/theme1.xml"/><Relationship Id="rId18" Type="http://schemas.openxmlformats.org/officeDocument/2006/relationships/worksheet" Target="worksheets/sheet18.xml"/><Relationship Id="rId2" Type="http://schemas.openxmlformats.org/officeDocument/2006/relationships/worksheet" Target="worksheets/sheet2.xml"/><Relationship Id="rId550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" Type="http://schemas.openxmlformats.org/officeDocument/2006/relationships/worksheet" Target="worksheets/sheet4.xml"/><Relationship Id="rId11" Type="http://schemas.openxmlformats.org/officeDocument/2006/relationships/worksheet" Target="worksheets/sheet11.xml"/><Relationship Id="rId22" Type="http://schemas.openxmlformats.org/officeDocument/2006/relationships/worksheet" Target="worksheets/sheet22.xml"/><Relationship Id="rId6" Type="http://schemas.openxmlformats.org/officeDocument/2006/relationships/worksheet" Target="worksheets/sheet6.xml"/><Relationship Id="rId13" Type="http://schemas.openxmlformats.org/officeDocument/2006/relationships/worksheet" Target="worksheets/sheet13.xml"/><Relationship Id="rId24" Type="http://schemas.openxmlformats.org/officeDocument/2006/relationships/worksheet" Target="worksheets/sheet24.xml"/><Relationship Id="rId8" Type="http://schemas.openxmlformats.org/officeDocument/2006/relationships/worksheet" Target="worksheets/sheet8.xml"/><Relationship Id="rId15" Type="http://schemas.openxmlformats.org/officeDocument/2006/relationships/worksheet" Target="worksheets/sheet15.xml"/><Relationship Id="rId547" Type="http://schemas.openxmlformats.org/officeDocument/2006/relationships/pivotCacheDefinition" Target="pivotCache/pivotCacheDefinition1.xml"/><Relationship Id="rId17" Type="http://schemas.openxmlformats.org/officeDocument/2006/relationships/worksheet" Target="worksheets/sheet17.xml"/><Relationship Id="rId549" Type="http://schemas.openxmlformats.org/officeDocument/2006/relationships/styles" Target="styles.xml"/><Relationship Id="rId19" Type="http://schemas.openxmlformats.org/officeDocument/2006/relationships/worksheet" Target="worksheets/sheet19.xml"/><Relationship Id="rId3" Type="http://schemas.openxmlformats.org/officeDocument/2006/relationships/worksheet" Target="worksheets/sheet3.xml"/><Relationship Id="rId551" Type="http://schemas.openxmlformats.org/officeDocument/2006/relationships/sheetMetadata" Target="metadata.xml"/><Relationship Id="rId10" Type="http://schemas.openxmlformats.org/officeDocument/2006/relationships/worksheet" Target="worksheets/sheet10.xml"/><Relationship Id="rId5" Type="http://schemas.openxmlformats.org/officeDocument/2006/relationships/worksheet" Target="worksheets/sheet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674913</xdr:colOff>
      <xdr:row>5</xdr:row>
      <xdr:rowOff>63121</xdr:rowOff>
    </xdr:from>
    <xdr:to>
      <xdr:col>23</xdr:col>
      <xdr:colOff>609599</xdr:colOff>
      <xdr:row>11</xdr:row>
      <xdr:rowOff>43543</xdr:rowOff>
    </xdr:to>
    <xdr:pic>
      <xdr:nvPicPr>
        <xdr:cNvPr id="3" name="Gambar 5">
          <a:extLst>
            <a:ext uri="{FF2B5EF4-FFF2-40B4-BE49-F238E27FC236}">
              <a16:creationId xmlns:a16="http://schemas.microsoft.com/office/drawing/2014/main" id="{BEA2FF3F-478B-4496-85CD-8E5204EE0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18227" y="1304092"/>
          <a:ext cx="2035629" cy="93836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20</xdr:col>
      <xdr:colOff>703036</xdr:colOff>
      <xdr:row>6</xdr:row>
      <xdr:rowOff>0</xdr:rowOff>
    </xdr:to>
    <xdr:cxnSp macro="">
      <xdr:nvCxnSpPr>
        <xdr:cNvPr id="4" name="AutoShape 156">
          <a:extLst>
            <a:ext uri="{FF2B5EF4-FFF2-40B4-BE49-F238E27FC236}">
              <a16:creationId xmlns:a16="http://schemas.microsoft.com/office/drawing/2014/main" id="{88A7338E-B6BB-4134-BF42-7DDB24178ACA}"/>
            </a:ext>
          </a:extLst>
        </xdr:cNvPr>
        <xdr:cNvCxnSpPr>
          <a:cxnSpLocks noChangeShapeType="1"/>
        </xdr:cNvCxnSpPr>
      </xdr:nvCxnSpPr>
      <xdr:spPr bwMode="auto">
        <a:xfrm>
          <a:off x="3243943" y="1545771"/>
          <a:ext cx="10521950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217715</xdr:colOff>
      <xdr:row>5</xdr:row>
      <xdr:rowOff>76196</xdr:rowOff>
    </xdr:from>
    <xdr:to>
      <xdr:col>16</xdr:col>
      <xdr:colOff>1639208</xdr:colOff>
      <xdr:row>5</xdr:row>
      <xdr:rowOff>76196</xdr:rowOff>
    </xdr:to>
    <xdr:cxnSp macro="">
      <xdr:nvCxnSpPr>
        <xdr:cNvPr id="5" name="AutoShape 156">
          <a:extLst>
            <a:ext uri="{FF2B5EF4-FFF2-40B4-BE49-F238E27FC236}">
              <a16:creationId xmlns:a16="http://schemas.microsoft.com/office/drawing/2014/main" id="{9467A7BE-9386-48CB-95CE-F7D53E0734A1}"/>
            </a:ext>
          </a:extLst>
        </xdr:cNvPr>
        <xdr:cNvCxnSpPr>
          <a:cxnSpLocks noChangeShapeType="1"/>
        </xdr:cNvCxnSpPr>
      </xdr:nvCxnSpPr>
      <xdr:spPr bwMode="auto">
        <a:xfrm>
          <a:off x="1121229" y="1317167"/>
          <a:ext cx="10521950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130629</xdr:colOff>
      <xdr:row>2</xdr:row>
      <xdr:rowOff>54429</xdr:rowOff>
    </xdr:from>
    <xdr:to>
      <xdr:col>14</xdr:col>
      <xdr:colOff>130629</xdr:colOff>
      <xdr:row>4</xdr:row>
      <xdr:rowOff>1</xdr:rowOff>
    </xdr:to>
    <xdr:sp macro="" textlink="">
      <xdr:nvSpPr>
        <xdr:cNvPr id="6" name="Text Box 153">
          <a:extLst>
            <a:ext uri="{FF2B5EF4-FFF2-40B4-BE49-F238E27FC236}">
              <a16:creationId xmlns:a16="http://schemas.microsoft.com/office/drawing/2014/main" id="{CB4EEEEC-63B4-4457-9C15-787AE593F609}"/>
            </a:ext>
          </a:extLst>
        </xdr:cNvPr>
        <xdr:cNvSpPr txBox="1">
          <a:spLocks noChangeArrowheads="1"/>
        </xdr:cNvSpPr>
      </xdr:nvSpPr>
      <xdr:spPr bwMode="auto">
        <a:xfrm>
          <a:off x="3374572" y="381000"/>
          <a:ext cx="4746171" cy="555172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20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</a:t>
          </a:r>
          <a:r>
            <a:rPr lang="en-US" sz="24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WASKITA</a:t>
          </a:r>
          <a:r>
            <a:rPr lang="id-ID" sz="2400" baseline="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- </a:t>
          </a:r>
          <a:r>
            <a:rPr lang="id-ID" sz="24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NINDYA KSO</a:t>
          </a:r>
          <a:endParaRPr lang="id-ID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1</xdr:col>
      <xdr:colOff>119746</xdr:colOff>
      <xdr:row>5</xdr:row>
      <xdr:rowOff>87082</xdr:rowOff>
    </xdr:from>
    <xdr:to>
      <xdr:col>19</xdr:col>
      <xdr:colOff>544286</xdr:colOff>
      <xdr:row>8</xdr:row>
      <xdr:rowOff>130629</xdr:rowOff>
    </xdr:to>
    <xdr:sp macro="" textlink="">
      <xdr:nvSpPr>
        <xdr:cNvPr id="7" name="Text Box 151">
          <a:extLst>
            <a:ext uri="{FF2B5EF4-FFF2-40B4-BE49-F238E27FC236}">
              <a16:creationId xmlns:a16="http://schemas.microsoft.com/office/drawing/2014/main" id="{E8AEEF18-238A-4DBA-BE85-F5EB636A6FD1}"/>
            </a:ext>
          </a:extLst>
        </xdr:cNvPr>
        <xdr:cNvSpPr txBox="1">
          <a:spLocks noChangeArrowheads="1"/>
        </xdr:cNvSpPr>
      </xdr:nvSpPr>
      <xdr:spPr bwMode="auto">
        <a:xfrm>
          <a:off x="1023260" y="1328053"/>
          <a:ext cx="11843655" cy="348347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r>
            <a:rPr lang="en-US" sz="1300" b="1">
              <a:effectLst/>
              <a:latin typeface="+mn-lt"/>
              <a:ea typeface="+mn-ea"/>
              <a:cs typeface="+mn-cs"/>
            </a:rPr>
            <a:t>Kantor KSO : Gedung Waskita IDSurvey</a:t>
          </a:r>
          <a:r>
            <a:rPr lang="en-US" sz="1300" b="1" baseline="0">
              <a:effectLst/>
              <a:latin typeface="+mn-lt"/>
              <a:ea typeface="+mn-ea"/>
              <a:cs typeface="+mn-cs"/>
            </a:rPr>
            <a:t> Tower </a:t>
          </a:r>
          <a:r>
            <a:rPr lang="en-US" sz="1300" b="1">
              <a:effectLst/>
              <a:latin typeface="+mn-lt"/>
              <a:ea typeface="+mn-ea"/>
              <a:cs typeface="+mn-cs"/>
            </a:rPr>
            <a:t>Jl. M.T. Haryono Kavling No.10, Jatinegara, Jakarta Timur• Telp (</a:t>
          </a:r>
          <a:r>
            <a:rPr lang="en-US" sz="1300" b="1" baseline="0">
              <a:effectLst/>
              <a:latin typeface="+mn-lt"/>
              <a:ea typeface="+mn-ea"/>
              <a:cs typeface="+mn-cs"/>
            </a:rPr>
            <a:t>021) 8515521</a:t>
          </a:r>
          <a:r>
            <a:rPr lang="en-US" sz="1300" b="1">
              <a:effectLst/>
              <a:latin typeface="+mn-lt"/>
              <a:ea typeface="+mn-ea"/>
              <a:cs typeface="+mn-cs"/>
            </a:rPr>
            <a:t> • waskitanindya.jict@gmail.com</a:t>
          </a:r>
          <a:endParaRPr lang="en-ID" sz="1300">
            <a:effectLst/>
          </a:endParaRPr>
        </a:p>
      </xdr:txBody>
    </xdr:sp>
    <xdr:clientData/>
  </xdr:twoCellAnchor>
  <xdr:twoCellAnchor>
    <xdr:from>
      <xdr:col>22</xdr:col>
      <xdr:colOff>457201</xdr:colOff>
      <xdr:row>17</xdr:row>
      <xdr:rowOff>348343</xdr:rowOff>
    </xdr:from>
    <xdr:to>
      <xdr:col>22</xdr:col>
      <xdr:colOff>1491344</xdr:colOff>
      <xdr:row>23</xdr:row>
      <xdr:rowOff>160445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DD7597B8-E00D-411E-9783-5AA384FFC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52" t="4744" r="27708" b="27556"/>
        <a:stretch>
          <a:fillRect/>
        </a:stretch>
      </xdr:blipFill>
      <xdr:spPr bwMode="auto">
        <a:xfrm>
          <a:off x="15000515" y="4811486"/>
          <a:ext cx="1034143" cy="84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1545326</xdr:colOff>
      <xdr:row>15</xdr:row>
      <xdr:rowOff>543505</xdr:rowOff>
    </xdr:from>
    <xdr:to>
      <xdr:col>23</xdr:col>
      <xdr:colOff>566058</xdr:colOff>
      <xdr:row>17</xdr:row>
      <xdr:rowOff>428511</xdr:rowOff>
    </xdr:to>
    <xdr:pic>
      <xdr:nvPicPr>
        <xdr:cNvPr id="8" name="Gambar 65">
          <a:extLst>
            <a:ext uri="{FF2B5EF4-FFF2-40B4-BE49-F238E27FC236}">
              <a16:creationId xmlns:a16="http://schemas.microsoft.com/office/drawing/2014/main" id="{1948A1C3-E0AC-41E2-B10F-4D2862044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6088640" y="4168448"/>
          <a:ext cx="1121675" cy="723206"/>
        </a:xfrm>
        <a:prstGeom prst="rect">
          <a:avLst/>
        </a:prstGeom>
      </xdr:spPr>
    </xdr:pic>
    <xdr:clientData/>
  </xdr:twoCellAnchor>
  <xdr:twoCellAnchor>
    <xdr:from>
      <xdr:col>7</xdr:col>
      <xdr:colOff>152399</xdr:colOff>
      <xdr:row>3</xdr:row>
      <xdr:rowOff>261257</xdr:rowOff>
    </xdr:from>
    <xdr:to>
      <xdr:col>15</xdr:col>
      <xdr:colOff>1088571</xdr:colOff>
      <xdr:row>4</xdr:row>
      <xdr:rowOff>272143</xdr:rowOff>
    </xdr:to>
    <xdr:sp macro="" textlink="">
      <xdr:nvSpPr>
        <xdr:cNvPr id="9" name="Text Box 155">
          <a:extLst>
            <a:ext uri="{FF2B5EF4-FFF2-40B4-BE49-F238E27FC236}">
              <a16:creationId xmlns:a16="http://schemas.microsoft.com/office/drawing/2014/main" id="{C1FCF0F9-50DB-4FDE-BD07-91B044A3A79F}"/>
            </a:ext>
          </a:extLst>
        </xdr:cNvPr>
        <xdr:cNvSpPr txBox="1">
          <a:spLocks noChangeArrowheads="1"/>
        </xdr:cNvSpPr>
      </xdr:nvSpPr>
      <xdr:spPr bwMode="auto">
        <a:xfrm>
          <a:off x="3396342" y="892628"/>
          <a:ext cx="6106886" cy="315686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1400" b="1">
              <a:solidFill>
                <a:sysClr val="windowText" lastClr="000000"/>
              </a:solidFill>
              <a:effectLst/>
              <a:latin typeface="72 Condensed" panose="020B0506030000000003" pitchFamily="34" charset="0"/>
              <a:ea typeface="Tahoma" panose="020B0604030504040204" pitchFamily="34" charset="0"/>
              <a:cs typeface="72 Condensed" panose="020B0506030000000003" pitchFamily="34" charset="0"/>
            </a:rPr>
            <a:t>Pekerjaan Design</a:t>
          </a:r>
          <a:r>
            <a:rPr lang="en-US" sz="1400" b="1" baseline="0">
              <a:solidFill>
                <a:sysClr val="windowText" lastClr="000000"/>
              </a:solidFill>
              <a:effectLst/>
              <a:latin typeface="72 Condensed" panose="020B0506030000000003" pitchFamily="34" charset="0"/>
              <a:ea typeface="Tahoma" panose="020B0604030504040204" pitchFamily="34" charset="0"/>
              <a:cs typeface="72 Condensed" panose="020B0506030000000003" pitchFamily="34" charset="0"/>
            </a:rPr>
            <a:t> and Build Perkuatan Dermaga Barat JICT Pelabuhan Tanjung Priok</a:t>
          </a:r>
          <a:endParaRPr lang="id-ID" sz="1400">
            <a:solidFill>
              <a:sysClr val="windowText" lastClr="000000"/>
            </a:solidFill>
            <a:effectLst/>
            <a:latin typeface="72 Condensed" panose="020B0506030000000003" pitchFamily="34" charset="0"/>
            <a:ea typeface="Tahoma" panose="020B0604030504040204" pitchFamily="34" charset="0"/>
            <a:cs typeface="72 Condensed" panose="020B0506030000000003" pitchFamily="34" charset="0"/>
          </a:endParaRPr>
        </a:p>
      </xdr:txBody>
    </xdr:sp>
    <xdr:clientData/>
  </xdr:twoCellAnchor>
  <xdr:twoCellAnchor editAs="oneCell">
    <xdr:from>
      <xdr:col>1</xdr:col>
      <xdr:colOff>250371</xdr:colOff>
      <xdr:row>2</xdr:row>
      <xdr:rowOff>21772</xdr:rowOff>
    </xdr:from>
    <xdr:to>
      <xdr:col>6</xdr:col>
      <xdr:colOff>108857</xdr:colOff>
      <xdr:row>5</xdr:row>
      <xdr:rowOff>8511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28BB2CC-71DB-4599-9B0C-8BB5ADA81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3885" y="348343"/>
          <a:ext cx="1709058" cy="901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326572</xdr:colOff>
      <xdr:row>12</xdr:row>
      <xdr:rowOff>25856</xdr:rowOff>
    </xdr:from>
    <xdr:to>
      <xdr:col>34</xdr:col>
      <xdr:colOff>182336</xdr:colOff>
      <xdr:row>15</xdr:row>
      <xdr:rowOff>203018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4D21A0F9-6FD2-4EF9-BDD3-819DDE56A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6435" y="2397581"/>
          <a:ext cx="11095264" cy="141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185056</xdr:colOff>
      <xdr:row>1</xdr:row>
      <xdr:rowOff>95777</xdr:rowOff>
    </xdr:from>
    <xdr:to>
      <xdr:col>6</xdr:col>
      <xdr:colOff>370113</xdr:colOff>
      <xdr:row>5</xdr:row>
      <xdr:rowOff>0</xdr:rowOff>
    </xdr:to>
    <xdr:pic>
      <xdr:nvPicPr>
        <xdr:cNvPr id="3" name="Gambar 5">
          <a:extLst>
            <a:ext uri="{FF2B5EF4-FFF2-40B4-BE49-F238E27FC236}">
              <a16:creationId xmlns:a16="http://schemas.microsoft.com/office/drawing/2014/main" id="{169DE5F7-2F9A-4028-8737-F603E1553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3744" y="295802"/>
          <a:ext cx="2075769" cy="932923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20</xdr:col>
      <xdr:colOff>703036</xdr:colOff>
      <xdr:row>6</xdr:row>
      <xdr:rowOff>0</xdr:rowOff>
    </xdr:to>
    <xdr:cxnSp macro="">
      <xdr:nvCxnSpPr>
        <xdr:cNvPr id="4" name="AutoShape 156">
          <a:extLst>
            <a:ext uri="{FF2B5EF4-FFF2-40B4-BE49-F238E27FC236}">
              <a16:creationId xmlns:a16="http://schemas.microsoft.com/office/drawing/2014/main" id="{D56BFE91-9B87-4BE7-88AB-0FA392503CB2}"/>
            </a:ext>
          </a:extLst>
        </xdr:cNvPr>
        <xdr:cNvCxnSpPr>
          <a:cxnSpLocks noChangeShapeType="1"/>
        </xdr:cNvCxnSpPr>
      </xdr:nvCxnSpPr>
      <xdr:spPr bwMode="auto">
        <a:xfrm>
          <a:off x="3319463" y="1533525"/>
          <a:ext cx="10766198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217715</xdr:colOff>
      <xdr:row>5</xdr:row>
      <xdr:rowOff>76196</xdr:rowOff>
    </xdr:from>
    <xdr:to>
      <xdr:col>16</xdr:col>
      <xdr:colOff>1639208</xdr:colOff>
      <xdr:row>5</xdr:row>
      <xdr:rowOff>76196</xdr:rowOff>
    </xdr:to>
    <xdr:cxnSp macro="">
      <xdr:nvCxnSpPr>
        <xdr:cNvPr id="5" name="AutoShape 156">
          <a:extLst>
            <a:ext uri="{FF2B5EF4-FFF2-40B4-BE49-F238E27FC236}">
              <a16:creationId xmlns:a16="http://schemas.microsoft.com/office/drawing/2014/main" id="{1662A226-AB18-4E81-B46B-ACD856D5D784}"/>
            </a:ext>
          </a:extLst>
        </xdr:cNvPr>
        <xdr:cNvCxnSpPr>
          <a:cxnSpLocks noChangeShapeType="1"/>
        </xdr:cNvCxnSpPr>
      </xdr:nvCxnSpPr>
      <xdr:spPr bwMode="auto">
        <a:xfrm>
          <a:off x="1146403" y="1304921"/>
          <a:ext cx="10736943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130629</xdr:colOff>
      <xdr:row>2</xdr:row>
      <xdr:rowOff>54429</xdr:rowOff>
    </xdr:from>
    <xdr:to>
      <xdr:col>14</xdr:col>
      <xdr:colOff>130629</xdr:colOff>
      <xdr:row>4</xdr:row>
      <xdr:rowOff>1</xdr:rowOff>
    </xdr:to>
    <xdr:sp macro="" textlink="">
      <xdr:nvSpPr>
        <xdr:cNvPr id="6" name="Text Box 153">
          <a:extLst>
            <a:ext uri="{FF2B5EF4-FFF2-40B4-BE49-F238E27FC236}">
              <a16:creationId xmlns:a16="http://schemas.microsoft.com/office/drawing/2014/main" id="{FBEC7C94-2097-47CF-BDA5-C0E6D02A65AE}"/>
            </a:ext>
          </a:extLst>
        </xdr:cNvPr>
        <xdr:cNvSpPr txBox="1">
          <a:spLocks noChangeArrowheads="1"/>
        </xdr:cNvSpPr>
      </xdr:nvSpPr>
      <xdr:spPr bwMode="auto">
        <a:xfrm>
          <a:off x="3450092" y="368754"/>
          <a:ext cx="4867275" cy="555172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20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</a:t>
          </a:r>
          <a:r>
            <a:rPr lang="en-US" sz="24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WASKITA</a:t>
          </a:r>
          <a:r>
            <a:rPr lang="id-ID" sz="2400" baseline="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- </a:t>
          </a:r>
          <a:r>
            <a:rPr lang="id-ID" sz="24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NINDYA KSO</a:t>
          </a:r>
          <a:endParaRPr lang="id-ID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1</xdr:col>
      <xdr:colOff>119746</xdr:colOff>
      <xdr:row>5</xdr:row>
      <xdr:rowOff>87082</xdr:rowOff>
    </xdr:from>
    <xdr:to>
      <xdr:col>19</xdr:col>
      <xdr:colOff>544286</xdr:colOff>
      <xdr:row>8</xdr:row>
      <xdr:rowOff>130629</xdr:rowOff>
    </xdr:to>
    <xdr:sp macro="" textlink="">
      <xdr:nvSpPr>
        <xdr:cNvPr id="7" name="Text Box 151">
          <a:extLst>
            <a:ext uri="{FF2B5EF4-FFF2-40B4-BE49-F238E27FC236}">
              <a16:creationId xmlns:a16="http://schemas.microsoft.com/office/drawing/2014/main" id="{DDB9BC80-96C4-4865-9C14-F057F2E546F5}"/>
            </a:ext>
          </a:extLst>
        </xdr:cNvPr>
        <xdr:cNvSpPr txBox="1">
          <a:spLocks noChangeArrowheads="1"/>
        </xdr:cNvSpPr>
      </xdr:nvSpPr>
      <xdr:spPr bwMode="auto">
        <a:xfrm>
          <a:off x="1048434" y="1315807"/>
          <a:ext cx="12121240" cy="348347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r>
            <a:rPr lang="en-US" sz="1300" b="1">
              <a:effectLst/>
              <a:latin typeface="+mn-lt"/>
              <a:ea typeface="+mn-ea"/>
              <a:cs typeface="+mn-cs"/>
            </a:rPr>
            <a:t>Kantor KSO : Gedung Waskita IDSurvey</a:t>
          </a:r>
          <a:r>
            <a:rPr lang="en-US" sz="1300" b="1" baseline="0">
              <a:effectLst/>
              <a:latin typeface="+mn-lt"/>
              <a:ea typeface="+mn-ea"/>
              <a:cs typeface="+mn-cs"/>
            </a:rPr>
            <a:t> Tower </a:t>
          </a:r>
          <a:r>
            <a:rPr lang="en-US" sz="1300" b="1">
              <a:effectLst/>
              <a:latin typeface="+mn-lt"/>
              <a:ea typeface="+mn-ea"/>
              <a:cs typeface="+mn-cs"/>
            </a:rPr>
            <a:t>Jl. M.T. Haryono Kavling No.10, Jatinegara, Jakarta Timur• Telp (</a:t>
          </a:r>
          <a:r>
            <a:rPr lang="en-US" sz="1300" b="1" baseline="0">
              <a:effectLst/>
              <a:latin typeface="+mn-lt"/>
              <a:ea typeface="+mn-ea"/>
              <a:cs typeface="+mn-cs"/>
            </a:rPr>
            <a:t>021) 8515521</a:t>
          </a:r>
          <a:r>
            <a:rPr lang="en-US" sz="1300" b="1">
              <a:effectLst/>
              <a:latin typeface="+mn-lt"/>
              <a:ea typeface="+mn-ea"/>
              <a:cs typeface="+mn-cs"/>
            </a:rPr>
            <a:t> • waskitanindya.jict@gmail.com</a:t>
          </a:r>
          <a:endParaRPr lang="en-ID" sz="13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326572</xdr:colOff>
      <xdr:row>12</xdr:row>
      <xdr:rowOff>25856</xdr:rowOff>
    </xdr:from>
    <xdr:to>
      <xdr:col>34</xdr:col>
      <xdr:colOff>182336</xdr:colOff>
      <xdr:row>15</xdr:row>
      <xdr:rowOff>203018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CD88F33E-4491-4F6A-94D8-052104D30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6435" y="2397581"/>
          <a:ext cx="11095264" cy="141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185056</xdr:colOff>
      <xdr:row>1</xdr:row>
      <xdr:rowOff>95777</xdr:rowOff>
    </xdr:from>
    <xdr:to>
      <xdr:col>6</xdr:col>
      <xdr:colOff>370113</xdr:colOff>
      <xdr:row>5</xdr:row>
      <xdr:rowOff>0</xdr:rowOff>
    </xdr:to>
    <xdr:pic>
      <xdr:nvPicPr>
        <xdr:cNvPr id="3" name="Gambar 5">
          <a:extLst>
            <a:ext uri="{FF2B5EF4-FFF2-40B4-BE49-F238E27FC236}">
              <a16:creationId xmlns:a16="http://schemas.microsoft.com/office/drawing/2014/main" id="{67EA392C-74C2-4DC1-8896-3A776C0AF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3744" y="295802"/>
          <a:ext cx="2075769" cy="932923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20</xdr:col>
      <xdr:colOff>703036</xdr:colOff>
      <xdr:row>6</xdr:row>
      <xdr:rowOff>0</xdr:rowOff>
    </xdr:to>
    <xdr:cxnSp macro="">
      <xdr:nvCxnSpPr>
        <xdr:cNvPr id="4" name="AutoShape 156">
          <a:extLst>
            <a:ext uri="{FF2B5EF4-FFF2-40B4-BE49-F238E27FC236}">
              <a16:creationId xmlns:a16="http://schemas.microsoft.com/office/drawing/2014/main" id="{4EDA4467-C065-4916-B9FD-1E03D8BE9471}"/>
            </a:ext>
          </a:extLst>
        </xdr:cNvPr>
        <xdr:cNvCxnSpPr>
          <a:cxnSpLocks noChangeShapeType="1"/>
        </xdr:cNvCxnSpPr>
      </xdr:nvCxnSpPr>
      <xdr:spPr bwMode="auto">
        <a:xfrm>
          <a:off x="3319463" y="1533525"/>
          <a:ext cx="10766198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217715</xdr:colOff>
      <xdr:row>5</xdr:row>
      <xdr:rowOff>76196</xdr:rowOff>
    </xdr:from>
    <xdr:to>
      <xdr:col>16</xdr:col>
      <xdr:colOff>1639208</xdr:colOff>
      <xdr:row>5</xdr:row>
      <xdr:rowOff>76196</xdr:rowOff>
    </xdr:to>
    <xdr:cxnSp macro="">
      <xdr:nvCxnSpPr>
        <xdr:cNvPr id="5" name="AutoShape 156">
          <a:extLst>
            <a:ext uri="{FF2B5EF4-FFF2-40B4-BE49-F238E27FC236}">
              <a16:creationId xmlns:a16="http://schemas.microsoft.com/office/drawing/2014/main" id="{B6DD69CD-66AD-43C6-A984-07AE087B54CC}"/>
            </a:ext>
          </a:extLst>
        </xdr:cNvPr>
        <xdr:cNvCxnSpPr>
          <a:cxnSpLocks noChangeShapeType="1"/>
        </xdr:cNvCxnSpPr>
      </xdr:nvCxnSpPr>
      <xdr:spPr bwMode="auto">
        <a:xfrm>
          <a:off x="1146403" y="1304921"/>
          <a:ext cx="10736943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130629</xdr:colOff>
      <xdr:row>2</xdr:row>
      <xdr:rowOff>54429</xdr:rowOff>
    </xdr:from>
    <xdr:to>
      <xdr:col>14</xdr:col>
      <xdr:colOff>130629</xdr:colOff>
      <xdr:row>4</xdr:row>
      <xdr:rowOff>1</xdr:rowOff>
    </xdr:to>
    <xdr:sp macro="" textlink="">
      <xdr:nvSpPr>
        <xdr:cNvPr id="6" name="Text Box 153">
          <a:extLst>
            <a:ext uri="{FF2B5EF4-FFF2-40B4-BE49-F238E27FC236}">
              <a16:creationId xmlns:a16="http://schemas.microsoft.com/office/drawing/2014/main" id="{813260D8-061C-48F8-8901-048501AD3592}"/>
            </a:ext>
          </a:extLst>
        </xdr:cNvPr>
        <xdr:cNvSpPr txBox="1">
          <a:spLocks noChangeArrowheads="1"/>
        </xdr:cNvSpPr>
      </xdr:nvSpPr>
      <xdr:spPr bwMode="auto">
        <a:xfrm>
          <a:off x="3450092" y="368754"/>
          <a:ext cx="4867275" cy="555172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20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</a:t>
          </a:r>
          <a:r>
            <a:rPr lang="en-US" sz="24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WASKITA</a:t>
          </a:r>
          <a:r>
            <a:rPr lang="id-ID" sz="2400" baseline="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- </a:t>
          </a:r>
          <a:r>
            <a:rPr lang="id-ID" sz="24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NINDYA KSO</a:t>
          </a:r>
          <a:endParaRPr lang="id-ID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1</xdr:col>
      <xdr:colOff>119746</xdr:colOff>
      <xdr:row>5</xdr:row>
      <xdr:rowOff>87082</xdr:rowOff>
    </xdr:from>
    <xdr:to>
      <xdr:col>19</xdr:col>
      <xdr:colOff>544286</xdr:colOff>
      <xdr:row>8</xdr:row>
      <xdr:rowOff>130629</xdr:rowOff>
    </xdr:to>
    <xdr:sp macro="" textlink="">
      <xdr:nvSpPr>
        <xdr:cNvPr id="7" name="Text Box 151">
          <a:extLst>
            <a:ext uri="{FF2B5EF4-FFF2-40B4-BE49-F238E27FC236}">
              <a16:creationId xmlns:a16="http://schemas.microsoft.com/office/drawing/2014/main" id="{BD2A7E0A-BDAD-403D-9957-F4897A63E141}"/>
            </a:ext>
          </a:extLst>
        </xdr:cNvPr>
        <xdr:cNvSpPr txBox="1">
          <a:spLocks noChangeArrowheads="1"/>
        </xdr:cNvSpPr>
      </xdr:nvSpPr>
      <xdr:spPr bwMode="auto">
        <a:xfrm>
          <a:off x="1048434" y="1315807"/>
          <a:ext cx="12121240" cy="348347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r>
            <a:rPr lang="en-US" sz="1300" b="1">
              <a:effectLst/>
              <a:latin typeface="+mn-lt"/>
              <a:ea typeface="+mn-ea"/>
              <a:cs typeface="+mn-cs"/>
            </a:rPr>
            <a:t>Kantor KSO : Gedung Waskita IDSurvey</a:t>
          </a:r>
          <a:r>
            <a:rPr lang="en-US" sz="1300" b="1" baseline="0">
              <a:effectLst/>
              <a:latin typeface="+mn-lt"/>
              <a:ea typeface="+mn-ea"/>
              <a:cs typeface="+mn-cs"/>
            </a:rPr>
            <a:t> Tower </a:t>
          </a:r>
          <a:r>
            <a:rPr lang="en-US" sz="1300" b="1">
              <a:effectLst/>
              <a:latin typeface="+mn-lt"/>
              <a:ea typeface="+mn-ea"/>
              <a:cs typeface="+mn-cs"/>
            </a:rPr>
            <a:t>Jl. M.T. Haryono Kavling No.10, Jatinegara, Jakarta Timur• Telp (</a:t>
          </a:r>
          <a:r>
            <a:rPr lang="en-US" sz="1300" b="1" baseline="0">
              <a:effectLst/>
              <a:latin typeface="+mn-lt"/>
              <a:ea typeface="+mn-ea"/>
              <a:cs typeface="+mn-cs"/>
            </a:rPr>
            <a:t>021) 8515521</a:t>
          </a:r>
          <a:r>
            <a:rPr lang="en-US" sz="1300" b="1">
              <a:effectLst/>
              <a:latin typeface="+mn-lt"/>
              <a:ea typeface="+mn-ea"/>
              <a:cs typeface="+mn-cs"/>
            </a:rPr>
            <a:t> • waskitanindya.jict@gmail.com</a:t>
          </a:r>
          <a:endParaRPr lang="en-ID" sz="1300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326572</xdr:colOff>
      <xdr:row>12</xdr:row>
      <xdr:rowOff>25856</xdr:rowOff>
    </xdr:from>
    <xdr:to>
      <xdr:col>34</xdr:col>
      <xdr:colOff>182336</xdr:colOff>
      <xdr:row>15</xdr:row>
      <xdr:rowOff>203018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34FDFD83-626E-40DC-8556-92F49DCB4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6435" y="2397581"/>
          <a:ext cx="11095264" cy="141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185056</xdr:colOff>
      <xdr:row>1</xdr:row>
      <xdr:rowOff>95777</xdr:rowOff>
    </xdr:from>
    <xdr:to>
      <xdr:col>6</xdr:col>
      <xdr:colOff>370113</xdr:colOff>
      <xdr:row>5</xdr:row>
      <xdr:rowOff>0</xdr:rowOff>
    </xdr:to>
    <xdr:pic>
      <xdr:nvPicPr>
        <xdr:cNvPr id="3" name="Gambar 5">
          <a:extLst>
            <a:ext uri="{FF2B5EF4-FFF2-40B4-BE49-F238E27FC236}">
              <a16:creationId xmlns:a16="http://schemas.microsoft.com/office/drawing/2014/main" id="{C6A8F9DC-436D-498E-9634-5BBE9B4C9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3744" y="295802"/>
          <a:ext cx="2075769" cy="932923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20</xdr:col>
      <xdr:colOff>703036</xdr:colOff>
      <xdr:row>6</xdr:row>
      <xdr:rowOff>0</xdr:rowOff>
    </xdr:to>
    <xdr:cxnSp macro="">
      <xdr:nvCxnSpPr>
        <xdr:cNvPr id="4" name="AutoShape 156">
          <a:extLst>
            <a:ext uri="{FF2B5EF4-FFF2-40B4-BE49-F238E27FC236}">
              <a16:creationId xmlns:a16="http://schemas.microsoft.com/office/drawing/2014/main" id="{F9CE24E5-2F2E-4595-B171-E56DEE94BA64}"/>
            </a:ext>
          </a:extLst>
        </xdr:cNvPr>
        <xdr:cNvCxnSpPr>
          <a:cxnSpLocks noChangeShapeType="1"/>
        </xdr:cNvCxnSpPr>
      </xdr:nvCxnSpPr>
      <xdr:spPr bwMode="auto">
        <a:xfrm>
          <a:off x="3319463" y="1533525"/>
          <a:ext cx="10766198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217715</xdr:colOff>
      <xdr:row>5</xdr:row>
      <xdr:rowOff>76196</xdr:rowOff>
    </xdr:from>
    <xdr:to>
      <xdr:col>16</xdr:col>
      <xdr:colOff>1639208</xdr:colOff>
      <xdr:row>5</xdr:row>
      <xdr:rowOff>76196</xdr:rowOff>
    </xdr:to>
    <xdr:cxnSp macro="">
      <xdr:nvCxnSpPr>
        <xdr:cNvPr id="5" name="AutoShape 156">
          <a:extLst>
            <a:ext uri="{FF2B5EF4-FFF2-40B4-BE49-F238E27FC236}">
              <a16:creationId xmlns:a16="http://schemas.microsoft.com/office/drawing/2014/main" id="{C1DE376C-57B1-4FE8-923C-053889C7FA03}"/>
            </a:ext>
          </a:extLst>
        </xdr:cNvPr>
        <xdr:cNvCxnSpPr>
          <a:cxnSpLocks noChangeShapeType="1"/>
        </xdr:cNvCxnSpPr>
      </xdr:nvCxnSpPr>
      <xdr:spPr bwMode="auto">
        <a:xfrm>
          <a:off x="1146403" y="1304921"/>
          <a:ext cx="10736943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130629</xdr:colOff>
      <xdr:row>2</xdr:row>
      <xdr:rowOff>54429</xdr:rowOff>
    </xdr:from>
    <xdr:to>
      <xdr:col>14</xdr:col>
      <xdr:colOff>130629</xdr:colOff>
      <xdr:row>4</xdr:row>
      <xdr:rowOff>1</xdr:rowOff>
    </xdr:to>
    <xdr:sp macro="" textlink="">
      <xdr:nvSpPr>
        <xdr:cNvPr id="6" name="Text Box 153">
          <a:extLst>
            <a:ext uri="{FF2B5EF4-FFF2-40B4-BE49-F238E27FC236}">
              <a16:creationId xmlns:a16="http://schemas.microsoft.com/office/drawing/2014/main" id="{92195708-516A-415A-8CEC-6901B0D761CB}"/>
            </a:ext>
          </a:extLst>
        </xdr:cNvPr>
        <xdr:cNvSpPr txBox="1">
          <a:spLocks noChangeArrowheads="1"/>
        </xdr:cNvSpPr>
      </xdr:nvSpPr>
      <xdr:spPr bwMode="auto">
        <a:xfrm>
          <a:off x="3450092" y="368754"/>
          <a:ext cx="4867275" cy="555172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20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</a:t>
          </a:r>
          <a:r>
            <a:rPr lang="en-US" sz="24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WASKITA</a:t>
          </a:r>
          <a:r>
            <a:rPr lang="id-ID" sz="2400" baseline="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- </a:t>
          </a:r>
          <a:r>
            <a:rPr lang="id-ID" sz="24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NINDYA KSO</a:t>
          </a:r>
          <a:endParaRPr lang="id-ID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1</xdr:col>
      <xdr:colOff>119746</xdr:colOff>
      <xdr:row>5</xdr:row>
      <xdr:rowOff>87082</xdr:rowOff>
    </xdr:from>
    <xdr:to>
      <xdr:col>19</xdr:col>
      <xdr:colOff>544286</xdr:colOff>
      <xdr:row>8</xdr:row>
      <xdr:rowOff>130629</xdr:rowOff>
    </xdr:to>
    <xdr:sp macro="" textlink="">
      <xdr:nvSpPr>
        <xdr:cNvPr id="7" name="Text Box 151">
          <a:extLst>
            <a:ext uri="{FF2B5EF4-FFF2-40B4-BE49-F238E27FC236}">
              <a16:creationId xmlns:a16="http://schemas.microsoft.com/office/drawing/2014/main" id="{912346EB-E92C-4350-A7C0-7A57B0E7E38A}"/>
            </a:ext>
          </a:extLst>
        </xdr:cNvPr>
        <xdr:cNvSpPr txBox="1">
          <a:spLocks noChangeArrowheads="1"/>
        </xdr:cNvSpPr>
      </xdr:nvSpPr>
      <xdr:spPr bwMode="auto">
        <a:xfrm>
          <a:off x="1048434" y="1315807"/>
          <a:ext cx="12121240" cy="348347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r>
            <a:rPr lang="en-US" sz="1300" b="1">
              <a:effectLst/>
              <a:latin typeface="+mn-lt"/>
              <a:ea typeface="+mn-ea"/>
              <a:cs typeface="+mn-cs"/>
            </a:rPr>
            <a:t>Kantor KSO : Gedung Waskita IDSurvey</a:t>
          </a:r>
          <a:r>
            <a:rPr lang="en-US" sz="1300" b="1" baseline="0">
              <a:effectLst/>
              <a:latin typeface="+mn-lt"/>
              <a:ea typeface="+mn-ea"/>
              <a:cs typeface="+mn-cs"/>
            </a:rPr>
            <a:t> Tower </a:t>
          </a:r>
          <a:r>
            <a:rPr lang="en-US" sz="1300" b="1">
              <a:effectLst/>
              <a:latin typeface="+mn-lt"/>
              <a:ea typeface="+mn-ea"/>
              <a:cs typeface="+mn-cs"/>
            </a:rPr>
            <a:t>Jl. M.T. Haryono Kavling No.10, Jatinegara, Jakarta Timur• Telp (</a:t>
          </a:r>
          <a:r>
            <a:rPr lang="en-US" sz="1300" b="1" baseline="0">
              <a:effectLst/>
              <a:latin typeface="+mn-lt"/>
              <a:ea typeface="+mn-ea"/>
              <a:cs typeface="+mn-cs"/>
            </a:rPr>
            <a:t>021) 8515521</a:t>
          </a:r>
          <a:r>
            <a:rPr lang="en-US" sz="1300" b="1">
              <a:effectLst/>
              <a:latin typeface="+mn-lt"/>
              <a:ea typeface="+mn-ea"/>
              <a:cs typeface="+mn-cs"/>
            </a:rPr>
            <a:t> • waskitanindya.jict@gmail.com</a:t>
          </a:r>
          <a:endParaRPr lang="en-ID" sz="1300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326572</xdr:colOff>
      <xdr:row>12</xdr:row>
      <xdr:rowOff>25856</xdr:rowOff>
    </xdr:from>
    <xdr:to>
      <xdr:col>34</xdr:col>
      <xdr:colOff>182336</xdr:colOff>
      <xdr:row>15</xdr:row>
      <xdr:rowOff>203018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C0B91D4F-182A-45A7-B9E9-F731E5D3C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6435" y="2397581"/>
          <a:ext cx="11095264" cy="141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185056</xdr:colOff>
      <xdr:row>1</xdr:row>
      <xdr:rowOff>95777</xdr:rowOff>
    </xdr:from>
    <xdr:to>
      <xdr:col>6</xdr:col>
      <xdr:colOff>370113</xdr:colOff>
      <xdr:row>5</xdr:row>
      <xdr:rowOff>0</xdr:rowOff>
    </xdr:to>
    <xdr:pic>
      <xdr:nvPicPr>
        <xdr:cNvPr id="3" name="Gambar 5">
          <a:extLst>
            <a:ext uri="{FF2B5EF4-FFF2-40B4-BE49-F238E27FC236}">
              <a16:creationId xmlns:a16="http://schemas.microsoft.com/office/drawing/2014/main" id="{2A61E440-007D-4F66-9EA8-E78A992E0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3744" y="295802"/>
          <a:ext cx="2075769" cy="932923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20</xdr:col>
      <xdr:colOff>703036</xdr:colOff>
      <xdr:row>6</xdr:row>
      <xdr:rowOff>0</xdr:rowOff>
    </xdr:to>
    <xdr:cxnSp macro="">
      <xdr:nvCxnSpPr>
        <xdr:cNvPr id="4" name="AutoShape 156">
          <a:extLst>
            <a:ext uri="{FF2B5EF4-FFF2-40B4-BE49-F238E27FC236}">
              <a16:creationId xmlns:a16="http://schemas.microsoft.com/office/drawing/2014/main" id="{B888593C-7FEC-41F0-B73E-65166227CCFD}"/>
            </a:ext>
          </a:extLst>
        </xdr:cNvPr>
        <xdr:cNvCxnSpPr>
          <a:cxnSpLocks noChangeShapeType="1"/>
        </xdr:cNvCxnSpPr>
      </xdr:nvCxnSpPr>
      <xdr:spPr bwMode="auto">
        <a:xfrm>
          <a:off x="3319463" y="1533525"/>
          <a:ext cx="10766198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217715</xdr:colOff>
      <xdr:row>5</xdr:row>
      <xdr:rowOff>76196</xdr:rowOff>
    </xdr:from>
    <xdr:to>
      <xdr:col>16</xdr:col>
      <xdr:colOff>1639208</xdr:colOff>
      <xdr:row>5</xdr:row>
      <xdr:rowOff>76196</xdr:rowOff>
    </xdr:to>
    <xdr:cxnSp macro="">
      <xdr:nvCxnSpPr>
        <xdr:cNvPr id="5" name="AutoShape 156">
          <a:extLst>
            <a:ext uri="{FF2B5EF4-FFF2-40B4-BE49-F238E27FC236}">
              <a16:creationId xmlns:a16="http://schemas.microsoft.com/office/drawing/2014/main" id="{C634F489-D3AF-48F1-888A-9A8ED7DC64FD}"/>
            </a:ext>
          </a:extLst>
        </xdr:cNvPr>
        <xdr:cNvCxnSpPr>
          <a:cxnSpLocks noChangeShapeType="1"/>
        </xdr:cNvCxnSpPr>
      </xdr:nvCxnSpPr>
      <xdr:spPr bwMode="auto">
        <a:xfrm>
          <a:off x="1146403" y="1304921"/>
          <a:ext cx="10736943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130629</xdr:colOff>
      <xdr:row>2</xdr:row>
      <xdr:rowOff>54429</xdr:rowOff>
    </xdr:from>
    <xdr:to>
      <xdr:col>14</xdr:col>
      <xdr:colOff>130629</xdr:colOff>
      <xdr:row>4</xdr:row>
      <xdr:rowOff>1</xdr:rowOff>
    </xdr:to>
    <xdr:sp macro="" textlink="">
      <xdr:nvSpPr>
        <xdr:cNvPr id="6" name="Text Box 153">
          <a:extLst>
            <a:ext uri="{FF2B5EF4-FFF2-40B4-BE49-F238E27FC236}">
              <a16:creationId xmlns:a16="http://schemas.microsoft.com/office/drawing/2014/main" id="{A0877EC8-1119-4ADC-A31B-58EDCA83359F}"/>
            </a:ext>
          </a:extLst>
        </xdr:cNvPr>
        <xdr:cNvSpPr txBox="1">
          <a:spLocks noChangeArrowheads="1"/>
        </xdr:cNvSpPr>
      </xdr:nvSpPr>
      <xdr:spPr bwMode="auto">
        <a:xfrm>
          <a:off x="3450092" y="368754"/>
          <a:ext cx="4867275" cy="555172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20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</a:t>
          </a:r>
          <a:r>
            <a:rPr lang="en-US" sz="24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WASKITA</a:t>
          </a:r>
          <a:r>
            <a:rPr lang="id-ID" sz="2400" baseline="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- </a:t>
          </a:r>
          <a:r>
            <a:rPr lang="id-ID" sz="24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NINDYA KSO</a:t>
          </a:r>
          <a:endParaRPr lang="id-ID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1</xdr:col>
      <xdr:colOff>119746</xdr:colOff>
      <xdr:row>5</xdr:row>
      <xdr:rowOff>87082</xdr:rowOff>
    </xdr:from>
    <xdr:to>
      <xdr:col>19</xdr:col>
      <xdr:colOff>544286</xdr:colOff>
      <xdr:row>8</xdr:row>
      <xdr:rowOff>130629</xdr:rowOff>
    </xdr:to>
    <xdr:sp macro="" textlink="">
      <xdr:nvSpPr>
        <xdr:cNvPr id="7" name="Text Box 151">
          <a:extLst>
            <a:ext uri="{FF2B5EF4-FFF2-40B4-BE49-F238E27FC236}">
              <a16:creationId xmlns:a16="http://schemas.microsoft.com/office/drawing/2014/main" id="{2FDF2077-BEE1-400C-B85D-9FC545D74F32}"/>
            </a:ext>
          </a:extLst>
        </xdr:cNvPr>
        <xdr:cNvSpPr txBox="1">
          <a:spLocks noChangeArrowheads="1"/>
        </xdr:cNvSpPr>
      </xdr:nvSpPr>
      <xdr:spPr bwMode="auto">
        <a:xfrm>
          <a:off x="1048434" y="1315807"/>
          <a:ext cx="12121240" cy="348347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r>
            <a:rPr lang="en-US" sz="1300" b="1">
              <a:effectLst/>
              <a:latin typeface="+mn-lt"/>
              <a:ea typeface="+mn-ea"/>
              <a:cs typeface="+mn-cs"/>
            </a:rPr>
            <a:t>Kantor KSO : Gedung Waskita IDSurvey</a:t>
          </a:r>
          <a:r>
            <a:rPr lang="en-US" sz="1300" b="1" baseline="0">
              <a:effectLst/>
              <a:latin typeface="+mn-lt"/>
              <a:ea typeface="+mn-ea"/>
              <a:cs typeface="+mn-cs"/>
            </a:rPr>
            <a:t> Tower </a:t>
          </a:r>
          <a:r>
            <a:rPr lang="en-US" sz="1300" b="1">
              <a:effectLst/>
              <a:latin typeface="+mn-lt"/>
              <a:ea typeface="+mn-ea"/>
              <a:cs typeface="+mn-cs"/>
            </a:rPr>
            <a:t>Jl. M.T. Haryono Kavling No.10, Jatinegara, Jakarta Timur• Telp (</a:t>
          </a:r>
          <a:r>
            <a:rPr lang="en-US" sz="1300" b="1" baseline="0">
              <a:effectLst/>
              <a:latin typeface="+mn-lt"/>
              <a:ea typeface="+mn-ea"/>
              <a:cs typeface="+mn-cs"/>
            </a:rPr>
            <a:t>021) 8515521</a:t>
          </a:r>
          <a:r>
            <a:rPr lang="en-US" sz="1300" b="1">
              <a:effectLst/>
              <a:latin typeface="+mn-lt"/>
              <a:ea typeface="+mn-ea"/>
              <a:cs typeface="+mn-cs"/>
            </a:rPr>
            <a:t> • waskitanindya.jict@gmail.com</a:t>
          </a:r>
          <a:endParaRPr lang="en-ID" sz="1300">
            <a:effectLst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326572</xdr:colOff>
      <xdr:row>12</xdr:row>
      <xdr:rowOff>25856</xdr:rowOff>
    </xdr:from>
    <xdr:to>
      <xdr:col>34</xdr:col>
      <xdr:colOff>182336</xdr:colOff>
      <xdr:row>15</xdr:row>
      <xdr:rowOff>203018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7EA2D76B-CC12-4386-A61D-A06D5F20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6435" y="2397581"/>
          <a:ext cx="11095264" cy="141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185056</xdr:colOff>
      <xdr:row>1</xdr:row>
      <xdr:rowOff>95777</xdr:rowOff>
    </xdr:from>
    <xdr:to>
      <xdr:col>6</xdr:col>
      <xdr:colOff>370113</xdr:colOff>
      <xdr:row>5</xdr:row>
      <xdr:rowOff>0</xdr:rowOff>
    </xdr:to>
    <xdr:pic>
      <xdr:nvPicPr>
        <xdr:cNvPr id="3" name="Gambar 5">
          <a:extLst>
            <a:ext uri="{FF2B5EF4-FFF2-40B4-BE49-F238E27FC236}">
              <a16:creationId xmlns:a16="http://schemas.microsoft.com/office/drawing/2014/main" id="{76FC6D6A-6F66-4248-B0B2-310A9F1D1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3744" y="295802"/>
          <a:ext cx="2075769" cy="932923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20</xdr:col>
      <xdr:colOff>703036</xdr:colOff>
      <xdr:row>6</xdr:row>
      <xdr:rowOff>0</xdr:rowOff>
    </xdr:to>
    <xdr:cxnSp macro="">
      <xdr:nvCxnSpPr>
        <xdr:cNvPr id="4" name="AutoShape 156">
          <a:extLst>
            <a:ext uri="{FF2B5EF4-FFF2-40B4-BE49-F238E27FC236}">
              <a16:creationId xmlns:a16="http://schemas.microsoft.com/office/drawing/2014/main" id="{DA46F2C6-3E29-44F6-9B57-C11E3639F770}"/>
            </a:ext>
          </a:extLst>
        </xdr:cNvPr>
        <xdr:cNvCxnSpPr>
          <a:cxnSpLocks noChangeShapeType="1"/>
        </xdr:cNvCxnSpPr>
      </xdr:nvCxnSpPr>
      <xdr:spPr bwMode="auto">
        <a:xfrm>
          <a:off x="3319463" y="1533525"/>
          <a:ext cx="10766198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217715</xdr:colOff>
      <xdr:row>5</xdr:row>
      <xdr:rowOff>76196</xdr:rowOff>
    </xdr:from>
    <xdr:to>
      <xdr:col>16</xdr:col>
      <xdr:colOff>1639208</xdr:colOff>
      <xdr:row>5</xdr:row>
      <xdr:rowOff>76196</xdr:rowOff>
    </xdr:to>
    <xdr:cxnSp macro="">
      <xdr:nvCxnSpPr>
        <xdr:cNvPr id="5" name="AutoShape 156">
          <a:extLst>
            <a:ext uri="{FF2B5EF4-FFF2-40B4-BE49-F238E27FC236}">
              <a16:creationId xmlns:a16="http://schemas.microsoft.com/office/drawing/2014/main" id="{80FD8867-C455-4D7D-8B9D-1867B4B71F5A}"/>
            </a:ext>
          </a:extLst>
        </xdr:cNvPr>
        <xdr:cNvCxnSpPr>
          <a:cxnSpLocks noChangeShapeType="1"/>
        </xdr:cNvCxnSpPr>
      </xdr:nvCxnSpPr>
      <xdr:spPr bwMode="auto">
        <a:xfrm>
          <a:off x="1146403" y="1304921"/>
          <a:ext cx="10736943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130629</xdr:colOff>
      <xdr:row>2</xdr:row>
      <xdr:rowOff>54429</xdr:rowOff>
    </xdr:from>
    <xdr:to>
      <xdr:col>14</xdr:col>
      <xdr:colOff>130629</xdr:colOff>
      <xdr:row>4</xdr:row>
      <xdr:rowOff>1</xdr:rowOff>
    </xdr:to>
    <xdr:sp macro="" textlink="">
      <xdr:nvSpPr>
        <xdr:cNvPr id="6" name="Text Box 153">
          <a:extLst>
            <a:ext uri="{FF2B5EF4-FFF2-40B4-BE49-F238E27FC236}">
              <a16:creationId xmlns:a16="http://schemas.microsoft.com/office/drawing/2014/main" id="{0E733516-D83D-4341-ABCD-E09A7F21DA16}"/>
            </a:ext>
          </a:extLst>
        </xdr:cNvPr>
        <xdr:cNvSpPr txBox="1">
          <a:spLocks noChangeArrowheads="1"/>
        </xdr:cNvSpPr>
      </xdr:nvSpPr>
      <xdr:spPr bwMode="auto">
        <a:xfrm>
          <a:off x="3450092" y="368754"/>
          <a:ext cx="4867275" cy="555172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20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</a:t>
          </a:r>
          <a:r>
            <a:rPr lang="en-US" sz="24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WASKITA</a:t>
          </a:r>
          <a:r>
            <a:rPr lang="id-ID" sz="2400" baseline="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- </a:t>
          </a:r>
          <a:r>
            <a:rPr lang="id-ID" sz="24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NINDYA KSO</a:t>
          </a:r>
          <a:endParaRPr lang="id-ID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1</xdr:col>
      <xdr:colOff>119746</xdr:colOff>
      <xdr:row>5</xdr:row>
      <xdr:rowOff>87082</xdr:rowOff>
    </xdr:from>
    <xdr:to>
      <xdr:col>19</xdr:col>
      <xdr:colOff>544286</xdr:colOff>
      <xdr:row>8</xdr:row>
      <xdr:rowOff>130629</xdr:rowOff>
    </xdr:to>
    <xdr:sp macro="" textlink="">
      <xdr:nvSpPr>
        <xdr:cNvPr id="7" name="Text Box 151">
          <a:extLst>
            <a:ext uri="{FF2B5EF4-FFF2-40B4-BE49-F238E27FC236}">
              <a16:creationId xmlns:a16="http://schemas.microsoft.com/office/drawing/2014/main" id="{A348B2FC-2CB1-4CF5-9684-8679DCD8C7C3}"/>
            </a:ext>
          </a:extLst>
        </xdr:cNvPr>
        <xdr:cNvSpPr txBox="1">
          <a:spLocks noChangeArrowheads="1"/>
        </xdr:cNvSpPr>
      </xdr:nvSpPr>
      <xdr:spPr bwMode="auto">
        <a:xfrm>
          <a:off x="1048434" y="1315807"/>
          <a:ext cx="12121240" cy="348347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r>
            <a:rPr lang="en-US" sz="1300" b="1">
              <a:effectLst/>
              <a:latin typeface="+mn-lt"/>
              <a:ea typeface="+mn-ea"/>
              <a:cs typeface="+mn-cs"/>
            </a:rPr>
            <a:t>Kantor KSO : Gedung Waskita IDSurvey</a:t>
          </a:r>
          <a:r>
            <a:rPr lang="en-US" sz="1300" b="1" baseline="0">
              <a:effectLst/>
              <a:latin typeface="+mn-lt"/>
              <a:ea typeface="+mn-ea"/>
              <a:cs typeface="+mn-cs"/>
            </a:rPr>
            <a:t> Tower </a:t>
          </a:r>
          <a:r>
            <a:rPr lang="en-US" sz="1300" b="1">
              <a:effectLst/>
              <a:latin typeface="+mn-lt"/>
              <a:ea typeface="+mn-ea"/>
              <a:cs typeface="+mn-cs"/>
            </a:rPr>
            <a:t>Jl. M.T. Haryono Kavling No.10, Jatinegara, Jakarta Timur• Telp (</a:t>
          </a:r>
          <a:r>
            <a:rPr lang="en-US" sz="1300" b="1" baseline="0">
              <a:effectLst/>
              <a:latin typeface="+mn-lt"/>
              <a:ea typeface="+mn-ea"/>
              <a:cs typeface="+mn-cs"/>
            </a:rPr>
            <a:t>021) 8515521</a:t>
          </a:r>
          <a:r>
            <a:rPr lang="en-US" sz="1300" b="1">
              <a:effectLst/>
              <a:latin typeface="+mn-lt"/>
              <a:ea typeface="+mn-ea"/>
              <a:cs typeface="+mn-cs"/>
            </a:rPr>
            <a:t> • waskitanindya.jict@gmail.com</a:t>
          </a:r>
          <a:endParaRPr lang="en-ID" sz="1300"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400810</xdr:colOff>
      <xdr:row>72</xdr:row>
      <xdr:rowOff>184594</xdr:rowOff>
    </xdr:from>
    <xdr:to>
      <xdr:col>15</xdr:col>
      <xdr:colOff>936171</xdr:colOff>
      <xdr:row>75</xdr:row>
      <xdr:rowOff>23075</xdr:rowOff>
    </xdr:to>
    <xdr:sp macro="" textlink="">
      <xdr:nvSpPr>
        <xdr:cNvPr id="2" name="TextBox 11">
          <a:extLst>
            <a:ext uri="{FF2B5EF4-FFF2-40B4-BE49-F238E27FC236}">
              <a16:creationId xmlns:a16="http://schemas.microsoft.com/office/drawing/2014/main" id="{E7F1F565-09A0-47DD-94A5-AC46C5AAB11C}"/>
            </a:ext>
          </a:extLst>
        </xdr:cNvPr>
        <xdr:cNvSpPr txBox="1"/>
      </xdr:nvSpPr>
      <xdr:spPr>
        <a:xfrm>
          <a:off x="7378553" y="12213308"/>
          <a:ext cx="2984647" cy="426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en-GB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PIHAK PERTAMA</a:t>
          </a:r>
        </a:p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en-GB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W</a:t>
          </a:r>
          <a:r>
            <a:rPr lang="id-ID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ASKITA - NINDYA,</a:t>
          </a:r>
          <a:r>
            <a:rPr lang="id-ID" sz="1100" b="0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KS</a:t>
          </a:r>
          <a:r>
            <a:rPr lang="en-US" sz="1100" b="0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O </a:t>
          </a:r>
          <a:endParaRPr lang="en-US" sz="1100" b="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74839</xdr:colOff>
      <xdr:row>81</xdr:row>
      <xdr:rowOff>27214</xdr:rowOff>
    </xdr:from>
    <xdr:to>
      <xdr:col>15</xdr:col>
      <xdr:colOff>1177562</xdr:colOff>
      <xdr:row>83</xdr:row>
      <xdr:rowOff>163286</xdr:rowOff>
    </xdr:to>
    <xdr:sp macro="" textlink="">
      <xdr:nvSpPr>
        <xdr:cNvPr id="5" name="TextBox 9">
          <a:extLst>
            <a:ext uri="{FF2B5EF4-FFF2-40B4-BE49-F238E27FC236}">
              <a16:creationId xmlns:a16="http://schemas.microsoft.com/office/drawing/2014/main" id="{C917680F-9900-42AD-9AC7-BE4A235A30F4}"/>
            </a:ext>
          </a:extLst>
        </xdr:cNvPr>
        <xdr:cNvSpPr txBox="1"/>
      </xdr:nvSpPr>
      <xdr:spPr>
        <a:xfrm>
          <a:off x="7052582" y="48240043"/>
          <a:ext cx="3552009" cy="5279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 u="sng">
              <a:latin typeface="Arial" panose="020B0604020202020204" pitchFamily="34" charset="0"/>
              <a:cs typeface="Arial" panose="020B0604020202020204" pitchFamily="34" charset="0"/>
            </a:rPr>
            <a:t>Dedy Hariyanto</a:t>
          </a:r>
        </a:p>
        <a:p>
          <a:pPr algn="ctr"/>
          <a:r>
            <a:rPr lang="en-GB" sz="1100" b="0" u="none">
              <a:latin typeface="Arial" panose="020B0604020202020204" pitchFamily="34" charset="0"/>
              <a:cs typeface="Arial" panose="020B0604020202020204" pitchFamily="34" charset="0"/>
            </a:rPr>
            <a:t>Kepala Proyek</a:t>
          </a:r>
        </a:p>
      </xdr:txBody>
    </xdr:sp>
    <xdr:clientData/>
  </xdr:twoCellAnchor>
  <xdr:twoCellAnchor editAs="oneCell">
    <xdr:from>
      <xdr:col>21</xdr:col>
      <xdr:colOff>89805</xdr:colOff>
      <xdr:row>13</xdr:row>
      <xdr:rowOff>157842</xdr:rowOff>
    </xdr:from>
    <xdr:to>
      <xdr:col>22</xdr:col>
      <xdr:colOff>892627</xdr:colOff>
      <xdr:row>18</xdr:row>
      <xdr:rowOff>24834</xdr:rowOff>
    </xdr:to>
    <xdr:pic>
      <xdr:nvPicPr>
        <xdr:cNvPr id="6" name="Gambar 5">
          <a:extLst>
            <a:ext uri="{FF2B5EF4-FFF2-40B4-BE49-F238E27FC236}">
              <a16:creationId xmlns:a16="http://schemas.microsoft.com/office/drawing/2014/main" id="{990FAB92-D772-A51F-71B3-FC8C79E9C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73348" y="2748642"/>
          <a:ext cx="1978479" cy="912021"/>
        </a:xfrm>
        <a:prstGeom prst="rect">
          <a:avLst/>
        </a:prstGeom>
      </xdr:spPr>
    </xdr:pic>
    <xdr:clientData/>
  </xdr:twoCellAnchor>
  <xdr:twoCellAnchor>
    <xdr:from>
      <xdr:col>1</xdr:col>
      <xdr:colOff>141513</xdr:colOff>
      <xdr:row>5</xdr:row>
      <xdr:rowOff>111035</xdr:rowOff>
    </xdr:from>
    <xdr:to>
      <xdr:col>18</xdr:col>
      <xdr:colOff>43540</xdr:colOff>
      <xdr:row>7</xdr:row>
      <xdr:rowOff>130629</xdr:rowOff>
    </xdr:to>
    <xdr:sp macro="" textlink="">
      <xdr:nvSpPr>
        <xdr:cNvPr id="3" name="Text Box 151">
          <a:extLst>
            <a:ext uri="{FF2B5EF4-FFF2-40B4-BE49-F238E27FC236}">
              <a16:creationId xmlns:a16="http://schemas.microsoft.com/office/drawing/2014/main" id="{A757EE6F-15B5-445C-BBF6-F65DC392CD5F}"/>
            </a:ext>
          </a:extLst>
        </xdr:cNvPr>
        <xdr:cNvSpPr txBox="1">
          <a:spLocks noChangeArrowheads="1"/>
        </xdr:cNvSpPr>
      </xdr:nvSpPr>
      <xdr:spPr bwMode="auto">
        <a:xfrm>
          <a:off x="228599" y="1188721"/>
          <a:ext cx="11843655" cy="335279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r>
            <a:rPr lang="en-US" sz="1400" b="1">
              <a:effectLst/>
              <a:latin typeface="+mn-lt"/>
              <a:ea typeface="+mn-ea"/>
              <a:cs typeface="+mn-cs"/>
            </a:rPr>
            <a:t>Kantor KSO : Gedung Waskita IDSurvey</a:t>
          </a:r>
          <a:r>
            <a:rPr lang="en-US" sz="1400" b="1" baseline="0">
              <a:effectLst/>
              <a:latin typeface="+mn-lt"/>
              <a:ea typeface="+mn-ea"/>
              <a:cs typeface="+mn-cs"/>
            </a:rPr>
            <a:t> Tower </a:t>
          </a:r>
          <a:r>
            <a:rPr lang="en-US" sz="1400" b="1">
              <a:effectLst/>
              <a:latin typeface="+mn-lt"/>
              <a:ea typeface="+mn-ea"/>
              <a:cs typeface="+mn-cs"/>
            </a:rPr>
            <a:t>Jl. M.T. Haryono Kavling No.10, Jatinegara, Jakarta Timur• Telp (</a:t>
          </a:r>
          <a:r>
            <a:rPr lang="en-US" sz="1400" b="1" baseline="0">
              <a:effectLst/>
              <a:latin typeface="+mn-lt"/>
              <a:ea typeface="+mn-ea"/>
              <a:cs typeface="+mn-cs"/>
            </a:rPr>
            <a:t>021) 8515521</a:t>
          </a:r>
          <a:r>
            <a:rPr lang="en-US" sz="1400" b="1">
              <a:effectLst/>
              <a:latin typeface="+mn-lt"/>
              <a:ea typeface="+mn-ea"/>
              <a:cs typeface="+mn-cs"/>
            </a:rPr>
            <a:t> • waskitanindya.jict@gmail.com</a:t>
          </a:r>
          <a:endParaRPr lang="en-ID" sz="1400">
            <a:effectLst/>
          </a:endParaRPr>
        </a:p>
      </xdr:txBody>
    </xdr:sp>
    <xdr:clientData/>
  </xdr:twoCellAnchor>
  <xdr:twoCellAnchor>
    <xdr:from>
      <xdr:col>1</xdr:col>
      <xdr:colOff>174171</xdr:colOff>
      <xdr:row>5</xdr:row>
      <xdr:rowOff>239486</xdr:rowOff>
    </xdr:from>
    <xdr:to>
      <xdr:col>17</xdr:col>
      <xdr:colOff>587828</xdr:colOff>
      <xdr:row>5</xdr:row>
      <xdr:rowOff>250371</xdr:rowOff>
    </xdr:to>
    <xdr:cxnSp macro="">
      <xdr:nvCxnSpPr>
        <xdr:cNvPr id="4" name="AutoShape 156">
          <a:extLst>
            <a:ext uri="{FF2B5EF4-FFF2-40B4-BE49-F238E27FC236}">
              <a16:creationId xmlns:a16="http://schemas.microsoft.com/office/drawing/2014/main" id="{52B093CE-FBE4-4596-A4E2-22038D02C70A}"/>
            </a:ext>
          </a:extLst>
        </xdr:cNvPr>
        <xdr:cNvCxnSpPr>
          <a:cxnSpLocks noChangeShapeType="1"/>
        </xdr:cNvCxnSpPr>
      </xdr:nvCxnSpPr>
      <xdr:spPr bwMode="auto">
        <a:xfrm>
          <a:off x="261257" y="1317172"/>
          <a:ext cx="11615057" cy="10885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10886</xdr:colOff>
      <xdr:row>1</xdr:row>
      <xdr:rowOff>141514</xdr:rowOff>
    </xdr:from>
    <xdr:to>
      <xdr:col>13</xdr:col>
      <xdr:colOff>511628</xdr:colOff>
      <xdr:row>4</xdr:row>
      <xdr:rowOff>10886</xdr:rowOff>
    </xdr:to>
    <xdr:sp macro="" textlink="">
      <xdr:nvSpPr>
        <xdr:cNvPr id="8" name="Text Box 153">
          <a:extLst>
            <a:ext uri="{FF2B5EF4-FFF2-40B4-BE49-F238E27FC236}">
              <a16:creationId xmlns:a16="http://schemas.microsoft.com/office/drawing/2014/main" id="{132ADEF9-4513-4197-BE6E-9A9E7A62ABA6}"/>
            </a:ext>
          </a:extLst>
        </xdr:cNvPr>
        <xdr:cNvSpPr txBox="1">
          <a:spLocks noChangeArrowheads="1"/>
        </xdr:cNvSpPr>
      </xdr:nvSpPr>
      <xdr:spPr bwMode="auto">
        <a:xfrm>
          <a:off x="2525486" y="337457"/>
          <a:ext cx="5769428" cy="555172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20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</a:t>
          </a:r>
          <a:r>
            <a:rPr lang="en-US" sz="28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WASKITA</a:t>
          </a:r>
          <a:r>
            <a:rPr lang="id-ID" sz="2800" baseline="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- </a:t>
          </a:r>
          <a:r>
            <a:rPr lang="id-ID" sz="28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NINDYA KSO</a:t>
          </a:r>
          <a:endParaRPr lang="id-ID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20</xdr:col>
      <xdr:colOff>881742</xdr:colOff>
      <xdr:row>24</xdr:row>
      <xdr:rowOff>185058</xdr:rowOff>
    </xdr:from>
    <xdr:to>
      <xdr:col>21</xdr:col>
      <xdr:colOff>707571</xdr:colOff>
      <xdr:row>30</xdr:row>
      <xdr:rowOff>97971</xdr:rowOff>
    </xdr:to>
    <xdr:pic>
      <xdr:nvPicPr>
        <xdr:cNvPr id="10" name="Picture 24">
          <a:extLst>
            <a:ext uri="{FF2B5EF4-FFF2-40B4-BE49-F238E27FC236}">
              <a16:creationId xmlns:a16="http://schemas.microsoft.com/office/drawing/2014/main" id="{D224CC68-B6E0-4E5D-BFC8-27088470E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52" t="4744" r="27708" b="27556"/>
        <a:stretch>
          <a:fillRect/>
        </a:stretch>
      </xdr:blipFill>
      <xdr:spPr bwMode="auto">
        <a:xfrm>
          <a:off x="14989628" y="4931229"/>
          <a:ext cx="1001486" cy="957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565610</xdr:colOff>
      <xdr:row>25</xdr:row>
      <xdr:rowOff>33856</xdr:rowOff>
    </xdr:from>
    <xdr:to>
      <xdr:col>22</xdr:col>
      <xdr:colOff>293913</xdr:colOff>
      <xdr:row>29</xdr:row>
      <xdr:rowOff>188322</xdr:rowOff>
    </xdr:to>
    <xdr:pic>
      <xdr:nvPicPr>
        <xdr:cNvPr id="11" name="Gambar 65">
          <a:extLst>
            <a:ext uri="{FF2B5EF4-FFF2-40B4-BE49-F238E27FC236}">
              <a16:creationId xmlns:a16="http://schemas.microsoft.com/office/drawing/2014/main" id="{5B0485C1-E5E2-4897-9610-B37B00DFF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849153" y="4975970"/>
          <a:ext cx="903960" cy="807609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</xdr:row>
      <xdr:rowOff>141514</xdr:rowOff>
    </xdr:from>
    <xdr:to>
      <xdr:col>3</xdr:col>
      <xdr:colOff>1328057</xdr:colOff>
      <xdr:row>5</xdr:row>
      <xdr:rowOff>80553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D52B474-CFD4-3A2C-C51B-79085E606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5686" y="337457"/>
          <a:ext cx="1556657" cy="820782"/>
        </a:xfrm>
        <a:prstGeom prst="rect">
          <a:avLst/>
        </a:prstGeom>
      </xdr:spPr>
    </xdr:pic>
    <xdr:clientData/>
  </xdr:twoCellAnchor>
  <xdr:twoCellAnchor>
    <xdr:from>
      <xdr:col>4</xdr:col>
      <xdr:colOff>76200</xdr:colOff>
      <xdr:row>3</xdr:row>
      <xdr:rowOff>163285</xdr:rowOff>
    </xdr:from>
    <xdr:to>
      <xdr:col>12</xdr:col>
      <xdr:colOff>664029</xdr:colOff>
      <xdr:row>5</xdr:row>
      <xdr:rowOff>87085</xdr:rowOff>
    </xdr:to>
    <xdr:sp macro="" textlink="">
      <xdr:nvSpPr>
        <xdr:cNvPr id="13" name="Text Box 155">
          <a:extLst>
            <a:ext uri="{FF2B5EF4-FFF2-40B4-BE49-F238E27FC236}">
              <a16:creationId xmlns:a16="http://schemas.microsoft.com/office/drawing/2014/main" id="{5EFCCF3A-EA7A-4F6B-A830-7687E23F0695}"/>
            </a:ext>
          </a:extLst>
        </xdr:cNvPr>
        <xdr:cNvSpPr txBox="1">
          <a:spLocks noChangeArrowheads="1"/>
        </xdr:cNvSpPr>
      </xdr:nvSpPr>
      <xdr:spPr bwMode="auto">
        <a:xfrm>
          <a:off x="2590800" y="849085"/>
          <a:ext cx="6106886" cy="315686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1400" b="1">
              <a:solidFill>
                <a:sysClr val="windowText" lastClr="000000"/>
              </a:solidFill>
              <a:effectLst/>
              <a:latin typeface="72 Condensed" panose="020B0506030000000003" pitchFamily="34" charset="0"/>
              <a:ea typeface="Tahoma" panose="020B0604030504040204" pitchFamily="34" charset="0"/>
              <a:cs typeface="72 Condensed" panose="020B0506030000000003" pitchFamily="34" charset="0"/>
            </a:rPr>
            <a:t>Pekerjaan Design</a:t>
          </a:r>
          <a:r>
            <a:rPr lang="en-US" sz="1400" b="1" baseline="0">
              <a:solidFill>
                <a:sysClr val="windowText" lastClr="000000"/>
              </a:solidFill>
              <a:effectLst/>
              <a:latin typeface="72 Condensed" panose="020B0506030000000003" pitchFamily="34" charset="0"/>
              <a:ea typeface="Tahoma" panose="020B0604030504040204" pitchFamily="34" charset="0"/>
              <a:cs typeface="72 Condensed" panose="020B0506030000000003" pitchFamily="34" charset="0"/>
            </a:rPr>
            <a:t> and Build Perkuatan Dermaga Barat JICT Pelabuhan Tanjung Priok</a:t>
          </a:r>
          <a:endParaRPr lang="id-ID" sz="1400">
            <a:solidFill>
              <a:sysClr val="windowText" lastClr="000000"/>
            </a:solidFill>
            <a:effectLst/>
            <a:latin typeface="72 Condensed" panose="020B0506030000000003" pitchFamily="34" charset="0"/>
            <a:ea typeface="Tahoma" panose="020B0604030504040204" pitchFamily="34" charset="0"/>
            <a:cs typeface="72 Condensed" panose="020B0506030000000003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400810</xdr:colOff>
      <xdr:row>200</xdr:row>
      <xdr:rowOff>184594</xdr:rowOff>
    </xdr:from>
    <xdr:to>
      <xdr:col>15</xdr:col>
      <xdr:colOff>936171</xdr:colOff>
      <xdr:row>203</xdr:row>
      <xdr:rowOff>23075</xdr:rowOff>
    </xdr:to>
    <xdr:sp macro="" textlink="">
      <xdr:nvSpPr>
        <xdr:cNvPr id="2" name="TextBox 11">
          <a:extLst>
            <a:ext uri="{FF2B5EF4-FFF2-40B4-BE49-F238E27FC236}">
              <a16:creationId xmlns:a16="http://schemas.microsoft.com/office/drawing/2014/main" id="{EBD98942-7E7C-407D-AA06-70E1706B2346}"/>
            </a:ext>
          </a:extLst>
        </xdr:cNvPr>
        <xdr:cNvSpPr txBox="1"/>
      </xdr:nvSpPr>
      <xdr:spPr>
        <a:xfrm>
          <a:off x="7515985" y="46495144"/>
          <a:ext cx="3030911" cy="409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en-GB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PIHAK PERTAMA</a:t>
          </a:r>
        </a:p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en-GB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W</a:t>
          </a:r>
          <a:r>
            <a:rPr lang="id-ID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ASKITA - NINDYA,</a:t>
          </a:r>
          <a:r>
            <a:rPr lang="id-ID" sz="1100" b="0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KS</a:t>
          </a:r>
          <a:r>
            <a:rPr lang="en-US" sz="1100" b="0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O </a:t>
          </a:r>
          <a:endParaRPr lang="en-US" sz="1100" b="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74839</xdr:colOff>
      <xdr:row>209</xdr:row>
      <xdr:rowOff>27214</xdr:rowOff>
    </xdr:from>
    <xdr:to>
      <xdr:col>15</xdr:col>
      <xdr:colOff>1177562</xdr:colOff>
      <xdr:row>211</xdr:row>
      <xdr:rowOff>163286</xdr:rowOff>
    </xdr:to>
    <xdr:sp macro="" textlink="">
      <xdr:nvSpPr>
        <xdr:cNvPr id="3" name="TextBox 9">
          <a:extLst>
            <a:ext uri="{FF2B5EF4-FFF2-40B4-BE49-F238E27FC236}">
              <a16:creationId xmlns:a16="http://schemas.microsoft.com/office/drawing/2014/main" id="{1FFFA5CF-95A3-4F1B-8AC2-7088989ADB65}"/>
            </a:ext>
          </a:extLst>
        </xdr:cNvPr>
        <xdr:cNvSpPr txBox="1"/>
      </xdr:nvSpPr>
      <xdr:spPr>
        <a:xfrm>
          <a:off x="7190014" y="48052264"/>
          <a:ext cx="3598273" cy="517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 u="sng">
              <a:latin typeface="Arial" panose="020B0604020202020204" pitchFamily="34" charset="0"/>
              <a:cs typeface="Arial" panose="020B0604020202020204" pitchFamily="34" charset="0"/>
            </a:rPr>
            <a:t>Dedy Hariyanto</a:t>
          </a:r>
        </a:p>
        <a:p>
          <a:pPr algn="ctr"/>
          <a:r>
            <a:rPr lang="en-GB" sz="1100" b="0" u="none">
              <a:latin typeface="Arial" panose="020B0604020202020204" pitchFamily="34" charset="0"/>
              <a:cs typeface="Arial" panose="020B0604020202020204" pitchFamily="34" charset="0"/>
            </a:rPr>
            <a:t>Kepala Proyek</a:t>
          </a:r>
        </a:p>
      </xdr:txBody>
    </xdr:sp>
    <xdr:clientData/>
  </xdr:twoCellAnchor>
  <xdr:twoCellAnchor editAs="oneCell">
    <xdr:from>
      <xdr:col>1</xdr:col>
      <xdr:colOff>133348</xdr:colOff>
      <xdr:row>1</xdr:row>
      <xdr:rowOff>27214</xdr:rowOff>
    </xdr:from>
    <xdr:to>
      <xdr:col>3</xdr:col>
      <xdr:colOff>1654627</xdr:colOff>
      <xdr:row>5</xdr:row>
      <xdr:rowOff>57492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251A3DAD-CE53-44B0-A1C5-62B1391E6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3" y="222477"/>
          <a:ext cx="1983242" cy="901815"/>
        </a:xfrm>
        <a:prstGeom prst="rect">
          <a:avLst/>
        </a:prstGeom>
      </xdr:spPr>
    </xdr:pic>
    <xdr:clientData/>
  </xdr:twoCellAnchor>
  <xdr:twoCellAnchor>
    <xdr:from>
      <xdr:col>1</xdr:col>
      <xdr:colOff>141513</xdr:colOff>
      <xdr:row>5</xdr:row>
      <xdr:rowOff>111035</xdr:rowOff>
    </xdr:from>
    <xdr:to>
      <xdr:col>18</xdr:col>
      <xdr:colOff>43540</xdr:colOff>
      <xdr:row>7</xdr:row>
      <xdr:rowOff>130629</xdr:rowOff>
    </xdr:to>
    <xdr:sp macro="" textlink="">
      <xdr:nvSpPr>
        <xdr:cNvPr id="5" name="Text Box 151">
          <a:extLst>
            <a:ext uri="{FF2B5EF4-FFF2-40B4-BE49-F238E27FC236}">
              <a16:creationId xmlns:a16="http://schemas.microsoft.com/office/drawing/2014/main" id="{69DF962F-5CD4-4E5C-B461-F1B307E7038F}"/>
            </a:ext>
          </a:extLst>
        </xdr:cNvPr>
        <xdr:cNvSpPr txBox="1">
          <a:spLocks noChangeArrowheads="1"/>
        </xdr:cNvSpPr>
      </xdr:nvSpPr>
      <xdr:spPr bwMode="auto">
        <a:xfrm>
          <a:off x="227238" y="1177835"/>
          <a:ext cx="12079740" cy="324394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r>
            <a:rPr lang="en-US" sz="1400" b="1">
              <a:effectLst/>
              <a:latin typeface="+mn-lt"/>
              <a:ea typeface="+mn-ea"/>
              <a:cs typeface="+mn-cs"/>
            </a:rPr>
            <a:t>Kantor KSO : Gedung Waskita IDSurvey</a:t>
          </a:r>
          <a:r>
            <a:rPr lang="en-US" sz="1400" b="1" baseline="0">
              <a:effectLst/>
              <a:latin typeface="+mn-lt"/>
              <a:ea typeface="+mn-ea"/>
              <a:cs typeface="+mn-cs"/>
            </a:rPr>
            <a:t> Tower </a:t>
          </a:r>
          <a:r>
            <a:rPr lang="en-US" sz="1400" b="1">
              <a:effectLst/>
              <a:latin typeface="+mn-lt"/>
              <a:ea typeface="+mn-ea"/>
              <a:cs typeface="+mn-cs"/>
            </a:rPr>
            <a:t>Jl. M.T. Haryono Kavling No.10, Jatinegara, Jakarta Timur• Telp (</a:t>
          </a:r>
          <a:r>
            <a:rPr lang="en-US" sz="1400" b="1" baseline="0">
              <a:effectLst/>
              <a:latin typeface="+mn-lt"/>
              <a:ea typeface="+mn-ea"/>
              <a:cs typeface="+mn-cs"/>
            </a:rPr>
            <a:t>021) 8515521</a:t>
          </a:r>
          <a:r>
            <a:rPr lang="en-US" sz="1400" b="1">
              <a:effectLst/>
              <a:latin typeface="+mn-lt"/>
              <a:ea typeface="+mn-ea"/>
              <a:cs typeface="+mn-cs"/>
            </a:rPr>
            <a:t> • waskitanindya.jict@gmail.com</a:t>
          </a:r>
          <a:endParaRPr lang="en-ID" sz="1400">
            <a:effectLst/>
          </a:endParaRPr>
        </a:p>
      </xdr:txBody>
    </xdr:sp>
    <xdr:clientData/>
  </xdr:twoCellAnchor>
  <xdr:twoCellAnchor>
    <xdr:from>
      <xdr:col>1</xdr:col>
      <xdr:colOff>174171</xdr:colOff>
      <xdr:row>5</xdr:row>
      <xdr:rowOff>239486</xdr:rowOff>
    </xdr:from>
    <xdr:to>
      <xdr:col>17</xdr:col>
      <xdr:colOff>587828</xdr:colOff>
      <xdr:row>5</xdr:row>
      <xdr:rowOff>250371</xdr:rowOff>
    </xdr:to>
    <xdr:cxnSp macro="">
      <xdr:nvCxnSpPr>
        <xdr:cNvPr id="6" name="AutoShape 156">
          <a:extLst>
            <a:ext uri="{FF2B5EF4-FFF2-40B4-BE49-F238E27FC236}">
              <a16:creationId xmlns:a16="http://schemas.microsoft.com/office/drawing/2014/main" id="{9FADAB8C-4366-42D4-8320-E72434B60109}"/>
            </a:ext>
          </a:extLst>
        </xdr:cNvPr>
        <xdr:cNvCxnSpPr>
          <a:cxnSpLocks noChangeShapeType="1"/>
        </xdr:cNvCxnSpPr>
      </xdr:nvCxnSpPr>
      <xdr:spPr bwMode="auto">
        <a:xfrm>
          <a:off x="259896" y="1182461"/>
          <a:ext cx="11834132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10886</xdr:colOff>
      <xdr:row>1</xdr:row>
      <xdr:rowOff>141514</xdr:rowOff>
    </xdr:from>
    <xdr:to>
      <xdr:col>13</xdr:col>
      <xdr:colOff>511628</xdr:colOff>
      <xdr:row>4</xdr:row>
      <xdr:rowOff>10886</xdr:rowOff>
    </xdr:to>
    <xdr:sp macro="" textlink="">
      <xdr:nvSpPr>
        <xdr:cNvPr id="7" name="Text Box 153">
          <a:extLst>
            <a:ext uri="{FF2B5EF4-FFF2-40B4-BE49-F238E27FC236}">
              <a16:creationId xmlns:a16="http://schemas.microsoft.com/office/drawing/2014/main" id="{8F79BAC4-6F41-429C-84C7-174E2B6853EF}"/>
            </a:ext>
          </a:extLst>
        </xdr:cNvPr>
        <xdr:cNvSpPr txBox="1">
          <a:spLocks noChangeArrowheads="1"/>
        </xdr:cNvSpPr>
      </xdr:nvSpPr>
      <xdr:spPr bwMode="auto">
        <a:xfrm>
          <a:off x="2568349" y="336777"/>
          <a:ext cx="5877604" cy="550409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20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</a:t>
          </a:r>
          <a:r>
            <a:rPr lang="en-US" sz="28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WASKITA</a:t>
          </a:r>
          <a:r>
            <a:rPr lang="id-ID" sz="2800" baseline="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- </a:t>
          </a:r>
          <a:r>
            <a:rPr lang="id-ID" sz="28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NINDYA KSO</a:t>
          </a:r>
          <a:endParaRPr lang="id-ID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400810</xdr:colOff>
      <xdr:row>200</xdr:row>
      <xdr:rowOff>184594</xdr:rowOff>
    </xdr:from>
    <xdr:to>
      <xdr:col>15</xdr:col>
      <xdr:colOff>936171</xdr:colOff>
      <xdr:row>203</xdr:row>
      <xdr:rowOff>23075</xdr:rowOff>
    </xdr:to>
    <xdr:sp macro="" textlink="">
      <xdr:nvSpPr>
        <xdr:cNvPr id="2" name="TextBox 11">
          <a:extLst>
            <a:ext uri="{FF2B5EF4-FFF2-40B4-BE49-F238E27FC236}">
              <a16:creationId xmlns:a16="http://schemas.microsoft.com/office/drawing/2014/main" id="{FAEB5E98-44A2-479B-8CEE-D947BDBAF261}"/>
            </a:ext>
          </a:extLst>
        </xdr:cNvPr>
        <xdr:cNvSpPr txBox="1"/>
      </xdr:nvSpPr>
      <xdr:spPr>
        <a:xfrm>
          <a:off x="7515985" y="46495144"/>
          <a:ext cx="3030911" cy="409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en-GB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PIHAK PERTAMA</a:t>
          </a:r>
        </a:p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en-GB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W</a:t>
          </a:r>
          <a:r>
            <a:rPr lang="id-ID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ASKITA - NINDYA,</a:t>
          </a:r>
          <a:r>
            <a:rPr lang="id-ID" sz="1100" b="0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KS</a:t>
          </a:r>
          <a:r>
            <a:rPr lang="en-US" sz="1100" b="0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O </a:t>
          </a:r>
          <a:endParaRPr lang="en-US" sz="1100" b="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74839</xdr:colOff>
      <xdr:row>209</xdr:row>
      <xdr:rowOff>27214</xdr:rowOff>
    </xdr:from>
    <xdr:to>
      <xdr:col>15</xdr:col>
      <xdr:colOff>1177562</xdr:colOff>
      <xdr:row>211</xdr:row>
      <xdr:rowOff>163286</xdr:rowOff>
    </xdr:to>
    <xdr:sp macro="" textlink="">
      <xdr:nvSpPr>
        <xdr:cNvPr id="3" name="TextBox 9">
          <a:extLst>
            <a:ext uri="{FF2B5EF4-FFF2-40B4-BE49-F238E27FC236}">
              <a16:creationId xmlns:a16="http://schemas.microsoft.com/office/drawing/2014/main" id="{E0224C5B-2445-44B0-8576-4CCC1453875E}"/>
            </a:ext>
          </a:extLst>
        </xdr:cNvPr>
        <xdr:cNvSpPr txBox="1"/>
      </xdr:nvSpPr>
      <xdr:spPr>
        <a:xfrm>
          <a:off x="7190014" y="48052264"/>
          <a:ext cx="3598273" cy="517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 u="sng">
              <a:latin typeface="Arial" panose="020B0604020202020204" pitchFamily="34" charset="0"/>
              <a:cs typeface="Arial" panose="020B0604020202020204" pitchFamily="34" charset="0"/>
            </a:rPr>
            <a:t>Dedy Hariyanto</a:t>
          </a:r>
        </a:p>
        <a:p>
          <a:pPr algn="ctr"/>
          <a:r>
            <a:rPr lang="en-GB" sz="1100" b="0" u="none">
              <a:latin typeface="Arial" panose="020B0604020202020204" pitchFamily="34" charset="0"/>
              <a:cs typeface="Arial" panose="020B0604020202020204" pitchFamily="34" charset="0"/>
            </a:rPr>
            <a:t>Kepala Proyek</a:t>
          </a:r>
        </a:p>
      </xdr:txBody>
    </xdr:sp>
    <xdr:clientData/>
  </xdr:twoCellAnchor>
  <xdr:twoCellAnchor editAs="oneCell">
    <xdr:from>
      <xdr:col>1</xdr:col>
      <xdr:colOff>133348</xdr:colOff>
      <xdr:row>1</xdr:row>
      <xdr:rowOff>27214</xdr:rowOff>
    </xdr:from>
    <xdr:to>
      <xdr:col>3</xdr:col>
      <xdr:colOff>1654627</xdr:colOff>
      <xdr:row>5</xdr:row>
      <xdr:rowOff>57492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1F716134-13F4-4C6C-A6F3-FE6DBCEDA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3" y="222477"/>
          <a:ext cx="1983242" cy="901815"/>
        </a:xfrm>
        <a:prstGeom prst="rect">
          <a:avLst/>
        </a:prstGeom>
      </xdr:spPr>
    </xdr:pic>
    <xdr:clientData/>
  </xdr:twoCellAnchor>
  <xdr:twoCellAnchor>
    <xdr:from>
      <xdr:col>1</xdr:col>
      <xdr:colOff>141513</xdr:colOff>
      <xdr:row>5</xdr:row>
      <xdr:rowOff>111035</xdr:rowOff>
    </xdr:from>
    <xdr:to>
      <xdr:col>18</xdr:col>
      <xdr:colOff>43540</xdr:colOff>
      <xdr:row>7</xdr:row>
      <xdr:rowOff>130629</xdr:rowOff>
    </xdr:to>
    <xdr:sp macro="" textlink="">
      <xdr:nvSpPr>
        <xdr:cNvPr id="5" name="Text Box 151">
          <a:extLst>
            <a:ext uri="{FF2B5EF4-FFF2-40B4-BE49-F238E27FC236}">
              <a16:creationId xmlns:a16="http://schemas.microsoft.com/office/drawing/2014/main" id="{D0CF42F1-93C3-416D-8A5A-2139FB9E6C0B}"/>
            </a:ext>
          </a:extLst>
        </xdr:cNvPr>
        <xdr:cNvSpPr txBox="1">
          <a:spLocks noChangeArrowheads="1"/>
        </xdr:cNvSpPr>
      </xdr:nvSpPr>
      <xdr:spPr bwMode="auto">
        <a:xfrm>
          <a:off x="227238" y="1177835"/>
          <a:ext cx="12079740" cy="324394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r>
            <a:rPr lang="en-US" sz="1400" b="1">
              <a:effectLst/>
              <a:latin typeface="+mn-lt"/>
              <a:ea typeface="+mn-ea"/>
              <a:cs typeface="+mn-cs"/>
            </a:rPr>
            <a:t>Kantor KSO : Gedung Waskita IDSurvey</a:t>
          </a:r>
          <a:r>
            <a:rPr lang="en-US" sz="1400" b="1" baseline="0">
              <a:effectLst/>
              <a:latin typeface="+mn-lt"/>
              <a:ea typeface="+mn-ea"/>
              <a:cs typeface="+mn-cs"/>
            </a:rPr>
            <a:t> Tower </a:t>
          </a:r>
          <a:r>
            <a:rPr lang="en-US" sz="1400" b="1">
              <a:effectLst/>
              <a:latin typeface="+mn-lt"/>
              <a:ea typeface="+mn-ea"/>
              <a:cs typeface="+mn-cs"/>
            </a:rPr>
            <a:t>Jl. M.T. Haryono Kavling No.10, Jatinegara, Jakarta Timur• Telp (</a:t>
          </a:r>
          <a:r>
            <a:rPr lang="en-US" sz="1400" b="1" baseline="0">
              <a:effectLst/>
              <a:latin typeface="+mn-lt"/>
              <a:ea typeface="+mn-ea"/>
              <a:cs typeface="+mn-cs"/>
            </a:rPr>
            <a:t>021) 8515521</a:t>
          </a:r>
          <a:r>
            <a:rPr lang="en-US" sz="1400" b="1">
              <a:effectLst/>
              <a:latin typeface="+mn-lt"/>
              <a:ea typeface="+mn-ea"/>
              <a:cs typeface="+mn-cs"/>
            </a:rPr>
            <a:t> • waskitanindya.jict@gmail.com</a:t>
          </a:r>
          <a:endParaRPr lang="en-ID" sz="1400">
            <a:effectLst/>
          </a:endParaRPr>
        </a:p>
      </xdr:txBody>
    </xdr:sp>
    <xdr:clientData/>
  </xdr:twoCellAnchor>
  <xdr:twoCellAnchor>
    <xdr:from>
      <xdr:col>1</xdr:col>
      <xdr:colOff>174171</xdr:colOff>
      <xdr:row>5</xdr:row>
      <xdr:rowOff>239486</xdr:rowOff>
    </xdr:from>
    <xdr:to>
      <xdr:col>17</xdr:col>
      <xdr:colOff>587828</xdr:colOff>
      <xdr:row>5</xdr:row>
      <xdr:rowOff>250371</xdr:rowOff>
    </xdr:to>
    <xdr:cxnSp macro="">
      <xdr:nvCxnSpPr>
        <xdr:cNvPr id="6" name="AutoShape 156">
          <a:extLst>
            <a:ext uri="{FF2B5EF4-FFF2-40B4-BE49-F238E27FC236}">
              <a16:creationId xmlns:a16="http://schemas.microsoft.com/office/drawing/2014/main" id="{CA53BBE4-D5AE-46CB-9D24-4533DA39A6A6}"/>
            </a:ext>
          </a:extLst>
        </xdr:cNvPr>
        <xdr:cNvCxnSpPr>
          <a:cxnSpLocks noChangeShapeType="1"/>
        </xdr:cNvCxnSpPr>
      </xdr:nvCxnSpPr>
      <xdr:spPr bwMode="auto">
        <a:xfrm>
          <a:off x="259896" y="1182461"/>
          <a:ext cx="11834132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10886</xdr:colOff>
      <xdr:row>1</xdr:row>
      <xdr:rowOff>141514</xdr:rowOff>
    </xdr:from>
    <xdr:to>
      <xdr:col>13</xdr:col>
      <xdr:colOff>511628</xdr:colOff>
      <xdr:row>4</xdr:row>
      <xdr:rowOff>10886</xdr:rowOff>
    </xdr:to>
    <xdr:sp macro="" textlink="">
      <xdr:nvSpPr>
        <xdr:cNvPr id="7" name="Text Box 153">
          <a:extLst>
            <a:ext uri="{FF2B5EF4-FFF2-40B4-BE49-F238E27FC236}">
              <a16:creationId xmlns:a16="http://schemas.microsoft.com/office/drawing/2014/main" id="{25D0621E-B634-4D6E-A7C4-1B340DD397A4}"/>
            </a:ext>
          </a:extLst>
        </xdr:cNvPr>
        <xdr:cNvSpPr txBox="1">
          <a:spLocks noChangeArrowheads="1"/>
        </xdr:cNvSpPr>
      </xdr:nvSpPr>
      <xdr:spPr bwMode="auto">
        <a:xfrm>
          <a:off x="2568349" y="336777"/>
          <a:ext cx="5877604" cy="550409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20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</a:t>
          </a:r>
          <a:r>
            <a:rPr lang="en-US" sz="28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WASKITA</a:t>
          </a:r>
          <a:r>
            <a:rPr lang="id-ID" sz="2800" baseline="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- </a:t>
          </a:r>
          <a:r>
            <a:rPr lang="id-ID" sz="28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NINDYA KSO</a:t>
          </a:r>
          <a:endParaRPr lang="id-ID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400810</xdr:colOff>
      <xdr:row>200</xdr:row>
      <xdr:rowOff>184594</xdr:rowOff>
    </xdr:from>
    <xdr:to>
      <xdr:col>15</xdr:col>
      <xdr:colOff>936171</xdr:colOff>
      <xdr:row>203</xdr:row>
      <xdr:rowOff>23075</xdr:rowOff>
    </xdr:to>
    <xdr:sp macro="" textlink="">
      <xdr:nvSpPr>
        <xdr:cNvPr id="2" name="TextBox 11">
          <a:extLst>
            <a:ext uri="{FF2B5EF4-FFF2-40B4-BE49-F238E27FC236}">
              <a16:creationId xmlns:a16="http://schemas.microsoft.com/office/drawing/2014/main" id="{13B5AA4F-5D98-43A4-8305-9DBF0CD3273B}"/>
            </a:ext>
          </a:extLst>
        </xdr:cNvPr>
        <xdr:cNvSpPr txBox="1"/>
      </xdr:nvSpPr>
      <xdr:spPr>
        <a:xfrm>
          <a:off x="7515985" y="46495144"/>
          <a:ext cx="3030911" cy="409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en-GB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PIHAK PERTAMA</a:t>
          </a:r>
        </a:p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en-GB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W</a:t>
          </a:r>
          <a:r>
            <a:rPr lang="id-ID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ASKITA - NINDYA,</a:t>
          </a:r>
          <a:r>
            <a:rPr lang="id-ID" sz="1100" b="0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KS</a:t>
          </a:r>
          <a:r>
            <a:rPr lang="en-US" sz="1100" b="0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O </a:t>
          </a:r>
          <a:endParaRPr lang="en-US" sz="1100" b="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74839</xdr:colOff>
      <xdr:row>209</xdr:row>
      <xdr:rowOff>27214</xdr:rowOff>
    </xdr:from>
    <xdr:to>
      <xdr:col>15</xdr:col>
      <xdr:colOff>1177562</xdr:colOff>
      <xdr:row>211</xdr:row>
      <xdr:rowOff>163286</xdr:rowOff>
    </xdr:to>
    <xdr:sp macro="" textlink="">
      <xdr:nvSpPr>
        <xdr:cNvPr id="3" name="TextBox 9">
          <a:extLst>
            <a:ext uri="{FF2B5EF4-FFF2-40B4-BE49-F238E27FC236}">
              <a16:creationId xmlns:a16="http://schemas.microsoft.com/office/drawing/2014/main" id="{843B4A39-72F6-4815-A74C-43CDDF029BE0}"/>
            </a:ext>
          </a:extLst>
        </xdr:cNvPr>
        <xdr:cNvSpPr txBox="1"/>
      </xdr:nvSpPr>
      <xdr:spPr>
        <a:xfrm>
          <a:off x="7190014" y="48052264"/>
          <a:ext cx="3598273" cy="517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 u="sng">
              <a:latin typeface="Arial" panose="020B0604020202020204" pitchFamily="34" charset="0"/>
              <a:cs typeface="Arial" panose="020B0604020202020204" pitchFamily="34" charset="0"/>
            </a:rPr>
            <a:t>Dedy Hariyanto</a:t>
          </a:r>
        </a:p>
        <a:p>
          <a:pPr algn="ctr"/>
          <a:r>
            <a:rPr lang="en-GB" sz="1100" b="0" u="none">
              <a:latin typeface="Arial" panose="020B0604020202020204" pitchFamily="34" charset="0"/>
              <a:cs typeface="Arial" panose="020B0604020202020204" pitchFamily="34" charset="0"/>
            </a:rPr>
            <a:t>Kepala Proyek</a:t>
          </a:r>
        </a:p>
      </xdr:txBody>
    </xdr:sp>
    <xdr:clientData/>
  </xdr:twoCellAnchor>
  <xdr:twoCellAnchor editAs="oneCell">
    <xdr:from>
      <xdr:col>1</xdr:col>
      <xdr:colOff>133348</xdr:colOff>
      <xdr:row>1</xdr:row>
      <xdr:rowOff>27214</xdr:rowOff>
    </xdr:from>
    <xdr:to>
      <xdr:col>3</xdr:col>
      <xdr:colOff>1654627</xdr:colOff>
      <xdr:row>5</xdr:row>
      <xdr:rowOff>57492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2C579576-9202-4399-B219-23B63D71E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3" y="222477"/>
          <a:ext cx="1983242" cy="901815"/>
        </a:xfrm>
        <a:prstGeom prst="rect">
          <a:avLst/>
        </a:prstGeom>
      </xdr:spPr>
    </xdr:pic>
    <xdr:clientData/>
  </xdr:twoCellAnchor>
  <xdr:twoCellAnchor>
    <xdr:from>
      <xdr:col>1</xdr:col>
      <xdr:colOff>141513</xdr:colOff>
      <xdr:row>5</xdr:row>
      <xdr:rowOff>111035</xdr:rowOff>
    </xdr:from>
    <xdr:to>
      <xdr:col>18</xdr:col>
      <xdr:colOff>43540</xdr:colOff>
      <xdr:row>7</xdr:row>
      <xdr:rowOff>130629</xdr:rowOff>
    </xdr:to>
    <xdr:sp macro="" textlink="">
      <xdr:nvSpPr>
        <xdr:cNvPr id="5" name="Text Box 151">
          <a:extLst>
            <a:ext uri="{FF2B5EF4-FFF2-40B4-BE49-F238E27FC236}">
              <a16:creationId xmlns:a16="http://schemas.microsoft.com/office/drawing/2014/main" id="{D693BF62-C363-4491-A904-156A4F71E992}"/>
            </a:ext>
          </a:extLst>
        </xdr:cNvPr>
        <xdr:cNvSpPr txBox="1">
          <a:spLocks noChangeArrowheads="1"/>
        </xdr:cNvSpPr>
      </xdr:nvSpPr>
      <xdr:spPr bwMode="auto">
        <a:xfrm>
          <a:off x="227238" y="1177835"/>
          <a:ext cx="12079740" cy="324394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r>
            <a:rPr lang="en-US" sz="1400" b="1">
              <a:effectLst/>
              <a:latin typeface="+mn-lt"/>
              <a:ea typeface="+mn-ea"/>
              <a:cs typeface="+mn-cs"/>
            </a:rPr>
            <a:t>Kantor KSO : Gedung Waskita IDSurvey</a:t>
          </a:r>
          <a:r>
            <a:rPr lang="en-US" sz="1400" b="1" baseline="0">
              <a:effectLst/>
              <a:latin typeface="+mn-lt"/>
              <a:ea typeface="+mn-ea"/>
              <a:cs typeface="+mn-cs"/>
            </a:rPr>
            <a:t> Tower </a:t>
          </a:r>
          <a:r>
            <a:rPr lang="en-US" sz="1400" b="1">
              <a:effectLst/>
              <a:latin typeface="+mn-lt"/>
              <a:ea typeface="+mn-ea"/>
              <a:cs typeface="+mn-cs"/>
            </a:rPr>
            <a:t>Jl. M.T. Haryono Kavling No.10, Jatinegara, Jakarta Timur• Telp (</a:t>
          </a:r>
          <a:r>
            <a:rPr lang="en-US" sz="1400" b="1" baseline="0">
              <a:effectLst/>
              <a:latin typeface="+mn-lt"/>
              <a:ea typeface="+mn-ea"/>
              <a:cs typeface="+mn-cs"/>
            </a:rPr>
            <a:t>021) 8515521</a:t>
          </a:r>
          <a:r>
            <a:rPr lang="en-US" sz="1400" b="1">
              <a:effectLst/>
              <a:latin typeface="+mn-lt"/>
              <a:ea typeface="+mn-ea"/>
              <a:cs typeface="+mn-cs"/>
            </a:rPr>
            <a:t> • waskitanindya.jict@gmail.com</a:t>
          </a:r>
          <a:endParaRPr lang="en-ID" sz="1400">
            <a:effectLst/>
          </a:endParaRPr>
        </a:p>
      </xdr:txBody>
    </xdr:sp>
    <xdr:clientData/>
  </xdr:twoCellAnchor>
  <xdr:twoCellAnchor>
    <xdr:from>
      <xdr:col>1</xdr:col>
      <xdr:colOff>174171</xdr:colOff>
      <xdr:row>5</xdr:row>
      <xdr:rowOff>239486</xdr:rowOff>
    </xdr:from>
    <xdr:to>
      <xdr:col>17</xdr:col>
      <xdr:colOff>587828</xdr:colOff>
      <xdr:row>5</xdr:row>
      <xdr:rowOff>250371</xdr:rowOff>
    </xdr:to>
    <xdr:cxnSp macro="">
      <xdr:nvCxnSpPr>
        <xdr:cNvPr id="6" name="AutoShape 156">
          <a:extLst>
            <a:ext uri="{FF2B5EF4-FFF2-40B4-BE49-F238E27FC236}">
              <a16:creationId xmlns:a16="http://schemas.microsoft.com/office/drawing/2014/main" id="{959641D1-9CC2-4341-9CC6-7F4EB335C189}"/>
            </a:ext>
          </a:extLst>
        </xdr:cNvPr>
        <xdr:cNvCxnSpPr>
          <a:cxnSpLocks noChangeShapeType="1"/>
        </xdr:cNvCxnSpPr>
      </xdr:nvCxnSpPr>
      <xdr:spPr bwMode="auto">
        <a:xfrm>
          <a:off x="259896" y="1182461"/>
          <a:ext cx="11834132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10886</xdr:colOff>
      <xdr:row>1</xdr:row>
      <xdr:rowOff>141514</xdr:rowOff>
    </xdr:from>
    <xdr:to>
      <xdr:col>13</xdr:col>
      <xdr:colOff>511628</xdr:colOff>
      <xdr:row>4</xdr:row>
      <xdr:rowOff>10886</xdr:rowOff>
    </xdr:to>
    <xdr:sp macro="" textlink="">
      <xdr:nvSpPr>
        <xdr:cNvPr id="7" name="Text Box 153">
          <a:extLst>
            <a:ext uri="{FF2B5EF4-FFF2-40B4-BE49-F238E27FC236}">
              <a16:creationId xmlns:a16="http://schemas.microsoft.com/office/drawing/2014/main" id="{25F7CCBB-FF54-4745-879E-194D37477DA1}"/>
            </a:ext>
          </a:extLst>
        </xdr:cNvPr>
        <xdr:cNvSpPr txBox="1">
          <a:spLocks noChangeArrowheads="1"/>
        </xdr:cNvSpPr>
      </xdr:nvSpPr>
      <xdr:spPr bwMode="auto">
        <a:xfrm>
          <a:off x="2568349" y="336777"/>
          <a:ext cx="5877604" cy="550409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20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</a:t>
          </a:r>
          <a:r>
            <a:rPr lang="en-US" sz="28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WASKITA</a:t>
          </a:r>
          <a:r>
            <a:rPr lang="id-ID" sz="2800" baseline="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- </a:t>
          </a:r>
          <a:r>
            <a:rPr lang="id-ID" sz="28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NINDYA KSO</a:t>
          </a:r>
          <a:endParaRPr lang="id-ID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400810</xdr:colOff>
      <xdr:row>200</xdr:row>
      <xdr:rowOff>184594</xdr:rowOff>
    </xdr:from>
    <xdr:to>
      <xdr:col>15</xdr:col>
      <xdr:colOff>936171</xdr:colOff>
      <xdr:row>203</xdr:row>
      <xdr:rowOff>23075</xdr:rowOff>
    </xdr:to>
    <xdr:sp macro="" textlink="">
      <xdr:nvSpPr>
        <xdr:cNvPr id="2" name="TextBox 11">
          <a:extLst>
            <a:ext uri="{FF2B5EF4-FFF2-40B4-BE49-F238E27FC236}">
              <a16:creationId xmlns:a16="http://schemas.microsoft.com/office/drawing/2014/main" id="{2482E091-B72D-43CF-B90C-3BFF4BBA172A}"/>
            </a:ext>
          </a:extLst>
        </xdr:cNvPr>
        <xdr:cNvSpPr txBox="1"/>
      </xdr:nvSpPr>
      <xdr:spPr>
        <a:xfrm>
          <a:off x="7515985" y="46495144"/>
          <a:ext cx="3030911" cy="409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en-GB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PIHAK PERTAMA</a:t>
          </a:r>
        </a:p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en-GB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W</a:t>
          </a:r>
          <a:r>
            <a:rPr lang="id-ID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ASKITA - NINDYA,</a:t>
          </a:r>
          <a:r>
            <a:rPr lang="id-ID" sz="1100" b="0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KS</a:t>
          </a:r>
          <a:r>
            <a:rPr lang="en-US" sz="1100" b="0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O </a:t>
          </a:r>
          <a:endParaRPr lang="en-US" sz="1100" b="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74839</xdr:colOff>
      <xdr:row>209</xdr:row>
      <xdr:rowOff>27214</xdr:rowOff>
    </xdr:from>
    <xdr:to>
      <xdr:col>15</xdr:col>
      <xdr:colOff>1177562</xdr:colOff>
      <xdr:row>211</xdr:row>
      <xdr:rowOff>163286</xdr:rowOff>
    </xdr:to>
    <xdr:sp macro="" textlink="">
      <xdr:nvSpPr>
        <xdr:cNvPr id="3" name="TextBox 9">
          <a:extLst>
            <a:ext uri="{FF2B5EF4-FFF2-40B4-BE49-F238E27FC236}">
              <a16:creationId xmlns:a16="http://schemas.microsoft.com/office/drawing/2014/main" id="{3D6EB430-F29E-4EA0-8B21-7D1E08EEF5B6}"/>
            </a:ext>
          </a:extLst>
        </xdr:cNvPr>
        <xdr:cNvSpPr txBox="1"/>
      </xdr:nvSpPr>
      <xdr:spPr>
        <a:xfrm>
          <a:off x="7190014" y="48052264"/>
          <a:ext cx="3598273" cy="517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 u="sng">
              <a:latin typeface="Arial" panose="020B0604020202020204" pitchFamily="34" charset="0"/>
              <a:cs typeface="Arial" panose="020B0604020202020204" pitchFamily="34" charset="0"/>
            </a:rPr>
            <a:t>Dedy Hariyanto</a:t>
          </a:r>
        </a:p>
        <a:p>
          <a:pPr algn="ctr"/>
          <a:r>
            <a:rPr lang="en-GB" sz="1100" b="0" u="none">
              <a:latin typeface="Arial" panose="020B0604020202020204" pitchFamily="34" charset="0"/>
              <a:cs typeface="Arial" panose="020B0604020202020204" pitchFamily="34" charset="0"/>
            </a:rPr>
            <a:t>Kepala Proyek</a:t>
          </a:r>
        </a:p>
      </xdr:txBody>
    </xdr:sp>
    <xdr:clientData/>
  </xdr:twoCellAnchor>
  <xdr:twoCellAnchor editAs="oneCell">
    <xdr:from>
      <xdr:col>1</xdr:col>
      <xdr:colOff>133348</xdr:colOff>
      <xdr:row>1</xdr:row>
      <xdr:rowOff>27214</xdr:rowOff>
    </xdr:from>
    <xdr:to>
      <xdr:col>3</xdr:col>
      <xdr:colOff>1654627</xdr:colOff>
      <xdr:row>5</xdr:row>
      <xdr:rowOff>57492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2159C9DB-0CFD-4E55-870D-C8572EE17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3" y="222477"/>
          <a:ext cx="1983242" cy="901815"/>
        </a:xfrm>
        <a:prstGeom prst="rect">
          <a:avLst/>
        </a:prstGeom>
      </xdr:spPr>
    </xdr:pic>
    <xdr:clientData/>
  </xdr:twoCellAnchor>
  <xdr:twoCellAnchor>
    <xdr:from>
      <xdr:col>1</xdr:col>
      <xdr:colOff>141513</xdr:colOff>
      <xdr:row>5</xdr:row>
      <xdr:rowOff>111035</xdr:rowOff>
    </xdr:from>
    <xdr:to>
      <xdr:col>18</xdr:col>
      <xdr:colOff>43540</xdr:colOff>
      <xdr:row>7</xdr:row>
      <xdr:rowOff>130629</xdr:rowOff>
    </xdr:to>
    <xdr:sp macro="" textlink="">
      <xdr:nvSpPr>
        <xdr:cNvPr id="5" name="Text Box 151">
          <a:extLst>
            <a:ext uri="{FF2B5EF4-FFF2-40B4-BE49-F238E27FC236}">
              <a16:creationId xmlns:a16="http://schemas.microsoft.com/office/drawing/2014/main" id="{439AADF6-B18C-47DE-BF2D-BB366F44EDC1}"/>
            </a:ext>
          </a:extLst>
        </xdr:cNvPr>
        <xdr:cNvSpPr txBox="1">
          <a:spLocks noChangeArrowheads="1"/>
        </xdr:cNvSpPr>
      </xdr:nvSpPr>
      <xdr:spPr bwMode="auto">
        <a:xfrm>
          <a:off x="227238" y="1177835"/>
          <a:ext cx="12079740" cy="324394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r>
            <a:rPr lang="en-US" sz="1400" b="1">
              <a:effectLst/>
              <a:latin typeface="+mn-lt"/>
              <a:ea typeface="+mn-ea"/>
              <a:cs typeface="+mn-cs"/>
            </a:rPr>
            <a:t>Kantor KSO : Gedung Waskita IDSurvey</a:t>
          </a:r>
          <a:r>
            <a:rPr lang="en-US" sz="1400" b="1" baseline="0">
              <a:effectLst/>
              <a:latin typeface="+mn-lt"/>
              <a:ea typeface="+mn-ea"/>
              <a:cs typeface="+mn-cs"/>
            </a:rPr>
            <a:t> Tower </a:t>
          </a:r>
          <a:r>
            <a:rPr lang="en-US" sz="1400" b="1">
              <a:effectLst/>
              <a:latin typeface="+mn-lt"/>
              <a:ea typeface="+mn-ea"/>
              <a:cs typeface="+mn-cs"/>
            </a:rPr>
            <a:t>Jl. M.T. Haryono Kavling No.10, Jatinegara, Jakarta Timur• Telp (</a:t>
          </a:r>
          <a:r>
            <a:rPr lang="en-US" sz="1400" b="1" baseline="0">
              <a:effectLst/>
              <a:latin typeface="+mn-lt"/>
              <a:ea typeface="+mn-ea"/>
              <a:cs typeface="+mn-cs"/>
            </a:rPr>
            <a:t>021) 8515521</a:t>
          </a:r>
          <a:r>
            <a:rPr lang="en-US" sz="1400" b="1">
              <a:effectLst/>
              <a:latin typeface="+mn-lt"/>
              <a:ea typeface="+mn-ea"/>
              <a:cs typeface="+mn-cs"/>
            </a:rPr>
            <a:t> • waskitanindya.jict@gmail.com</a:t>
          </a:r>
          <a:endParaRPr lang="en-ID" sz="1400">
            <a:effectLst/>
          </a:endParaRPr>
        </a:p>
      </xdr:txBody>
    </xdr:sp>
    <xdr:clientData/>
  </xdr:twoCellAnchor>
  <xdr:twoCellAnchor>
    <xdr:from>
      <xdr:col>1</xdr:col>
      <xdr:colOff>174171</xdr:colOff>
      <xdr:row>5</xdr:row>
      <xdr:rowOff>239486</xdr:rowOff>
    </xdr:from>
    <xdr:to>
      <xdr:col>17</xdr:col>
      <xdr:colOff>587828</xdr:colOff>
      <xdr:row>5</xdr:row>
      <xdr:rowOff>250371</xdr:rowOff>
    </xdr:to>
    <xdr:cxnSp macro="">
      <xdr:nvCxnSpPr>
        <xdr:cNvPr id="6" name="AutoShape 156">
          <a:extLst>
            <a:ext uri="{FF2B5EF4-FFF2-40B4-BE49-F238E27FC236}">
              <a16:creationId xmlns:a16="http://schemas.microsoft.com/office/drawing/2014/main" id="{794FFC12-8046-4CF3-A93A-F97EC5421AB9}"/>
            </a:ext>
          </a:extLst>
        </xdr:cNvPr>
        <xdr:cNvCxnSpPr>
          <a:cxnSpLocks noChangeShapeType="1"/>
        </xdr:cNvCxnSpPr>
      </xdr:nvCxnSpPr>
      <xdr:spPr bwMode="auto">
        <a:xfrm>
          <a:off x="259896" y="1182461"/>
          <a:ext cx="11834132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10886</xdr:colOff>
      <xdr:row>1</xdr:row>
      <xdr:rowOff>141514</xdr:rowOff>
    </xdr:from>
    <xdr:to>
      <xdr:col>13</xdr:col>
      <xdr:colOff>511628</xdr:colOff>
      <xdr:row>4</xdr:row>
      <xdr:rowOff>10886</xdr:rowOff>
    </xdr:to>
    <xdr:sp macro="" textlink="">
      <xdr:nvSpPr>
        <xdr:cNvPr id="7" name="Text Box 153">
          <a:extLst>
            <a:ext uri="{FF2B5EF4-FFF2-40B4-BE49-F238E27FC236}">
              <a16:creationId xmlns:a16="http://schemas.microsoft.com/office/drawing/2014/main" id="{DC728D2C-E577-4629-9C40-4B8F18328414}"/>
            </a:ext>
          </a:extLst>
        </xdr:cNvPr>
        <xdr:cNvSpPr txBox="1">
          <a:spLocks noChangeArrowheads="1"/>
        </xdr:cNvSpPr>
      </xdr:nvSpPr>
      <xdr:spPr bwMode="auto">
        <a:xfrm>
          <a:off x="2568349" y="336777"/>
          <a:ext cx="5877604" cy="550409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20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</a:t>
          </a:r>
          <a:r>
            <a:rPr lang="en-US" sz="28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WASKITA</a:t>
          </a:r>
          <a:r>
            <a:rPr lang="id-ID" sz="2800" baseline="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- </a:t>
          </a:r>
          <a:r>
            <a:rPr lang="id-ID" sz="28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NINDYA KSO</a:t>
          </a:r>
          <a:endParaRPr lang="id-ID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400810</xdr:colOff>
      <xdr:row>200</xdr:row>
      <xdr:rowOff>184594</xdr:rowOff>
    </xdr:from>
    <xdr:to>
      <xdr:col>15</xdr:col>
      <xdr:colOff>936171</xdr:colOff>
      <xdr:row>203</xdr:row>
      <xdr:rowOff>23075</xdr:rowOff>
    </xdr:to>
    <xdr:sp macro="" textlink="">
      <xdr:nvSpPr>
        <xdr:cNvPr id="2" name="TextBox 11">
          <a:extLst>
            <a:ext uri="{FF2B5EF4-FFF2-40B4-BE49-F238E27FC236}">
              <a16:creationId xmlns:a16="http://schemas.microsoft.com/office/drawing/2014/main" id="{D2643191-895F-46CA-9507-61331428DE98}"/>
            </a:ext>
          </a:extLst>
        </xdr:cNvPr>
        <xdr:cNvSpPr txBox="1"/>
      </xdr:nvSpPr>
      <xdr:spPr>
        <a:xfrm>
          <a:off x="7515985" y="46495144"/>
          <a:ext cx="3030911" cy="409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en-GB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PIHAK PERTAMA</a:t>
          </a:r>
        </a:p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en-GB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W</a:t>
          </a:r>
          <a:r>
            <a:rPr lang="id-ID" sz="1100" b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ASKITA - NINDYA,</a:t>
          </a:r>
          <a:r>
            <a:rPr lang="id-ID" sz="1100" b="0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KS</a:t>
          </a:r>
          <a:r>
            <a:rPr lang="en-US" sz="1100" b="0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O </a:t>
          </a:r>
          <a:endParaRPr lang="en-US" sz="1100" b="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74839</xdr:colOff>
      <xdr:row>209</xdr:row>
      <xdr:rowOff>27214</xdr:rowOff>
    </xdr:from>
    <xdr:to>
      <xdr:col>15</xdr:col>
      <xdr:colOff>1177562</xdr:colOff>
      <xdr:row>211</xdr:row>
      <xdr:rowOff>163286</xdr:rowOff>
    </xdr:to>
    <xdr:sp macro="" textlink="">
      <xdr:nvSpPr>
        <xdr:cNvPr id="3" name="TextBox 9">
          <a:extLst>
            <a:ext uri="{FF2B5EF4-FFF2-40B4-BE49-F238E27FC236}">
              <a16:creationId xmlns:a16="http://schemas.microsoft.com/office/drawing/2014/main" id="{26E0C8CC-F0D0-4A8D-A9A5-20226E88C717}"/>
            </a:ext>
          </a:extLst>
        </xdr:cNvPr>
        <xdr:cNvSpPr txBox="1"/>
      </xdr:nvSpPr>
      <xdr:spPr>
        <a:xfrm>
          <a:off x="7190014" y="48052264"/>
          <a:ext cx="3598273" cy="517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 u="sng">
              <a:latin typeface="Arial" panose="020B0604020202020204" pitchFamily="34" charset="0"/>
              <a:cs typeface="Arial" panose="020B0604020202020204" pitchFamily="34" charset="0"/>
            </a:rPr>
            <a:t>Dedy Hariyanto</a:t>
          </a:r>
        </a:p>
        <a:p>
          <a:pPr algn="ctr"/>
          <a:r>
            <a:rPr lang="en-GB" sz="1100" b="0" u="none">
              <a:latin typeface="Arial" panose="020B0604020202020204" pitchFamily="34" charset="0"/>
              <a:cs typeface="Arial" panose="020B0604020202020204" pitchFamily="34" charset="0"/>
            </a:rPr>
            <a:t>Kepala Proyek</a:t>
          </a:r>
        </a:p>
      </xdr:txBody>
    </xdr:sp>
    <xdr:clientData/>
  </xdr:twoCellAnchor>
  <xdr:twoCellAnchor editAs="oneCell">
    <xdr:from>
      <xdr:col>1</xdr:col>
      <xdr:colOff>133348</xdr:colOff>
      <xdr:row>1</xdr:row>
      <xdr:rowOff>27214</xdr:rowOff>
    </xdr:from>
    <xdr:to>
      <xdr:col>3</xdr:col>
      <xdr:colOff>1654627</xdr:colOff>
      <xdr:row>5</xdr:row>
      <xdr:rowOff>57492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02080CE5-ADA8-4675-9DE4-B0573B8E7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3" y="222477"/>
          <a:ext cx="1983242" cy="901815"/>
        </a:xfrm>
        <a:prstGeom prst="rect">
          <a:avLst/>
        </a:prstGeom>
      </xdr:spPr>
    </xdr:pic>
    <xdr:clientData/>
  </xdr:twoCellAnchor>
  <xdr:twoCellAnchor>
    <xdr:from>
      <xdr:col>1</xdr:col>
      <xdr:colOff>141513</xdr:colOff>
      <xdr:row>5</xdr:row>
      <xdr:rowOff>111035</xdr:rowOff>
    </xdr:from>
    <xdr:to>
      <xdr:col>18</xdr:col>
      <xdr:colOff>43540</xdr:colOff>
      <xdr:row>7</xdr:row>
      <xdr:rowOff>130629</xdr:rowOff>
    </xdr:to>
    <xdr:sp macro="" textlink="">
      <xdr:nvSpPr>
        <xdr:cNvPr id="5" name="Text Box 151">
          <a:extLst>
            <a:ext uri="{FF2B5EF4-FFF2-40B4-BE49-F238E27FC236}">
              <a16:creationId xmlns:a16="http://schemas.microsoft.com/office/drawing/2014/main" id="{AAB3099F-000F-4312-A852-58632B74C336}"/>
            </a:ext>
          </a:extLst>
        </xdr:cNvPr>
        <xdr:cNvSpPr txBox="1">
          <a:spLocks noChangeArrowheads="1"/>
        </xdr:cNvSpPr>
      </xdr:nvSpPr>
      <xdr:spPr bwMode="auto">
        <a:xfrm>
          <a:off x="227238" y="1177835"/>
          <a:ext cx="12079740" cy="324394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r>
            <a:rPr lang="en-US" sz="1400" b="1">
              <a:effectLst/>
              <a:latin typeface="+mn-lt"/>
              <a:ea typeface="+mn-ea"/>
              <a:cs typeface="+mn-cs"/>
            </a:rPr>
            <a:t>Kantor KSO : Gedung Waskita IDSurvey</a:t>
          </a:r>
          <a:r>
            <a:rPr lang="en-US" sz="1400" b="1" baseline="0">
              <a:effectLst/>
              <a:latin typeface="+mn-lt"/>
              <a:ea typeface="+mn-ea"/>
              <a:cs typeface="+mn-cs"/>
            </a:rPr>
            <a:t> Tower </a:t>
          </a:r>
          <a:r>
            <a:rPr lang="en-US" sz="1400" b="1">
              <a:effectLst/>
              <a:latin typeface="+mn-lt"/>
              <a:ea typeface="+mn-ea"/>
              <a:cs typeface="+mn-cs"/>
            </a:rPr>
            <a:t>Jl. M.T. Haryono Kavling No.10, Jatinegara, Jakarta Timur• Telp (</a:t>
          </a:r>
          <a:r>
            <a:rPr lang="en-US" sz="1400" b="1" baseline="0">
              <a:effectLst/>
              <a:latin typeface="+mn-lt"/>
              <a:ea typeface="+mn-ea"/>
              <a:cs typeface="+mn-cs"/>
            </a:rPr>
            <a:t>021) 8515521</a:t>
          </a:r>
          <a:r>
            <a:rPr lang="en-US" sz="1400" b="1">
              <a:effectLst/>
              <a:latin typeface="+mn-lt"/>
              <a:ea typeface="+mn-ea"/>
              <a:cs typeface="+mn-cs"/>
            </a:rPr>
            <a:t> • waskitanindya.jict@gmail.com</a:t>
          </a:r>
          <a:endParaRPr lang="en-ID" sz="1400">
            <a:effectLst/>
          </a:endParaRPr>
        </a:p>
      </xdr:txBody>
    </xdr:sp>
    <xdr:clientData/>
  </xdr:twoCellAnchor>
  <xdr:twoCellAnchor>
    <xdr:from>
      <xdr:col>1</xdr:col>
      <xdr:colOff>174171</xdr:colOff>
      <xdr:row>5</xdr:row>
      <xdr:rowOff>239486</xdr:rowOff>
    </xdr:from>
    <xdr:to>
      <xdr:col>17</xdr:col>
      <xdr:colOff>587828</xdr:colOff>
      <xdr:row>5</xdr:row>
      <xdr:rowOff>250371</xdr:rowOff>
    </xdr:to>
    <xdr:cxnSp macro="">
      <xdr:nvCxnSpPr>
        <xdr:cNvPr id="6" name="AutoShape 156">
          <a:extLst>
            <a:ext uri="{FF2B5EF4-FFF2-40B4-BE49-F238E27FC236}">
              <a16:creationId xmlns:a16="http://schemas.microsoft.com/office/drawing/2014/main" id="{6CAC7BD0-2A12-4473-BB85-C3363E1D82CE}"/>
            </a:ext>
          </a:extLst>
        </xdr:cNvPr>
        <xdr:cNvCxnSpPr>
          <a:cxnSpLocks noChangeShapeType="1"/>
        </xdr:cNvCxnSpPr>
      </xdr:nvCxnSpPr>
      <xdr:spPr bwMode="auto">
        <a:xfrm>
          <a:off x="259896" y="1182461"/>
          <a:ext cx="11834132" cy="0"/>
        </a:xfrm>
        <a:prstGeom prst="straightConnector1">
          <a:avLst/>
        </a:prstGeom>
        <a:noFill/>
        <a:ln w="28575">
          <a:solidFill>
            <a:srgbClr val="CC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10886</xdr:colOff>
      <xdr:row>1</xdr:row>
      <xdr:rowOff>141514</xdr:rowOff>
    </xdr:from>
    <xdr:to>
      <xdr:col>13</xdr:col>
      <xdr:colOff>511628</xdr:colOff>
      <xdr:row>4</xdr:row>
      <xdr:rowOff>10886</xdr:rowOff>
    </xdr:to>
    <xdr:sp macro="" textlink="">
      <xdr:nvSpPr>
        <xdr:cNvPr id="7" name="Text Box 153">
          <a:extLst>
            <a:ext uri="{FF2B5EF4-FFF2-40B4-BE49-F238E27FC236}">
              <a16:creationId xmlns:a16="http://schemas.microsoft.com/office/drawing/2014/main" id="{D18FADE8-8C8B-492E-99B4-388CFEDFF30B}"/>
            </a:ext>
          </a:extLst>
        </xdr:cNvPr>
        <xdr:cNvSpPr txBox="1">
          <a:spLocks noChangeArrowheads="1"/>
        </xdr:cNvSpPr>
      </xdr:nvSpPr>
      <xdr:spPr bwMode="auto">
        <a:xfrm>
          <a:off x="2568349" y="336777"/>
          <a:ext cx="5877604" cy="550409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20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</a:t>
          </a:r>
          <a:r>
            <a:rPr lang="en-US" sz="28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WASKITA</a:t>
          </a:r>
          <a:r>
            <a:rPr lang="id-ID" sz="2800" baseline="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 - </a:t>
          </a:r>
          <a:r>
            <a:rPr lang="id-ID" sz="2800">
              <a:solidFill>
                <a:srgbClr val="000066"/>
              </a:solidFill>
              <a:effectLst/>
              <a:latin typeface="Arial Black"/>
              <a:ea typeface="Calibri"/>
              <a:cs typeface="Times New Roman"/>
            </a:rPr>
            <a:t>NINDYA KSO</a:t>
          </a:r>
          <a:endParaRPr lang="id-ID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846860</xdr:colOff>
      <xdr:row>19</xdr:row>
      <xdr:rowOff>45025</xdr:rowOff>
    </xdr:from>
    <xdr:to>
      <xdr:col>30</xdr:col>
      <xdr:colOff>368273</xdr:colOff>
      <xdr:row>22</xdr:row>
      <xdr:rowOff>83128</xdr:rowOff>
    </xdr:to>
    <xdr:pic>
      <xdr:nvPicPr>
        <xdr:cNvPr id="3" name="Gambar 2">
          <a:extLst>
            <a:ext uri="{FF2B5EF4-FFF2-40B4-BE49-F238E27FC236}">
              <a16:creationId xmlns:a16="http://schemas.microsoft.com/office/drawing/2014/main" id="{1A5630EB-5D18-AE49-5BB5-F7ED9A33F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45310" y="6388675"/>
          <a:ext cx="2283663" cy="106680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</xdr:row>
      <xdr:rowOff>114300</xdr:rowOff>
    </xdr:from>
    <xdr:to>
      <xdr:col>7</xdr:col>
      <xdr:colOff>361950</xdr:colOff>
      <xdr:row>5</xdr:row>
      <xdr:rowOff>14200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79A60E-45A9-7AE4-E13C-9DCF45592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438150"/>
          <a:ext cx="2266950" cy="11953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389660</xdr:colOff>
      <xdr:row>1</xdr:row>
      <xdr:rowOff>121225</xdr:rowOff>
    </xdr:from>
    <xdr:to>
      <xdr:col>7</xdr:col>
      <xdr:colOff>577823</xdr:colOff>
      <xdr:row>4</xdr:row>
      <xdr:rowOff>216478</xdr:rowOff>
    </xdr:to>
    <xdr:pic>
      <xdr:nvPicPr>
        <xdr:cNvPr id="8" name="Gambar 7">
          <a:extLst>
            <a:ext uri="{FF2B5EF4-FFF2-40B4-BE49-F238E27FC236}">
              <a16:creationId xmlns:a16="http://schemas.microsoft.com/office/drawing/2014/main" id="{757E3358-EB41-4E4A-9203-13D497E9D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385" y="440313"/>
          <a:ext cx="2326526" cy="105251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389660</xdr:colOff>
      <xdr:row>1</xdr:row>
      <xdr:rowOff>121225</xdr:rowOff>
    </xdr:from>
    <xdr:to>
      <xdr:col>7</xdr:col>
      <xdr:colOff>577823</xdr:colOff>
      <xdr:row>4</xdr:row>
      <xdr:rowOff>216478</xdr:rowOff>
    </xdr:to>
    <xdr:pic>
      <xdr:nvPicPr>
        <xdr:cNvPr id="8" name="Gambar 7">
          <a:extLst>
            <a:ext uri="{FF2B5EF4-FFF2-40B4-BE49-F238E27FC236}">
              <a16:creationId xmlns:a16="http://schemas.microsoft.com/office/drawing/2014/main" id="{1CC14CC2-F25E-47EC-8D43-9244B6315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385" y="440313"/>
          <a:ext cx="2326526" cy="105251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389660</xdr:colOff>
      <xdr:row>1</xdr:row>
      <xdr:rowOff>121225</xdr:rowOff>
    </xdr:from>
    <xdr:to>
      <xdr:col>7</xdr:col>
      <xdr:colOff>577823</xdr:colOff>
      <xdr:row>4</xdr:row>
      <xdr:rowOff>216478</xdr:rowOff>
    </xdr:to>
    <xdr:pic>
      <xdr:nvPicPr>
        <xdr:cNvPr id="8" name="Gambar 7">
          <a:extLst>
            <a:ext uri="{FF2B5EF4-FFF2-40B4-BE49-F238E27FC236}">
              <a16:creationId xmlns:a16="http://schemas.microsoft.com/office/drawing/2014/main" id="{A43501A9-7898-45CA-B20B-BA13CE1D8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385" y="440313"/>
          <a:ext cx="2326526" cy="105251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389660</xdr:colOff>
      <xdr:row>1</xdr:row>
      <xdr:rowOff>121225</xdr:rowOff>
    </xdr:from>
    <xdr:to>
      <xdr:col>7</xdr:col>
      <xdr:colOff>577823</xdr:colOff>
      <xdr:row>4</xdr:row>
      <xdr:rowOff>216478</xdr:rowOff>
    </xdr:to>
    <xdr:pic>
      <xdr:nvPicPr>
        <xdr:cNvPr id="8" name="Gambar 7">
          <a:extLst>
            <a:ext uri="{FF2B5EF4-FFF2-40B4-BE49-F238E27FC236}">
              <a16:creationId xmlns:a16="http://schemas.microsoft.com/office/drawing/2014/main" id="{32500905-99BD-483A-80BF-F194A56D2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385" y="440313"/>
          <a:ext cx="2326526" cy="105251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389660</xdr:colOff>
      <xdr:row>1</xdr:row>
      <xdr:rowOff>121225</xdr:rowOff>
    </xdr:from>
    <xdr:to>
      <xdr:col>7</xdr:col>
      <xdr:colOff>577823</xdr:colOff>
      <xdr:row>4</xdr:row>
      <xdr:rowOff>216478</xdr:rowOff>
    </xdr:to>
    <xdr:pic>
      <xdr:nvPicPr>
        <xdr:cNvPr id="8" name="Gambar 7">
          <a:extLst>
            <a:ext uri="{FF2B5EF4-FFF2-40B4-BE49-F238E27FC236}">
              <a16:creationId xmlns:a16="http://schemas.microsoft.com/office/drawing/2014/main" id="{967FF26C-2E2D-47A2-8C0F-97DFEFF48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385" y="440313"/>
          <a:ext cx="2326526" cy="105251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84675</xdr:colOff>
      <xdr:row>62</xdr:row>
      <xdr:rowOff>173372</xdr:rowOff>
    </xdr:from>
    <xdr:to>
      <xdr:col>5</xdr:col>
      <xdr:colOff>1532466</xdr:colOff>
      <xdr:row>64</xdr:row>
      <xdr:rowOff>191011</xdr:rowOff>
    </xdr:to>
    <xdr:sp macro="" textlink="">
      <xdr:nvSpPr>
        <xdr:cNvPr id="2" name="TextBox 9">
          <a:extLst>
            <a:ext uri="{FF2B5EF4-FFF2-40B4-BE49-F238E27FC236}">
              <a16:creationId xmlns:a16="http://schemas.microsoft.com/office/drawing/2014/main" id="{48504BA2-21A5-486D-BB49-DA74B4772CA0}"/>
            </a:ext>
          </a:extLst>
        </xdr:cNvPr>
        <xdr:cNvSpPr txBox="1"/>
      </xdr:nvSpPr>
      <xdr:spPr>
        <a:xfrm>
          <a:off x="686655" y="15741032"/>
          <a:ext cx="2979411" cy="4062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id-ID" sz="1200" b="1" u="sng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Stefanus Gunawan</a:t>
          </a:r>
          <a:endParaRPr lang="en-GB" sz="1200" b="1" u="sng">
            <a:solidFill>
              <a:srgbClr val="000000"/>
            </a:solidFill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id-ID" sz="1200" b="0" u="none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Kuasa KSO</a:t>
          </a:r>
          <a:endParaRPr lang="en-US" sz="1200" b="0" u="none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312382</xdr:colOff>
      <xdr:row>53</xdr:row>
      <xdr:rowOff>148164</xdr:rowOff>
    </xdr:from>
    <xdr:to>
      <xdr:col>5</xdr:col>
      <xdr:colOff>1769532</xdr:colOff>
      <xdr:row>56</xdr:row>
      <xdr:rowOff>190499</xdr:rowOff>
    </xdr:to>
    <xdr:sp macro="" textlink="">
      <xdr:nvSpPr>
        <xdr:cNvPr id="3" name="TextBox 11">
          <a:extLst>
            <a:ext uri="{FF2B5EF4-FFF2-40B4-BE49-F238E27FC236}">
              <a16:creationId xmlns:a16="http://schemas.microsoft.com/office/drawing/2014/main" id="{91F79B31-95FF-4E80-933C-44E495D98C1D}"/>
            </a:ext>
          </a:extLst>
        </xdr:cNvPr>
        <xdr:cNvSpPr txBox="1"/>
      </xdr:nvSpPr>
      <xdr:spPr>
        <a:xfrm>
          <a:off x="510502" y="14001324"/>
          <a:ext cx="3392630" cy="606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en-GB" sz="1200" b="1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PIHAK PERTAMA</a:t>
          </a:r>
        </a:p>
        <a:p>
          <a:pPr marL="180340" marR="0" algn="ctr">
            <a:spcBef>
              <a:spcPts val="0"/>
            </a:spcBef>
            <a:spcAft>
              <a:spcPts val="0"/>
            </a:spcAft>
          </a:pPr>
          <a:r>
            <a:rPr lang="en-GB" sz="1200" b="1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W</a:t>
          </a:r>
          <a:r>
            <a:rPr lang="id-ID" sz="1200" b="1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ASKITA -</a:t>
          </a:r>
          <a:r>
            <a:rPr lang="id-ID" sz="1200" b="1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NINDYA KSO</a:t>
          </a:r>
          <a:endParaRPr lang="en-US" sz="1200" b="1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refreshOnLoad="1" mc:Ignorable="xr" r:id="rId1" refreshedBy="joko supriyono" refreshedDate="46230.300587268517" createdVersion="8" refreshedVersion="8" minRefreshableVersion="3" recordCount="154" xr:uid="{C0B5572F-3E16-48AE-8E36-DC88D1D6D3F5}">
  <cacheSource type="worksheet">
    <worksheetSource ref="A1:T16" sheet="REKAP PROGRES"/>
  </cacheSource>
  <cacheFields count="20">
    <cacheField name="KODE" numFmtId="0">
      <sharedItems containsMixedTypes="1" containsNumber="1" containsInteger="1" minValue="1" maxValue="6"/>
    </cacheField>
    <cacheField name="TAHAP" numFmtId="0">
      <sharedItems count="4">
        <s v="TAHAP DED"/>
        <s v="TAHAP PELAKSANAAN (PENDAMPINGAN KONSTRUKSI)"/>
        <s v="TAHAP SURVEY"/>
        <s v="TAHAP BIM"/>
      </sharedItems>
    </cacheField>
    <cacheField name="KELOMPOK" numFmtId="0">
      <sharedItems count="24">
        <s v=""/>
        <s v="TENAGA AHLI"/>
        <s v="TENAGA PENDUKUNG"/>
        <s v="PROFESSIONAL INDEMNITY INSURANCE (PII)"/>
        <s v="PEMBUATAN LAPORAN"/>
        <s v="BIAYA PENUNJANG"/>
        <s v="BIAYA LANGSUNG PERSONIL"/>
        <s v="BIAYA LANGSUNG NON PERSONIL"/>
        <s v="Persiapan Penyelidikan Tanah"/>
        <s v="Persiapan dan Peralatan Penyelidikan Tanah di Laut"/>
        <s v="Penyelidikan Tanah di Laut / Perairan"/>
        <s v="Persiapan dan Peralatan Penyelidikan Tanah di Darat"/>
        <s v="Penyelidikan Tanah di Darat"/>
        <s v="Pengujian Laboratorium"/>
        <s v="Persiapan Bathymetri"/>
        <s v="Survey Bathymetri"/>
        <s v="Persiapan Hidrooceanografi"/>
        <s v="Survey Hidrooceanografi"/>
        <s v="Persiapan Topografi"/>
        <s v="Survey Topografi"/>
        <s v="Persiapan GPR"/>
        <s v="Survey GPR"/>
        <s v="BIM KEGIATAN DESIGN"/>
        <s v="BIM KEGIATAN KONSTRUKSI"/>
      </sharedItems>
    </cacheField>
    <cacheField name="URAIAN" numFmtId="0">
      <sharedItems count="110">
        <s v="TAHAP DED"/>
        <s v="TENAGA AHLI"/>
        <s v="Team Leader - Tenaga Ahli Geotek (S3 ≥ 10 Tahun) Ahli Utama"/>
        <s v="Lead Geotechnical Engineer- Tenaga Ahli Geotek (S3 ≥ 10 Tahun) Ahli Utama"/>
        <s v="Lead Structural Engineer - Tenaga Ahli Dermaga (S3 ≥ 10 Tahun) Ahli Utama"/>
        <s v="Lead Mechanical and Electrical - Tenaga Ahli Mekanikal / Tenaga Listrik (S1 ≥ 7 Tahun) Ahli Madya"/>
        <s v="TENAGA PENDUKUNG"/>
        <s v="Asisten Ahli Dermaga - (S2 ≥ 6 Tahun) Ahli Madya"/>
        <s v="Asisten Ahli Geotek - (S2 ≥ 5 Tahun) Ahli Madya"/>
        <s v="Drafter (S1 ≥ 1 Tahun)"/>
        <s v="Cost Estimator (S1 ≥ 1 Tahun)"/>
        <s v="Tenaga Administrasi (S1 ≥ 1 Tahun)"/>
        <s v="PROFESSIONAL INDEMNITY INSURANCE (PII)"/>
        <s v="PEMBUATAN LAPORAN"/>
        <s v="Laporan Pendahuluan"/>
        <s v="Laporan Draft Final"/>
        <s v="Laporan Final"/>
        <s v="Hard Disk 1TB"/>
        <s v="BIAYA PENUNJANG"/>
        <s v="Telepon dan Komunikasi"/>
        <s v="Sewa Laptop untuk (tenaga pendukung)"/>
        <s v="Sewa Printer A3 colour"/>
        <s v="Sewa Kendaraan Roda 4 (2 unit)"/>
        <s v="Operation &amp; Maintenance Kendaraan Roda 4"/>
        <s v="Tunjangan Perumahan:"/>
        <s v="Team Leader - Tenaga Ahli Geotek"/>
        <s v="Lead Geotechnical Engineer- Tenaga Ahli Geotek"/>
        <s v="Lead Structural Engineer - Tenaga Ahli Dermaga"/>
        <s v="Lead Mechanical and Electrical - Tenaga Ahli Mekanikal / Tenaga Listrik"/>
        <s v="Asisten Ahli Dermaga"/>
        <s v="Asisten Ahli Geotek"/>
        <s v="Drafter"/>
        <s v="Cost Estimator"/>
        <s v="Tenaga Administrasi"/>
        <s v="Transportasi Personil Tim Ahli (Pulang-pergi)"/>
        <s v="Transportasi Personil Tim Pendukung (Pulang-pergi)"/>
        <s v="Akomodasi Tenaga Ahli (Uang Makan)"/>
        <s v="Akomodasi Tim Pendukung (Uang Makan)"/>
        <s v="APD"/>
        <s v="Sewa Software Analisa Struktur"/>
        <s v="Sewa Software Autodesk"/>
        <s v="Office Consumable"/>
        <s v="TAHAP PELAKSANAAN (PENDAMPINGAN KONSTRUKSI)"/>
        <s v="BIAYA LANGSUNG PERSONIL"/>
        <s v="Lead Geophysics Engineer - Tenaga Ahli Geofisika (S1 ≥ 7 Tahun) Ahli Madya"/>
        <s v="Asisten Ahli"/>
        <s v="BIAYA LANGSUNG NON PERSONIL"/>
        <s v="Transportasi Personil (Pulang-pergi)"/>
        <s v="Akomodasi Personil (Uang Makan + Penginapan)"/>
        <s v="TAHAP SURVEY"/>
        <s v="Persiapan Penyelidikan Tanah"/>
        <s v="Mobilisasi dan Demobilisasi Peralatan (incl Operator)"/>
        <s v="Keamanan"/>
        <s v="Persiapan dan Peralatan Penyelidikan Tanah di Laut"/>
        <s v="Bagan / Platform (On Water Boring)"/>
        <s v="Moving, Positioning, Setup Mesin Bor"/>
        <s v="Sewa Perahu"/>
        <s v="Penyelidikan Tanah di Laut / Perairan"/>
        <s v="Pengeboran Dalam (Boring) 22 Titik @ 60m"/>
        <s v="Standard Penetration Test Interval 2 m"/>
        <s v="Sampling Interval 5 m"/>
        <s v="Core Box"/>
        <s v="Persiapan dan Peralatan Penyelidikan Tanah di Darat"/>
        <s v="Penyelidikan Tanah di Darat"/>
        <s v="Pengeboran Dalam (Boring) 20 Titik @ 60m"/>
        <s v="Pengujian Laboratorium"/>
        <s v="Index Properties Test"/>
        <s v="Volumetri &amp; Gravimetri (Water Content, Bulk Density &amp; Dry Density, Specific Gravity, Void Ratio, &amp; Porositas Tanah)"/>
        <s v="Atterberg Limit (PL, LL, IP)"/>
        <s v="Grain Size Analysis (GSA) inc. Hydrometer Analysis"/>
        <s v="Engineering Properties Test"/>
        <s v="Triaxial Test UU/UCT/Direct Shear"/>
        <s v="Vane Shear Test"/>
        <s v="Persiapan Bathymetri"/>
        <s v="Survey Bathymetri"/>
        <s v="Pelaporan"/>
        <s v="Persiapan Hidrooceanografi"/>
        <s v="Survey Hidrooceanografi"/>
        <s v="Survey Pasang Surut"/>
        <s v="Survey Kecepatan Arus dan Gelombang"/>
        <s v="Persiapan Topografi"/>
        <s v="Survey Topografi"/>
        <s v="Persiapan GPR"/>
        <s v="Survey GPR"/>
        <s v="TAHAP BIM"/>
        <s v="BIM KEGIATAN DESIGN"/>
        <s v="Pembuatan BIM Execution Plan v.1.0"/>
        <s v="Pemetaan Photogrametry Tahap Awal"/>
        <s v="Permodelan LOD 200 (dari Gambar Tender)"/>
        <s v="Permodelan LOD 300 (dari T.A Struktur)"/>
        <s v="Pemodelan federasi (STR-MEP)"/>
        <s v="Permodelan konsolidasi dan Clash Detection"/>
        <s v="Informasi aset manajemen (Assembly code berbasis kode rab, dll)"/>
        <s v="Permodelan LOD 400 (dari T.A Struktur)"/>
        <s v="Dokumentasi gambar 2D Construction Drawing"/>
        <s v="Informasi Assembly code berbasis kode rab"/>
        <s v="Quantity Take off LOD 400"/>
        <s v="Training BIM CDE Perencanaan"/>
        <s v="BIM KEGIATAN KONSTRUKSI"/>
        <s v="Update BIM Execution Plan v.2.0"/>
        <s v="Update BIM Model LOD 500"/>
        <s v="Pemodelan Federasi Model (STR-MEP)"/>
        <s v="Dokumentasi gambar 2D Shopdrawing dan asbuilt"/>
        <s v="BIM Model 4D-5D"/>
        <s v="Schedule level 1-2 ra-ri"/>
        <s v="Schedule level 3-4 ra-ri"/>
        <s v="Pemetaan Photogrametry"/>
        <s v="Progress Training CDE"/>
        <s v="Pelaksanaan Dashboard Project"/>
        <s v=""/>
      </sharedItems>
    </cacheField>
    <cacheField name="SATUAN" numFmtId="0">
      <sharedItems/>
    </cacheField>
    <cacheField name="VOL KONTRAK" numFmtId="3">
      <sharedItems containsMixedTypes="1" containsNumber="1" containsInteger="1" minValue="1" maxValue="1320"/>
    </cacheField>
    <cacheField name="HARGA SATUAN" numFmtId="3">
      <sharedItems containsMixedTypes="1" containsNumber="1" containsInteger="1" minValue="122000" maxValue="1539524500"/>
    </cacheField>
    <cacheField name="JUMLAH HARGA" numFmtId="3">
      <sharedItems containsMixedTypes="1" containsNumber="1" containsInteger="1" minValue="244000" maxValue="1920424000"/>
    </cacheField>
    <cacheField name="BOBOT %" numFmtId="176">
      <sharedItems containsMixedTypes="1" containsNumber="1" minValue="9.7186525757356865E-6" maxValue="7.6491531369281274E-2"/>
    </cacheField>
    <cacheField name="TERMIN 1" numFmtId="4">
      <sharedItems containsSemiMixedTypes="0" containsString="0" containsNumber="1" minValue="0" maxValue="480"/>
    </cacheField>
    <cacheField name="TERMIN 2" numFmtId="4">
      <sharedItems containsSemiMixedTypes="0" containsString="0" containsNumber="1" containsInteger="1" minValue="0" maxValue="0"/>
    </cacheField>
    <cacheField name="TERMIN 3" numFmtId="4">
      <sharedItems containsSemiMixedTypes="0" containsString="0" containsNumber="1" containsInteger="1" minValue="0" maxValue="0"/>
    </cacheField>
    <cacheField name="TERMIN 4" numFmtId="4">
      <sharedItems containsSemiMixedTypes="0" containsString="0" containsNumber="1" containsInteger="1" minValue="0" maxValue="0"/>
    </cacheField>
    <cacheField name="TERMIN 5" numFmtId="4">
      <sharedItems containsSemiMixedTypes="0" containsString="0" containsNumber="1" containsInteger="1" minValue="0" maxValue="0"/>
    </cacheField>
    <cacheField name="TERMIN 6" numFmtId="4">
      <sharedItems containsSemiMixedTypes="0" containsString="0" containsNumber="1" containsInteger="1" minValue="0" maxValue="0"/>
    </cacheField>
    <cacheField name="VOL TERPAKAI" numFmtId="4">
      <sharedItems containsSemiMixedTypes="0" containsString="0" containsNumber="1" minValue="0" maxValue="480"/>
    </cacheField>
    <cacheField name="SISA VOL" numFmtId="4">
      <sharedItems containsMixedTypes="1" containsNumber="1" minValue="0" maxValue="840"/>
    </cacheField>
    <cacheField name="% PENYELESAIAN" numFmtId="10">
      <sharedItems containsSemiMixedTypes="0" containsString="0" containsNumber="1" minValue="0" maxValue="1"/>
    </cacheField>
    <cacheField name="BOBOT TERPAKAI" numFmtId="10">
      <sharedItems containsSemiMixedTypes="0" containsString="0" containsNumber="1" minValue="0" maxValue="1.1643264430078099E-2"/>
    </cacheField>
    <cacheField name="STATUS" numFmtId="0">
      <sharedItems count="4">
        <s v=""/>
        <s v="BERJALAN"/>
        <s v="BELUM MULAI"/>
        <s v="SELESAI 100%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s v="I"/>
    <x v="0"/>
    <x v="0"/>
    <x v="0"/>
    <s v=""/>
    <s v=""/>
    <s v=""/>
    <s v=""/>
    <s v=""/>
    <n v="0"/>
    <n v="0"/>
    <n v="0"/>
    <n v="0"/>
    <n v="0"/>
    <n v="0"/>
    <n v="0"/>
    <s v=""/>
    <n v="0"/>
    <n v="0"/>
    <x v="0"/>
  </r>
  <r>
    <n v="1"/>
    <x v="0"/>
    <x v="1"/>
    <x v="1"/>
    <s v=""/>
    <s v=""/>
    <s v=""/>
    <s v=""/>
    <s v=""/>
    <n v="0"/>
    <n v="0"/>
    <n v="0"/>
    <n v="0"/>
    <n v="0"/>
    <n v="0"/>
    <n v="0"/>
    <s v=""/>
    <n v="0"/>
    <n v="0"/>
    <x v="0"/>
  </r>
  <r>
    <s v="a."/>
    <x v="0"/>
    <x v="1"/>
    <x v="2"/>
    <s v="Orang/Bulan"/>
    <n v="6"/>
    <n v="58194000"/>
    <n v="349164000"/>
    <n v="1.3907391835877768E-2"/>
    <n v="2"/>
    <n v="0"/>
    <n v="0"/>
    <n v="0"/>
    <n v="0"/>
    <n v="0"/>
    <n v="2"/>
    <n v="4"/>
    <n v="0.33333333333333331"/>
    <n v="4.6357972786259223E-3"/>
    <x v="1"/>
  </r>
  <r>
    <s v="b."/>
    <x v="0"/>
    <x v="1"/>
    <x v="3"/>
    <s v="Orang/Bulan"/>
    <n v="6"/>
    <n v="58194000"/>
    <n v="349164000"/>
    <n v="1.3907391835877768E-2"/>
    <n v="2"/>
    <n v="0"/>
    <n v="0"/>
    <n v="0"/>
    <n v="0"/>
    <n v="0"/>
    <n v="2"/>
    <n v="4"/>
    <n v="0.33333333333333331"/>
    <n v="4.6357972786259223E-3"/>
    <x v="1"/>
  </r>
  <r>
    <s v="c."/>
    <x v="0"/>
    <x v="1"/>
    <x v="4"/>
    <s v="Orang/Bulan"/>
    <n v="6"/>
    <n v="58194000"/>
    <n v="349164000"/>
    <n v="1.3907391835877768E-2"/>
    <n v="2"/>
    <n v="0"/>
    <n v="0"/>
    <n v="0"/>
    <n v="0"/>
    <n v="0"/>
    <n v="2"/>
    <n v="4"/>
    <n v="0.33333333333333331"/>
    <n v="4.6357972786259223E-3"/>
    <x v="1"/>
  </r>
  <r>
    <s v="d."/>
    <x v="0"/>
    <x v="1"/>
    <x v="5"/>
    <s v="Orang/Bulan"/>
    <n v="6"/>
    <n v="58194000"/>
    <n v="349164000"/>
    <n v="1.3907391835877768E-2"/>
    <n v="0"/>
    <n v="0"/>
    <n v="0"/>
    <n v="0"/>
    <n v="0"/>
    <n v="0"/>
    <n v="0"/>
    <n v="6"/>
    <n v="0"/>
    <n v="0"/>
    <x v="2"/>
  </r>
  <r>
    <n v="2"/>
    <x v="0"/>
    <x v="2"/>
    <x v="6"/>
    <s v=""/>
    <s v=""/>
    <s v=""/>
    <s v=""/>
    <s v=""/>
    <n v="0"/>
    <n v="0"/>
    <n v="0"/>
    <n v="0"/>
    <n v="0"/>
    <n v="0"/>
    <n v="0"/>
    <s v=""/>
    <n v="0"/>
    <n v="0"/>
    <x v="0"/>
  </r>
  <r>
    <s v="a."/>
    <x v="0"/>
    <x v="2"/>
    <x v="7"/>
    <s v="Orang/Bulan"/>
    <n v="6"/>
    <n v="38376000"/>
    <n v="230256000"/>
    <n v="9.1712215880270335E-3"/>
    <n v="2"/>
    <n v="0"/>
    <n v="0"/>
    <n v="0"/>
    <n v="0"/>
    <n v="0"/>
    <n v="2"/>
    <n v="4"/>
    <n v="0.33333333333333331"/>
    <n v="3.0570738626756778E-3"/>
    <x v="1"/>
  </r>
  <r>
    <s v="b."/>
    <x v="0"/>
    <x v="2"/>
    <x v="8"/>
    <s v="Orang/Bulan"/>
    <n v="6"/>
    <n v="32204000"/>
    <n v="193224000"/>
    <n v="7.6962169069424279E-3"/>
    <n v="2"/>
    <n v="0"/>
    <n v="0"/>
    <n v="0"/>
    <n v="0"/>
    <n v="0"/>
    <n v="2"/>
    <n v="4"/>
    <n v="0.33333333333333331"/>
    <n v="2.5654056356474758E-3"/>
    <x v="1"/>
  </r>
  <r>
    <s v="c."/>
    <x v="0"/>
    <x v="2"/>
    <x v="9"/>
    <s v="Orang/Bulan"/>
    <n v="12"/>
    <n v="10477000"/>
    <n v="125724000"/>
    <n v="5.0076552312778421E-3"/>
    <n v="4"/>
    <n v="0"/>
    <n v="0"/>
    <n v="0"/>
    <n v="0"/>
    <n v="0"/>
    <n v="4"/>
    <n v="8"/>
    <n v="0.33333333333333331"/>
    <n v="1.6692184104259472E-3"/>
    <x v="1"/>
  </r>
  <r>
    <s v="d."/>
    <x v="0"/>
    <x v="2"/>
    <x v="10"/>
    <s v="Orang/Bulan"/>
    <n v="12"/>
    <n v="12142000"/>
    <n v="145704000"/>
    <n v="5.8034694872745596E-3"/>
    <n v="4"/>
    <n v="0"/>
    <n v="0"/>
    <n v="0"/>
    <n v="0"/>
    <n v="0"/>
    <n v="4"/>
    <n v="8"/>
    <n v="0.33333333333333331"/>
    <n v="1.9344898290915198E-3"/>
    <x v="1"/>
  </r>
  <r>
    <s v="e."/>
    <x v="0"/>
    <x v="2"/>
    <x v="11"/>
    <s v="Orang/Bulan"/>
    <n v="6"/>
    <n v="6010000"/>
    <n v="36060000"/>
    <n v="1.4362893929550364E-3"/>
    <n v="2"/>
    <n v="0"/>
    <n v="0"/>
    <n v="0"/>
    <n v="0"/>
    <n v="0"/>
    <n v="2"/>
    <n v="4"/>
    <n v="0.33333333333333331"/>
    <n v="4.7876313098501211E-4"/>
    <x v="1"/>
  </r>
  <r>
    <n v="3"/>
    <x v="0"/>
    <x v="3"/>
    <x v="12"/>
    <s v="Orang/Bulan"/>
    <n v="1"/>
    <n v="234040000"/>
    <n v="234040000"/>
    <n v="9.3219403640376237E-3"/>
    <n v="0.107144505212784"/>
    <n v="0"/>
    <n v="0"/>
    <n v="0"/>
    <n v="0"/>
    <n v="0"/>
    <n v="0.107144505212784"/>
    <n v="0.89285549478721604"/>
    <n v="0.107144505212784"/>
    <n v="9.9879468792789076E-4"/>
    <x v="1"/>
  </r>
  <r>
    <n v="1"/>
    <x v="0"/>
    <x v="4"/>
    <x v="13"/>
    <s v=""/>
    <s v=""/>
    <s v=""/>
    <s v=""/>
    <s v=""/>
    <n v="0"/>
    <n v="0"/>
    <n v="0"/>
    <n v="0"/>
    <n v="0"/>
    <n v="0"/>
    <n v="0"/>
    <s v=""/>
    <n v="0"/>
    <n v="0"/>
    <x v="0"/>
  </r>
  <r>
    <s v="a."/>
    <x v="0"/>
    <x v="4"/>
    <x v="14"/>
    <s v="set"/>
    <n v="2"/>
    <n v="122000"/>
    <n v="244000"/>
    <n v="9.7186525757356865E-6"/>
    <n v="2"/>
    <n v="0"/>
    <n v="0"/>
    <n v="0"/>
    <n v="0"/>
    <n v="0"/>
    <n v="2"/>
    <n v="0"/>
    <n v="1"/>
    <n v="9.7186525757356865E-6"/>
    <x v="3"/>
  </r>
  <r>
    <s v="b."/>
    <x v="0"/>
    <x v="4"/>
    <x v="15"/>
    <s v="set"/>
    <n v="2"/>
    <n v="325000"/>
    <n v="650000"/>
    <n v="2.5889853173066381E-5"/>
    <n v="0"/>
    <n v="0"/>
    <n v="0"/>
    <n v="0"/>
    <n v="0"/>
    <n v="0"/>
    <n v="0"/>
    <n v="2"/>
    <n v="0"/>
    <n v="0"/>
    <x v="2"/>
  </r>
  <r>
    <s v="c."/>
    <x v="0"/>
    <x v="4"/>
    <x v="16"/>
    <s v="set"/>
    <n v="2"/>
    <n v="406000"/>
    <n v="812000"/>
    <n v="3.2342401194661385E-5"/>
    <n v="0"/>
    <n v="0"/>
    <n v="0"/>
    <n v="0"/>
    <n v="0"/>
    <n v="0"/>
    <n v="0"/>
    <n v="2"/>
    <n v="0"/>
    <n v="0"/>
    <x v="2"/>
  </r>
  <r>
    <s v="d."/>
    <x v="0"/>
    <x v="4"/>
    <x v="17"/>
    <s v="buah"/>
    <n v="1"/>
    <n v="812000"/>
    <n v="812000"/>
    <n v="3.2342401194661385E-5"/>
    <n v="1"/>
    <n v="0"/>
    <n v="0"/>
    <n v="0"/>
    <n v="0"/>
    <n v="0"/>
    <n v="1"/>
    <n v="0"/>
    <n v="1"/>
    <n v="3.2342401194661385E-5"/>
    <x v="3"/>
  </r>
  <r>
    <n v="2"/>
    <x v="0"/>
    <x v="5"/>
    <x v="18"/>
    <s v=""/>
    <s v=""/>
    <s v=""/>
    <s v=""/>
    <s v=""/>
    <n v="0"/>
    <n v="0"/>
    <n v="0"/>
    <n v="0"/>
    <n v="0"/>
    <n v="0"/>
    <n v="0"/>
    <s v=""/>
    <n v="0"/>
    <n v="0"/>
    <x v="0"/>
  </r>
  <r>
    <s v="a."/>
    <x v="0"/>
    <x v="5"/>
    <x v="19"/>
    <s v="Bulan"/>
    <n v="6"/>
    <n v="3249000"/>
    <n v="19494000"/>
    <n v="7.7645661193193234E-4"/>
    <n v="2"/>
    <n v="0"/>
    <n v="0"/>
    <n v="0"/>
    <n v="0"/>
    <n v="0"/>
    <n v="2"/>
    <n v="4"/>
    <n v="0.33333333333333331"/>
    <n v="2.5881887064397745E-4"/>
    <x v="1"/>
  </r>
  <r>
    <s v="b."/>
    <x v="0"/>
    <x v="5"/>
    <x v="20"/>
    <s v="Bulan"/>
    <n v="42"/>
    <n v="1624000"/>
    <n v="68208000"/>
    <n v="2.7167617003515565E-3"/>
    <n v="14"/>
    <n v="0"/>
    <n v="0"/>
    <n v="0"/>
    <n v="0"/>
    <n v="0"/>
    <n v="14"/>
    <n v="28"/>
    <n v="0.33333333333333331"/>
    <n v="9.0558723345051881E-4"/>
    <x v="1"/>
  </r>
  <r>
    <s v="c."/>
    <x v="0"/>
    <x v="5"/>
    <x v="21"/>
    <s v="Bulan"/>
    <n v="12"/>
    <n v="772000"/>
    <n v="9264000"/>
    <n v="3.6899015353121067E-4"/>
    <n v="4"/>
    <n v="0"/>
    <n v="0"/>
    <n v="0"/>
    <n v="0"/>
    <n v="0"/>
    <n v="4"/>
    <n v="8"/>
    <n v="0.33333333333333331"/>
    <n v="1.2299671784373687E-4"/>
    <x v="1"/>
  </r>
  <r>
    <s v="d."/>
    <x v="0"/>
    <x v="5"/>
    <x v="22"/>
    <s v="Bulan"/>
    <n v="12"/>
    <n v="8366000"/>
    <n v="100392000"/>
    <n v="3.9986679073084307E-3"/>
    <n v="4"/>
    <n v="0"/>
    <n v="0"/>
    <n v="0"/>
    <n v="0"/>
    <n v="0"/>
    <n v="4"/>
    <n v="8"/>
    <n v="0.33333333333333331"/>
    <n v="1.3328893024361435E-3"/>
    <x v="1"/>
  </r>
  <r>
    <s v="e."/>
    <x v="0"/>
    <x v="5"/>
    <x v="23"/>
    <s v="Bulan"/>
    <n v="12"/>
    <n v="6092000"/>
    <n v="73104000"/>
    <n v="2.9117720405597608E-3"/>
    <n v="4"/>
    <n v="0"/>
    <n v="0"/>
    <n v="0"/>
    <n v="0"/>
    <n v="0"/>
    <n v="4"/>
    <n v="8"/>
    <n v="0.33333333333333331"/>
    <n v="9.7059068018658687E-4"/>
    <x v="1"/>
  </r>
  <r>
    <s v="f."/>
    <x v="0"/>
    <x v="5"/>
    <x v="24"/>
    <s v=""/>
    <s v=""/>
    <s v=""/>
    <s v=""/>
    <s v=""/>
    <n v="0"/>
    <n v="0"/>
    <n v="0"/>
    <n v="0"/>
    <n v="0"/>
    <n v="0"/>
    <n v="0"/>
    <s v=""/>
    <n v="0"/>
    <n v="0"/>
    <x v="0"/>
  </r>
  <r>
    <s v="1)"/>
    <x v="0"/>
    <x v="5"/>
    <x v="25"/>
    <s v="Bulan"/>
    <n v="6"/>
    <n v="4467000"/>
    <n v="26802000"/>
    <n v="1.0675382226838848E-3"/>
    <n v="2"/>
    <n v="0"/>
    <n v="0"/>
    <n v="0"/>
    <n v="0"/>
    <n v="0"/>
    <n v="2"/>
    <n v="4"/>
    <n v="0.33333333333333331"/>
    <n v="3.5584607422796161E-4"/>
    <x v="1"/>
  </r>
  <r>
    <s v="2)"/>
    <x v="0"/>
    <x v="5"/>
    <x v="26"/>
    <s v="Bulan"/>
    <n v="6"/>
    <n v="4467000"/>
    <n v="26802000"/>
    <n v="1.0675382226838848E-3"/>
    <n v="2"/>
    <n v="0"/>
    <n v="0"/>
    <n v="0"/>
    <n v="0"/>
    <n v="0"/>
    <n v="2"/>
    <n v="4"/>
    <n v="0.33333333333333331"/>
    <n v="3.5584607422796161E-4"/>
    <x v="1"/>
  </r>
  <r>
    <s v="3)"/>
    <x v="0"/>
    <x v="5"/>
    <x v="27"/>
    <s v="Bulan"/>
    <n v="6"/>
    <n v="4467000"/>
    <n v="26802000"/>
    <n v="1.0675382226838848E-3"/>
    <n v="2"/>
    <n v="0"/>
    <n v="0"/>
    <n v="0"/>
    <n v="0"/>
    <n v="0"/>
    <n v="2"/>
    <n v="4"/>
    <n v="0.33333333333333331"/>
    <n v="3.5584607422796161E-4"/>
    <x v="1"/>
  </r>
  <r>
    <s v="4)"/>
    <x v="0"/>
    <x v="5"/>
    <x v="28"/>
    <s v="Bulan"/>
    <n v="6"/>
    <n v="4467000"/>
    <n v="26802000"/>
    <n v="1.0675382226838848E-3"/>
    <n v="2"/>
    <n v="0"/>
    <n v="0"/>
    <n v="0"/>
    <n v="0"/>
    <n v="0"/>
    <n v="2"/>
    <n v="4"/>
    <n v="0.33333333333333331"/>
    <n v="3.5584607422796161E-4"/>
    <x v="1"/>
  </r>
  <r>
    <s v="5)"/>
    <x v="0"/>
    <x v="5"/>
    <x v="29"/>
    <s v="Bulan"/>
    <n v="6"/>
    <n v="3249000"/>
    <n v="19494000"/>
    <n v="7.7645661193193234E-4"/>
    <n v="2"/>
    <n v="0"/>
    <n v="0"/>
    <n v="0"/>
    <n v="0"/>
    <n v="0"/>
    <n v="2"/>
    <n v="4"/>
    <n v="0.33333333333333331"/>
    <n v="2.5881887064397745E-4"/>
    <x v="1"/>
  </r>
  <r>
    <s v="6)"/>
    <x v="0"/>
    <x v="5"/>
    <x v="30"/>
    <s v="Bulan"/>
    <n v="6"/>
    <n v="3249000"/>
    <n v="19494000"/>
    <n v="7.7645661193193234E-4"/>
    <n v="2"/>
    <n v="0"/>
    <n v="0"/>
    <n v="0"/>
    <n v="0"/>
    <n v="0"/>
    <n v="2"/>
    <n v="4"/>
    <n v="0.33333333333333331"/>
    <n v="2.5881887064397745E-4"/>
    <x v="1"/>
  </r>
  <r>
    <s v="7)"/>
    <x v="0"/>
    <x v="5"/>
    <x v="31"/>
    <s v="Bulan"/>
    <n v="12"/>
    <n v="3249000"/>
    <n v="38988000"/>
    <n v="1.5529132238638647E-3"/>
    <n v="4"/>
    <n v="0"/>
    <n v="0"/>
    <n v="0"/>
    <n v="0"/>
    <n v="0"/>
    <n v="4"/>
    <n v="8"/>
    <n v="0.33333333333333331"/>
    <n v="5.1763774128795489E-4"/>
    <x v="1"/>
  </r>
  <r>
    <s v="8)"/>
    <x v="0"/>
    <x v="5"/>
    <x v="32"/>
    <s v="Bulan"/>
    <n v="12"/>
    <n v="3249000"/>
    <n v="38988000"/>
    <n v="1.5529132238638647E-3"/>
    <n v="4"/>
    <n v="0"/>
    <n v="0"/>
    <n v="0"/>
    <n v="0"/>
    <n v="0"/>
    <n v="4"/>
    <n v="8"/>
    <n v="0.33333333333333331"/>
    <n v="5.1763774128795489E-4"/>
    <x v="1"/>
  </r>
  <r>
    <s v="9)"/>
    <x v="0"/>
    <x v="5"/>
    <x v="33"/>
    <s v="Bulan"/>
    <n v="6"/>
    <n v="3249000"/>
    <n v="19494000"/>
    <n v="7.7645661193193234E-4"/>
    <n v="2"/>
    <n v="0"/>
    <n v="0"/>
    <n v="0"/>
    <n v="0"/>
    <n v="0"/>
    <n v="2"/>
    <n v="4"/>
    <n v="0.33333333333333331"/>
    <n v="2.5881887064397745E-4"/>
    <x v="1"/>
  </r>
  <r>
    <s v="g."/>
    <x v="0"/>
    <x v="5"/>
    <x v="34"/>
    <s v="Trip"/>
    <n v="48"/>
    <n v="3249000"/>
    <n v="155952000"/>
    <n v="6.2116528954554587E-3"/>
    <n v="16"/>
    <n v="0"/>
    <n v="0"/>
    <n v="0"/>
    <n v="0"/>
    <n v="0"/>
    <n v="16"/>
    <n v="32"/>
    <n v="0.33333333333333331"/>
    <n v="2.0705509651518196E-3"/>
    <x v="1"/>
  </r>
  <r>
    <s v="h."/>
    <x v="0"/>
    <x v="5"/>
    <x v="35"/>
    <s v="Trip"/>
    <n v="42"/>
    <n v="2437000"/>
    <n v="102354000"/>
    <n v="4.0768154333477484E-3"/>
    <n v="14"/>
    <n v="0"/>
    <n v="0"/>
    <n v="0"/>
    <n v="0"/>
    <n v="0"/>
    <n v="14"/>
    <n v="28"/>
    <n v="0.33333333333333331"/>
    <n v="1.3589384777825827E-3"/>
    <x v="1"/>
  </r>
  <r>
    <s v="i."/>
    <x v="0"/>
    <x v="5"/>
    <x v="36"/>
    <s v="Bulan"/>
    <n v="24"/>
    <n v="2193000"/>
    <n v="52632000"/>
    <n v="2.0963611572381996E-3"/>
    <n v="8"/>
    <n v="0"/>
    <n v="0"/>
    <n v="0"/>
    <n v="0"/>
    <n v="0"/>
    <n v="8"/>
    <n v="16"/>
    <n v="0.33333333333333331"/>
    <n v="6.987870524127332E-4"/>
    <x v="1"/>
  </r>
  <r>
    <s v="j."/>
    <x v="0"/>
    <x v="5"/>
    <x v="37"/>
    <s v="Bulan"/>
    <n v="42"/>
    <n v="1462000"/>
    <n v="61404000"/>
    <n v="2.4457546834445662E-3"/>
    <n v="14"/>
    <n v="0"/>
    <n v="0"/>
    <n v="0"/>
    <n v="0"/>
    <n v="0"/>
    <n v="14"/>
    <n v="28"/>
    <n v="0.33333333333333331"/>
    <n v="8.152515611481887E-4"/>
    <x v="1"/>
  </r>
  <r>
    <s v="k."/>
    <x v="0"/>
    <x v="5"/>
    <x v="38"/>
    <s v="Orang"/>
    <n v="11"/>
    <n v="2234000"/>
    <n v="24574000"/>
    <n v="9.7879577211528184E-4"/>
    <n v="11"/>
    <n v="0"/>
    <n v="0"/>
    <n v="0"/>
    <n v="0"/>
    <n v="0"/>
    <n v="11"/>
    <n v="0"/>
    <n v="1"/>
    <n v="9.7879577211528184E-4"/>
    <x v="3"/>
  </r>
  <r>
    <s v="l."/>
    <x v="0"/>
    <x v="5"/>
    <x v="39"/>
    <s v="Unit-Bulan"/>
    <n v="6"/>
    <n v="16244000"/>
    <n v="97464000"/>
    <n v="3.8820440763996026E-3"/>
    <n v="2"/>
    <n v="0"/>
    <n v="0"/>
    <n v="0"/>
    <n v="0"/>
    <n v="0"/>
    <n v="2"/>
    <n v="4"/>
    <n v="0.33333333333333331"/>
    <n v="1.2940146921332008E-3"/>
    <x v="1"/>
  </r>
  <r>
    <s v="m."/>
    <x v="0"/>
    <x v="5"/>
    <x v="40"/>
    <s v="Unit-Bulan"/>
    <n v="18"/>
    <n v="1462000"/>
    <n v="26316000"/>
    <n v="1.0481805786190998E-3"/>
    <n v="6"/>
    <n v="0"/>
    <n v="0"/>
    <n v="0"/>
    <n v="0"/>
    <n v="0"/>
    <n v="6"/>
    <n v="12"/>
    <n v="0.33333333333333331"/>
    <n v="3.493935262063666E-4"/>
    <x v="1"/>
  </r>
  <r>
    <s v="n."/>
    <x v="0"/>
    <x v="5"/>
    <x v="41"/>
    <s v="Bulan"/>
    <n v="3"/>
    <n v="2843000"/>
    <n v="8529000"/>
    <n v="3.3971470417397409E-4"/>
    <n v="2"/>
    <n v="0"/>
    <n v="0"/>
    <n v="0"/>
    <n v="0"/>
    <n v="0"/>
    <n v="2"/>
    <n v="1"/>
    <n v="0.66666666666666663"/>
    <n v="2.2647646944931604E-4"/>
    <x v="1"/>
  </r>
  <r>
    <s v="II"/>
    <x v="1"/>
    <x v="0"/>
    <x v="42"/>
    <s v=""/>
    <s v=""/>
    <s v=""/>
    <s v=""/>
    <s v=""/>
    <n v="0"/>
    <n v="0"/>
    <n v="0"/>
    <n v="0"/>
    <n v="0"/>
    <n v="0"/>
    <n v="0"/>
    <s v=""/>
    <n v="0"/>
    <n v="0"/>
    <x v="0"/>
  </r>
  <r>
    <n v="1"/>
    <x v="1"/>
    <x v="6"/>
    <x v="43"/>
    <s v=""/>
    <s v=""/>
    <s v=""/>
    <s v=""/>
    <s v=""/>
    <n v="0"/>
    <n v="0"/>
    <n v="0"/>
    <n v="0"/>
    <n v="0"/>
    <n v="0"/>
    <n v="0"/>
    <s v=""/>
    <n v="0"/>
    <n v="0"/>
    <x v="0"/>
  </r>
  <r>
    <s v="A"/>
    <x v="1"/>
    <x v="6"/>
    <x v="1"/>
    <s v=""/>
    <s v=""/>
    <s v=""/>
    <s v=""/>
    <s v=""/>
    <n v="0"/>
    <n v="0"/>
    <n v="0"/>
    <n v="0"/>
    <n v="0"/>
    <n v="0"/>
    <n v="0"/>
    <s v=""/>
    <n v="0"/>
    <n v="0"/>
    <x v="0"/>
  </r>
  <r>
    <s v="a."/>
    <x v="1"/>
    <x v="6"/>
    <x v="2"/>
    <s v="Bulan"/>
    <n v="44"/>
    <n v="43646000"/>
    <n v="1920424000"/>
    <n v="7.6491531369281274E-2"/>
    <n v="0"/>
    <n v="0"/>
    <n v="0"/>
    <n v="0"/>
    <n v="0"/>
    <n v="0"/>
    <n v="0"/>
    <n v="44"/>
    <n v="0"/>
    <n v="0"/>
    <x v="2"/>
  </r>
  <r>
    <s v="b."/>
    <x v="1"/>
    <x v="6"/>
    <x v="3"/>
    <s v="Bulan"/>
    <n v="44"/>
    <n v="43646000"/>
    <n v="1920424000"/>
    <n v="7.6491531369281274E-2"/>
    <n v="0"/>
    <n v="0"/>
    <n v="0"/>
    <n v="0"/>
    <n v="0"/>
    <n v="0"/>
    <n v="0"/>
    <n v="44"/>
    <n v="0"/>
    <n v="0"/>
    <x v="2"/>
  </r>
  <r>
    <s v="c."/>
    <x v="1"/>
    <x v="6"/>
    <x v="4"/>
    <s v="Bulan"/>
    <n v="44"/>
    <n v="43646000"/>
    <n v="1920424000"/>
    <n v="7.6491531369281274E-2"/>
    <n v="0"/>
    <n v="0"/>
    <n v="0"/>
    <n v="0"/>
    <n v="0"/>
    <n v="0"/>
    <n v="0"/>
    <n v="44"/>
    <n v="0"/>
    <n v="0"/>
    <x v="2"/>
  </r>
  <r>
    <s v="d."/>
    <x v="1"/>
    <x v="6"/>
    <x v="44"/>
    <s v="Bulan"/>
    <n v="22"/>
    <n v="43646000"/>
    <n v="960212000"/>
    <n v="3.8245765684640637E-2"/>
    <n v="0"/>
    <n v="0"/>
    <n v="0"/>
    <n v="0"/>
    <n v="0"/>
    <n v="0"/>
    <n v="0"/>
    <n v="22"/>
    <n v="0"/>
    <n v="0"/>
    <x v="2"/>
  </r>
  <r>
    <s v="B"/>
    <x v="1"/>
    <x v="6"/>
    <x v="45"/>
    <s v=""/>
    <s v=""/>
    <s v=""/>
    <s v=""/>
    <s v=""/>
    <n v="0"/>
    <n v="0"/>
    <n v="0"/>
    <n v="0"/>
    <n v="0"/>
    <n v="0"/>
    <n v="0"/>
    <s v=""/>
    <n v="0"/>
    <n v="0"/>
    <x v="0"/>
  </r>
  <r>
    <s v="a."/>
    <x v="1"/>
    <x v="6"/>
    <x v="7"/>
    <s v="Bulan"/>
    <n v="44"/>
    <n v="38376000"/>
    <n v="1688544000"/>
    <n v="6.725562497886492E-2"/>
    <n v="0"/>
    <n v="0"/>
    <n v="0"/>
    <n v="0"/>
    <n v="0"/>
    <n v="0"/>
    <n v="0"/>
    <n v="44"/>
    <n v="0"/>
    <n v="0"/>
    <x v="2"/>
  </r>
  <r>
    <s v="b."/>
    <x v="1"/>
    <x v="6"/>
    <x v="8"/>
    <s v="Bulan"/>
    <n v="44"/>
    <n v="32204000"/>
    <n v="1416976000"/>
    <n v="5.6438923984244473E-2"/>
    <n v="0"/>
    <n v="0"/>
    <n v="0"/>
    <n v="0"/>
    <n v="0"/>
    <n v="0"/>
    <n v="0"/>
    <n v="44"/>
    <n v="0"/>
    <n v="0"/>
    <x v="2"/>
  </r>
  <r>
    <s v="c."/>
    <x v="1"/>
    <x v="6"/>
    <x v="9"/>
    <s v="Bulan"/>
    <n v="44"/>
    <n v="10477000"/>
    <n v="460988000"/>
    <n v="1.8361402514685422E-2"/>
    <n v="0"/>
    <n v="0"/>
    <n v="0"/>
    <n v="0"/>
    <n v="0"/>
    <n v="0"/>
    <n v="0"/>
    <n v="44"/>
    <n v="0"/>
    <n v="0"/>
    <x v="2"/>
  </r>
  <r>
    <s v="d."/>
    <x v="1"/>
    <x v="6"/>
    <x v="10"/>
    <s v="Bulan"/>
    <n v="88"/>
    <n v="12142000"/>
    <n v="1068496000"/>
    <n v="4.2558776240013439E-2"/>
    <n v="0"/>
    <n v="0"/>
    <n v="0"/>
    <n v="0"/>
    <n v="0"/>
    <n v="0"/>
    <n v="0"/>
    <n v="88"/>
    <n v="0"/>
    <n v="0"/>
    <x v="2"/>
  </r>
  <r>
    <s v="e."/>
    <x v="1"/>
    <x v="6"/>
    <x v="11"/>
    <s v="Bulan"/>
    <n v="44"/>
    <n v="6010000"/>
    <n v="264440000"/>
    <n v="1.0532788881670268E-2"/>
    <n v="0"/>
    <n v="0"/>
    <n v="0"/>
    <n v="0"/>
    <n v="0"/>
    <n v="0"/>
    <n v="0"/>
    <n v="44"/>
    <n v="0"/>
    <n v="0"/>
    <x v="2"/>
  </r>
  <r>
    <n v="2"/>
    <x v="1"/>
    <x v="7"/>
    <x v="46"/>
    <s v=""/>
    <s v=""/>
    <s v=""/>
    <s v=""/>
    <s v=""/>
    <n v="0"/>
    <n v="0"/>
    <n v="0"/>
    <n v="0"/>
    <n v="0"/>
    <n v="0"/>
    <n v="0"/>
    <s v=""/>
    <n v="0"/>
    <n v="0"/>
    <x v="0"/>
  </r>
  <r>
    <s v="a."/>
    <x v="1"/>
    <x v="7"/>
    <x v="19"/>
    <s v="Bulan"/>
    <n v="44"/>
    <n v="3249000"/>
    <n v="142956000"/>
    <n v="5.6940151541675036E-3"/>
    <n v="0"/>
    <n v="0"/>
    <n v="0"/>
    <n v="0"/>
    <n v="0"/>
    <n v="0"/>
    <n v="0"/>
    <n v="44"/>
    <n v="0"/>
    <n v="0"/>
    <x v="2"/>
  </r>
  <r>
    <s v="b."/>
    <x v="1"/>
    <x v="7"/>
    <x v="20"/>
    <s v="Bulan"/>
    <n v="264"/>
    <n v="1624000"/>
    <n v="428736000"/>
    <n v="1.7076787830781211E-2"/>
    <n v="0"/>
    <n v="0"/>
    <n v="0"/>
    <n v="0"/>
    <n v="0"/>
    <n v="0"/>
    <n v="0"/>
    <n v="264"/>
    <n v="0"/>
    <n v="0"/>
    <x v="2"/>
  </r>
  <r>
    <s v="c."/>
    <x v="1"/>
    <x v="7"/>
    <x v="21"/>
    <s v="Bulan"/>
    <n v="44"/>
    <n v="772000"/>
    <n v="33968000"/>
    <n v="1.3529638962811058E-3"/>
    <n v="0"/>
    <n v="0"/>
    <n v="0"/>
    <n v="0"/>
    <n v="0"/>
    <n v="0"/>
    <n v="0"/>
    <n v="44"/>
    <n v="0"/>
    <n v="0"/>
    <x v="2"/>
  </r>
  <r>
    <s v="d."/>
    <x v="1"/>
    <x v="7"/>
    <x v="22"/>
    <s v="Bulan"/>
    <n v="44"/>
    <n v="8366000"/>
    <n v="368104000"/>
    <n v="1.4661782326797579E-2"/>
    <n v="0"/>
    <n v="0"/>
    <n v="0"/>
    <n v="0"/>
    <n v="0"/>
    <n v="0"/>
    <n v="0"/>
    <n v="44"/>
    <n v="0"/>
    <n v="0"/>
    <x v="2"/>
  </r>
  <r>
    <s v="e."/>
    <x v="1"/>
    <x v="7"/>
    <x v="23"/>
    <s v="Bulan"/>
    <n v="44"/>
    <n v="6092000"/>
    <n v="268048000"/>
    <n v="1.0676497482052457E-2"/>
    <n v="0"/>
    <n v="0"/>
    <n v="0"/>
    <n v="0"/>
    <n v="0"/>
    <n v="0"/>
    <n v="0"/>
    <n v="44"/>
    <n v="0"/>
    <n v="0"/>
    <x v="2"/>
  </r>
  <r>
    <s v="f."/>
    <x v="1"/>
    <x v="7"/>
    <x v="47"/>
    <s v="Trip"/>
    <n v="220"/>
    <n v="2437000"/>
    <n v="536140000"/>
    <n v="2.1354747508012015E-2"/>
    <n v="0"/>
    <n v="0"/>
    <n v="0"/>
    <n v="0"/>
    <n v="0"/>
    <n v="0"/>
    <n v="0"/>
    <n v="220"/>
    <n v="0"/>
    <n v="0"/>
    <x v="2"/>
  </r>
  <r>
    <s v="g."/>
    <x v="1"/>
    <x v="7"/>
    <x v="48"/>
    <s v="Hari"/>
    <n v="690"/>
    <n v="609000"/>
    <n v="420210000"/>
    <n v="1.6737192618237268E-2"/>
    <n v="0"/>
    <n v="0"/>
    <n v="0"/>
    <n v="0"/>
    <n v="0"/>
    <n v="0"/>
    <n v="0"/>
    <n v="690"/>
    <n v="0"/>
    <n v="0"/>
    <x v="2"/>
  </r>
  <r>
    <s v="h."/>
    <x v="1"/>
    <x v="7"/>
    <x v="38"/>
    <s v="Orang"/>
    <n v="5"/>
    <n v="2234000"/>
    <n v="11170000"/>
    <n v="4.4490716914330995E-4"/>
    <n v="0"/>
    <n v="0"/>
    <n v="0"/>
    <n v="0"/>
    <n v="0"/>
    <n v="0"/>
    <n v="0"/>
    <n v="5"/>
    <n v="0"/>
    <n v="0"/>
    <x v="2"/>
  </r>
  <r>
    <s v="i."/>
    <x v="1"/>
    <x v="7"/>
    <x v="39"/>
    <s v="Unit-Bulan"/>
    <n v="12"/>
    <n v="16244000"/>
    <n v="194928000"/>
    <n v="7.7640881527992053E-3"/>
    <n v="0"/>
    <n v="0"/>
    <n v="0"/>
    <n v="0"/>
    <n v="0"/>
    <n v="0"/>
    <n v="0"/>
    <n v="12"/>
    <n v="0"/>
    <n v="0"/>
    <x v="2"/>
  </r>
  <r>
    <s v="j."/>
    <x v="1"/>
    <x v="7"/>
    <x v="40"/>
    <s v="Unit-Bulan"/>
    <n v="132"/>
    <n v="1462000"/>
    <n v="192984000"/>
    <n v="7.6866575765400652E-3"/>
    <n v="0"/>
    <n v="0"/>
    <n v="0"/>
    <n v="0"/>
    <n v="0"/>
    <n v="0"/>
    <n v="0"/>
    <n v="132"/>
    <n v="0"/>
    <n v="0"/>
    <x v="2"/>
  </r>
  <r>
    <s v="k."/>
    <x v="1"/>
    <x v="7"/>
    <x v="41"/>
    <s v="Bulan"/>
    <n v="44"/>
    <n v="2843000"/>
    <n v="125092000"/>
    <n v="4.9824823278849534E-3"/>
    <n v="0"/>
    <n v="0"/>
    <n v="0"/>
    <n v="0"/>
    <n v="0"/>
    <n v="0"/>
    <n v="0"/>
    <n v="44"/>
    <n v="0"/>
    <n v="0"/>
    <x v="2"/>
  </r>
  <r>
    <s v="III"/>
    <x v="2"/>
    <x v="0"/>
    <x v="49"/>
    <s v=""/>
    <s v=""/>
    <s v=""/>
    <s v=""/>
    <s v=""/>
    <n v="0"/>
    <n v="0"/>
    <n v="0"/>
    <n v="0"/>
    <n v="0"/>
    <n v="0"/>
    <n v="0"/>
    <s v=""/>
    <n v="0"/>
    <n v="0"/>
    <x v="0"/>
  </r>
  <r>
    <n v="1"/>
    <x v="2"/>
    <x v="8"/>
    <x v="50"/>
    <s v=""/>
    <s v=""/>
    <s v=""/>
    <s v=""/>
    <s v=""/>
    <n v="0"/>
    <n v="0"/>
    <n v="0"/>
    <n v="0"/>
    <n v="0"/>
    <n v="0"/>
    <n v="0"/>
    <s v=""/>
    <n v="0"/>
    <n v="0"/>
    <x v="0"/>
  </r>
  <r>
    <s v="a."/>
    <x v="2"/>
    <x v="8"/>
    <x v="51"/>
    <s v="Ls"/>
    <n v="1"/>
    <n v="20305000"/>
    <n v="20305000"/>
    <n v="8.0875918258325053E-4"/>
    <n v="1"/>
    <n v="0"/>
    <n v="0"/>
    <n v="0"/>
    <n v="0"/>
    <n v="0"/>
    <n v="1"/>
    <n v="0"/>
    <n v="1"/>
    <n v="8.0875918258325053E-4"/>
    <x v="3"/>
  </r>
  <r>
    <s v="b."/>
    <x v="2"/>
    <x v="8"/>
    <x v="52"/>
    <s v="Hari"/>
    <n v="30"/>
    <n v="1218000"/>
    <n v="36540000"/>
    <n v="1.4554080537597623E-3"/>
    <n v="30"/>
    <n v="0"/>
    <n v="0"/>
    <n v="0"/>
    <n v="0"/>
    <n v="0"/>
    <n v="30"/>
    <n v="0"/>
    <n v="1"/>
    <n v="1.4554080537597623E-3"/>
    <x v="3"/>
  </r>
  <r>
    <n v="2"/>
    <x v="2"/>
    <x v="9"/>
    <x v="53"/>
    <s v=""/>
    <s v=""/>
    <s v=""/>
    <s v=""/>
    <s v=""/>
    <n v="0"/>
    <n v="0"/>
    <n v="0"/>
    <n v="0"/>
    <n v="0"/>
    <n v="0"/>
    <n v="0"/>
    <s v=""/>
    <n v="0"/>
    <n v="0"/>
    <x v="0"/>
  </r>
  <r>
    <s v="a."/>
    <x v="2"/>
    <x v="9"/>
    <x v="54"/>
    <s v="Titik"/>
    <n v="5"/>
    <n v="16244000"/>
    <n v="81220000"/>
    <n v="3.2350367303330021E-3"/>
    <n v="3"/>
    <n v="0"/>
    <n v="0"/>
    <n v="0"/>
    <n v="0"/>
    <n v="0"/>
    <n v="3"/>
    <n v="2"/>
    <n v="0.6"/>
    <n v="1.9410220381998011E-3"/>
    <x v="1"/>
  </r>
  <r>
    <s v="b."/>
    <x v="2"/>
    <x v="9"/>
    <x v="55"/>
    <s v="Titik"/>
    <n v="22"/>
    <n v="1559000"/>
    <n v="34298000"/>
    <n v="1.3661079755843549E-3"/>
    <n v="8"/>
    <n v="0"/>
    <n v="0"/>
    <n v="0"/>
    <n v="0"/>
    <n v="0"/>
    <n v="8"/>
    <n v="14"/>
    <n v="0.36363636363636365"/>
    <n v="4.9676653657612906E-4"/>
    <x v="1"/>
  </r>
  <r>
    <s v="c."/>
    <x v="2"/>
    <x v="9"/>
    <x v="56"/>
    <s v="Hari"/>
    <n v="30"/>
    <n v="1624000"/>
    <n v="48720000"/>
    <n v="1.940544071679683E-3"/>
    <n v="30"/>
    <n v="0"/>
    <n v="0"/>
    <n v="0"/>
    <n v="0"/>
    <n v="0"/>
    <n v="30"/>
    <n v="0"/>
    <n v="1"/>
    <n v="1.940544071679683E-3"/>
    <x v="3"/>
  </r>
  <r>
    <n v="3"/>
    <x v="2"/>
    <x v="10"/>
    <x v="57"/>
    <s v=""/>
    <s v=""/>
    <s v=""/>
    <s v=""/>
    <s v=""/>
    <n v="0"/>
    <n v="0"/>
    <n v="0"/>
    <n v="0"/>
    <n v="0"/>
    <n v="0"/>
    <n v="0"/>
    <s v=""/>
    <n v="0"/>
    <n v="0"/>
    <x v="0"/>
  </r>
  <r>
    <s v="a."/>
    <x v="2"/>
    <x v="10"/>
    <x v="58"/>
    <s v="m"/>
    <n v="1320"/>
    <n v="609000"/>
    <n v="803880000"/>
    <n v="3.2018977182714771E-2"/>
    <n v="480"/>
    <n v="0"/>
    <n v="0"/>
    <n v="0"/>
    <n v="0"/>
    <n v="0"/>
    <n v="480"/>
    <n v="840"/>
    <n v="0.36363636363636365"/>
    <n v="1.1643264430078099E-2"/>
    <x v="1"/>
  </r>
  <r>
    <s v="b."/>
    <x v="2"/>
    <x v="10"/>
    <x v="59"/>
    <s v="Test"/>
    <n v="660"/>
    <n v="341000"/>
    <n v="225060000"/>
    <n v="8.9642620848158754E-3"/>
    <n v="240"/>
    <n v="0"/>
    <n v="0"/>
    <n v="0"/>
    <n v="0"/>
    <n v="0"/>
    <n v="240"/>
    <n v="420"/>
    <n v="0.36363636363636365"/>
    <n v="3.2597316672057729E-3"/>
    <x v="1"/>
  </r>
  <r>
    <s v="c."/>
    <x v="2"/>
    <x v="10"/>
    <x v="60"/>
    <s v="Sampel"/>
    <n v="264"/>
    <n v="341000"/>
    <n v="90024000"/>
    <n v="3.5857048339263502E-3"/>
    <n v="96"/>
    <n v="0"/>
    <n v="0"/>
    <n v="0"/>
    <n v="0"/>
    <n v="0"/>
    <n v="96"/>
    <n v="168"/>
    <n v="0.36363636363636365"/>
    <n v="1.3038926668823092E-3"/>
    <x v="1"/>
  </r>
  <r>
    <s v="d."/>
    <x v="2"/>
    <x v="10"/>
    <x v="61"/>
    <s v="buah"/>
    <n v="264"/>
    <n v="244000"/>
    <n v="64416000"/>
    <n v="2.5657242799942215E-3"/>
    <n v="96"/>
    <n v="0"/>
    <n v="0"/>
    <n v="0"/>
    <n v="0"/>
    <n v="0"/>
    <n v="96"/>
    <n v="168"/>
    <n v="0.36363636363636365"/>
    <n v="9.3299064727062606E-4"/>
    <x v="1"/>
  </r>
  <r>
    <n v="4"/>
    <x v="2"/>
    <x v="11"/>
    <x v="62"/>
    <s v=""/>
    <s v=""/>
    <s v=""/>
    <s v=""/>
    <s v=""/>
    <n v="0"/>
    <n v="0"/>
    <n v="0"/>
    <n v="0"/>
    <n v="0"/>
    <n v="0"/>
    <n v="0"/>
    <s v=""/>
    <n v="0"/>
    <n v="0"/>
    <x v="0"/>
  </r>
  <r>
    <s v="a."/>
    <x v="2"/>
    <x v="11"/>
    <x v="55"/>
    <s v="Titik"/>
    <n v="20"/>
    <n v="1559000"/>
    <n v="31180000"/>
    <n v="1.2419163414403227E-3"/>
    <n v="8"/>
    <n v="0"/>
    <n v="0"/>
    <n v="0"/>
    <n v="0"/>
    <n v="0"/>
    <n v="8"/>
    <n v="12"/>
    <n v="0.4"/>
    <n v="4.9676653657612906E-4"/>
    <x v="1"/>
  </r>
  <r>
    <n v="5"/>
    <x v="2"/>
    <x v="12"/>
    <x v="63"/>
    <s v=""/>
    <s v=""/>
    <s v=""/>
    <s v=""/>
    <s v=""/>
    <n v="0"/>
    <n v="0"/>
    <n v="0"/>
    <n v="0"/>
    <n v="0"/>
    <n v="0"/>
    <n v="0"/>
    <s v=""/>
    <n v="0"/>
    <n v="0"/>
    <x v="0"/>
  </r>
  <r>
    <s v="a."/>
    <x v="2"/>
    <x v="12"/>
    <x v="64"/>
    <s v="m"/>
    <n v="1200"/>
    <n v="609000"/>
    <n v="730800000"/>
    <n v="2.9108161075195246E-2"/>
    <n v="480"/>
    <n v="0"/>
    <n v="0"/>
    <n v="0"/>
    <n v="0"/>
    <n v="0"/>
    <n v="480"/>
    <n v="720"/>
    <n v="0.4"/>
    <n v="1.1643264430078099E-2"/>
    <x v="1"/>
  </r>
  <r>
    <s v="b."/>
    <x v="2"/>
    <x v="12"/>
    <x v="59"/>
    <s v="Test"/>
    <n v="600"/>
    <n v="341000"/>
    <n v="204600000"/>
    <n v="8.1493291680144325E-3"/>
    <n v="240"/>
    <n v="0"/>
    <n v="0"/>
    <n v="0"/>
    <n v="0"/>
    <n v="0"/>
    <n v="240"/>
    <n v="360"/>
    <n v="0.4"/>
    <n v="3.2597316672057734E-3"/>
    <x v="1"/>
  </r>
  <r>
    <s v="c."/>
    <x v="2"/>
    <x v="12"/>
    <x v="60"/>
    <s v="Sampel"/>
    <n v="240"/>
    <n v="341000"/>
    <n v="81840000"/>
    <n v="3.2597316672057729E-3"/>
    <n v="96"/>
    <n v="0"/>
    <n v="0"/>
    <n v="0"/>
    <n v="0"/>
    <n v="0"/>
    <n v="96"/>
    <n v="144"/>
    <n v="0.4"/>
    <n v="1.3038926668823092E-3"/>
    <x v="1"/>
  </r>
  <r>
    <s v="d."/>
    <x v="2"/>
    <x v="12"/>
    <x v="61"/>
    <s v="buah"/>
    <n v="240"/>
    <n v="244000"/>
    <n v="58560000"/>
    <n v="2.3324766181765651E-3"/>
    <n v="96"/>
    <n v="0"/>
    <n v="0"/>
    <n v="0"/>
    <n v="0"/>
    <n v="0"/>
    <n v="96"/>
    <n v="144"/>
    <n v="0.4"/>
    <n v="9.3299064727062606E-4"/>
    <x v="1"/>
  </r>
  <r>
    <n v="6"/>
    <x v="2"/>
    <x v="13"/>
    <x v="65"/>
    <s v=""/>
    <s v=""/>
    <s v=""/>
    <s v=""/>
    <s v=""/>
    <n v="0"/>
    <n v="0"/>
    <n v="0"/>
    <n v="0"/>
    <n v="0"/>
    <n v="0"/>
    <n v="0"/>
    <s v=""/>
    <n v="0"/>
    <n v="0"/>
    <x v="0"/>
  </r>
  <r>
    <s v="a."/>
    <x v="2"/>
    <x v="13"/>
    <x v="66"/>
    <s v=""/>
    <s v=""/>
    <s v=""/>
    <s v=""/>
    <s v=""/>
    <n v="0"/>
    <n v="0"/>
    <n v="0"/>
    <n v="0"/>
    <n v="0"/>
    <n v="0"/>
    <n v="0"/>
    <s v=""/>
    <n v="0"/>
    <n v="0"/>
    <x v="0"/>
  </r>
  <r>
    <s v="-"/>
    <x v="2"/>
    <x v="13"/>
    <x v="67"/>
    <s v="Sampel"/>
    <n v="504"/>
    <n v="1178000"/>
    <n v="593712000"/>
    <n v="2.3647871549365516E-2"/>
    <n v="192"/>
    <n v="0"/>
    <n v="0"/>
    <n v="0"/>
    <n v="0"/>
    <n v="0"/>
    <n v="192"/>
    <n v="312"/>
    <n v="0.38095238095238093"/>
    <n v="9.0087129711868622E-3"/>
    <x v="1"/>
  </r>
  <r>
    <s v="-"/>
    <x v="2"/>
    <x v="13"/>
    <x v="68"/>
    <s v="Sampel"/>
    <n v="504"/>
    <n v="244000"/>
    <n v="122976000"/>
    <n v="4.8982008981707861E-3"/>
    <n v="192"/>
    <n v="0"/>
    <n v="0"/>
    <n v="0"/>
    <n v="0"/>
    <n v="0"/>
    <n v="192"/>
    <n v="312"/>
    <n v="0.38095238095238093"/>
    <n v="1.8659812945412517E-3"/>
    <x v="1"/>
  </r>
  <r>
    <s v="-"/>
    <x v="2"/>
    <x v="13"/>
    <x v="69"/>
    <s v="Sampel"/>
    <n v="504"/>
    <n v="341000"/>
    <n v="171864000"/>
    <n v="6.8454365011321235E-3"/>
    <n v="192"/>
    <n v="0"/>
    <n v="0"/>
    <n v="0"/>
    <n v="0"/>
    <n v="0"/>
    <n v="192"/>
    <n v="312"/>
    <n v="0.38095238095238093"/>
    <n v="2.6077853337646184E-3"/>
    <x v="1"/>
  </r>
  <r>
    <s v="b."/>
    <x v="2"/>
    <x v="13"/>
    <x v="70"/>
    <s v=""/>
    <s v=""/>
    <s v=""/>
    <s v=""/>
    <s v=""/>
    <n v="0"/>
    <n v="0"/>
    <n v="0"/>
    <n v="0"/>
    <n v="0"/>
    <n v="0"/>
    <n v="0"/>
    <s v=""/>
    <n v="0"/>
    <n v="0"/>
    <x v="0"/>
  </r>
  <r>
    <s v="-"/>
    <x v="2"/>
    <x v="13"/>
    <x v="71"/>
    <s v="Sampel"/>
    <n v="504"/>
    <n v="487000"/>
    <n v="245448000"/>
    <n v="9.7763272024966111E-3"/>
    <n v="192"/>
    <n v="0"/>
    <n v="0"/>
    <n v="0"/>
    <n v="0"/>
    <n v="0"/>
    <n v="192"/>
    <n v="312"/>
    <n v="0.38095238095238093"/>
    <n v="3.7243151247606135E-3"/>
    <x v="1"/>
  </r>
  <r>
    <s v="c."/>
    <x v="2"/>
    <x v="13"/>
    <x v="72"/>
    <s v="Ls"/>
    <n v="1"/>
    <n v="52793000"/>
    <n v="52793000"/>
    <n v="2.1027738747164512E-3"/>
    <n v="1"/>
    <n v="0"/>
    <n v="0"/>
    <n v="0"/>
    <n v="0"/>
    <n v="0"/>
    <n v="1"/>
    <n v="0"/>
    <n v="1"/>
    <n v="2.1027738747164512E-3"/>
    <x v="3"/>
  </r>
  <r>
    <n v="1"/>
    <x v="2"/>
    <x v="14"/>
    <x v="73"/>
    <s v=""/>
    <s v=""/>
    <s v=""/>
    <s v=""/>
    <s v=""/>
    <n v="0"/>
    <n v="0"/>
    <n v="0"/>
    <n v="0"/>
    <n v="0"/>
    <n v="0"/>
    <n v="0"/>
    <s v=""/>
    <n v="0"/>
    <n v="0"/>
    <x v="0"/>
  </r>
  <r>
    <s v="a."/>
    <x v="2"/>
    <x v="14"/>
    <x v="51"/>
    <s v="Ls"/>
    <n v="1"/>
    <n v="12183000"/>
    <n v="12183000"/>
    <n v="4.8525550954995033E-4"/>
    <n v="0"/>
    <n v="0"/>
    <n v="0"/>
    <n v="0"/>
    <n v="0"/>
    <n v="0"/>
    <n v="0"/>
    <n v="1"/>
    <n v="0"/>
    <n v="0"/>
    <x v="2"/>
  </r>
  <r>
    <s v="b."/>
    <x v="2"/>
    <x v="14"/>
    <x v="52"/>
    <s v="Hari"/>
    <n v="30"/>
    <n v="1218000"/>
    <n v="36540000"/>
    <n v="1.4554080537597623E-3"/>
    <n v="0"/>
    <n v="0"/>
    <n v="0"/>
    <n v="0"/>
    <n v="0"/>
    <n v="0"/>
    <n v="0"/>
    <n v="30"/>
    <n v="0"/>
    <n v="0"/>
    <x v="2"/>
  </r>
  <r>
    <n v="2"/>
    <x v="2"/>
    <x v="15"/>
    <x v="74"/>
    <s v=""/>
    <s v=""/>
    <s v=""/>
    <s v=""/>
    <s v=""/>
    <n v="0"/>
    <n v="0"/>
    <n v="0"/>
    <n v="0"/>
    <n v="0"/>
    <n v="0"/>
    <n v="0"/>
    <s v=""/>
    <n v="0"/>
    <n v="0"/>
    <x v="0"/>
  </r>
  <r>
    <s v="a."/>
    <x v="2"/>
    <x v="15"/>
    <x v="55"/>
    <s v="Ls"/>
    <n v="1"/>
    <n v="12183000"/>
    <n v="12183000"/>
    <n v="4.8525550954995033E-4"/>
    <n v="0"/>
    <n v="0"/>
    <n v="0"/>
    <n v="0"/>
    <n v="0"/>
    <n v="0"/>
    <n v="0"/>
    <n v="1"/>
    <n v="0"/>
    <n v="0"/>
    <x v="2"/>
  </r>
  <r>
    <s v="b."/>
    <x v="2"/>
    <x v="15"/>
    <x v="74"/>
    <s v="Ha"/>
    <n v="19"/>
    <n v="3249000"/>
    <n v="61731000"/>
    <n v="2.4587792711177857E-3"/>
    <n v="0"/>
    <n v="0"/>
    <n v="0"/>
    <n v="0"/>
    <n v="0"/>
    <n v="0"/>
    <n v="0"/>
    <n v="19"/>
    <n v="0"/>
    <n v="0"/>
    <x v="2"/>
  </r>
  <r>
    <s v="c."/>
    <x v="2"/>
    <x v="15"/>
    <x v="56"/>
    <s v="Hari"/>
    <n v="30"/>
    <n v="1624000"/>
    <n v="48720000"/>
    <n v="1.940544071679683E-3"/>
    <n v="0"/>
    <n v="0"/>
    <n v="0"/>
    <n v="0"/>
    <n v="0"/>
    <n v="0"/>
    <n v="0"/>
    <n v="30"/>
    <n v="0"/>
    <n v="0"/>
    <x v="2"/>
  </r>
  <r>
    <s v="d."/>
    <x v="2"/>
    <x v="15"/>
    <x v="75"/>
    <s v="Ls"/>
    <n v="1"/>
    <n v="4061000"/>
    <n v="4061000"/>
    <n v="1.617518365166501E-4"/>
    <n v="0"/>
    <n v="0"/>
    <n v="0"/>
    <n v="0"/>
    <n v="0"/>
    <n v="0"/>
    <n v="0"/>
    <n v="1"/>
    <n v="0"/>
    <n v="0"/>
    <x v="2"/>
  </r>
  <r>
    <n v="1"/>
    <x v="2"/>
    <x v="16"/>
    <x v="76"/>
    <s v=""/>
    <s v=""/>
    <s v=""/>
    <s v=""/>
    <s v=""/>
    <n v="0"/>
    <n v="0"/>
    <n v="0"/>
    <n v="0"/>
    <n v="0"/>
    <n v="0"/>
    <n v="0"/>
    <s v=""/>
    <n v="0"/>
    <n v="0"/>
    <x v="0"/>
  </r>
  <r>
    <s v="a."/>
    <x v="2"/>
    <x v="16"/>
    <x v="51"/>
    <s v="Ls"/>
    <n v="1"/>
    <n v="12183000"/>
    <n v="12183000"/>
    <n v="4.8525550954995033E-4"/>
    <n v="0"/>
    <n v="0"/>
    <n v="0"/>
    <n v="0"/>
    <n v="0"/>
    <n v="0"/>
    <n v="0"/>
    <n v="1"/>
    <n v="0"/>
    <n v="0"/>
    <x v="2"/>
  </r>
  <r>
    <s v="b."/>
    <x v="2"/>
    <x v="16"/>
    <x v="52"/>
    <s v="Hari"/>
    <n v="30"/>
    <n v="1218000"/>
    <n v="36540000"/>
    <n v="1.4554080537597623E-3"/>
    <n v="0"/>
    <n v="0"/>
    <n v="0"/>
    <n v="0"/>
    <n v="0"/>
    <n v="0"/>
    <n v="0"/>
    <n v="30"/>
    <n v="0"/>
    <n v="0"/>
    <x v="2"/>
  </r>
  <r>
    <n v="2"/>
    <x v="2"/>
    <x v="17"/>
    <x v="77"/>
    <s v=""/>
    <s v=""/>
    <s v=""/>
    <s v=""/>
    <s v=""/>
    <n v="0"/>
    <n v="0"/>
    <n v="0"/>
    <n v="0"/>
    <n v="0"/>
    <n v="0"/>
    <n v="0"/>
    <s v=""/>
    <n v="0"/>
    <n v="0"/>
    <x v="0"/>
  </r>
  <r>
    <s v="a."/>
    <x v="2"/>
    <x v="17"/>
    <x v="55"/>
    <s v="Ls"/>
    <n v="1"/>
    <n v="12183000"/>
    <n v="12183000"/>
    <n v="4.8525550954995033E-4"/>
    <n v="0"/>
    <n v="0"/>
    <n v="0"/>
    <n v="0"/>
    <n v="0"/>
    <n v="0"/>
    <n v="0"/>
    <n v="1"/>
    <n v="0"/>
    <n v="0"/>
    <x v="2"/>
  </r>
  <r>
    <s v="b."/>
    <x v="2"/>
    <x v="17"/>
    <x v="78"/>
    <s v="Hari"/>
    <n v="30"/>
    <n v="2437000"/>
    <n v="73110000"/>
    <n v="2.9120110238198202E-3"/>
    <n v="0"/>
    <n v="0"/>
    <n v="0"/>
    <n v="0"/>
    <n v="0"/>
    <n v="0"/>
    <n v="0"/>
    <n v="30"/>
    <n v="0"/>
    <n v="0"/>
    <x v="2"/>
  </r>
  <r>
    <s v="c."/>
    <x v="2"/>
    <x v="17"/>
    <x v="79"/>
    <s v="Hari"/>
    <n v="30"/>
    <n v="2437000"/>
    <n v="73110000"/>
    <n v="2.9120110238198202E-3"/>
    <n v="0"/>
    <n v="0"/>
    <n v="0"/>
    <n v="0"/>
    <n v="0"/>
    <n v="0"/>
    <n v="0"/>
    <n v="30"/>
    <n v="0"/>
    <n v="0"/>
    <x v="2"/>
  </r>
  <r>
    <s v="d."/>
    <x v="2"/>
    <x v="17"/>
    <x v="56"/>
    <s v="Hari"/>
    <n v="30"/>
    <n v="1624000"/>
    <n v="48720000"/>
    <n v="1.940544071679683E-3"/>
    <n v="0"/>
    <n v="0"/>
    <n v="0"/>
    <n v="0"/>
    <n v="0"/>
    <n v="0"/>
    <n v="0"/>
    <n v="30"/>
    <n v="0"/>
    <n v="0"/>
    <x v="2"/>
  </r>
  <r>
    <s v="e."/>
    <x v="2"/>
    <x v="17"/>
    <x v="75"/>
    <s v="Ls"/>
    <n v="1"/>
    <n v="4061000"/>
    <n v="4061000"/>
    <n v="1.617518365166501E-4"/>
    <n v="0"/>
    <n v="0"/>
    <n v="0"/>
    <n v="0"/>
    <n v="0"/>
    <n v="0"/>
    <n v="0"/>
    <n v="1"/>
    <n v="0"/>
    <n v="0"/>
    <x v="2"/>
  </r>
  <r>
    <n v="1"/>
    <x v="2"/>
    <x v="18"/>
    <x v="80"/>
    <s v=""/>
    <s v=""/>
    <s v=""/>
    <s v=""/>
    <s v=""/>
    <n v="0"/>
    <n v="0"/>
    <n v="0"/>
    <n v="0"/>
    <n v="0"/>
    <n v="0"/>
    <n v="0"/>
    <s v=""/>
    <n v="0"/>
    <n v="0"/>
    <x v="0"/>
  </r>
  <r>
    <s v="a."/>
    <x v="2"/>
    <x v="18"/>
    <x v="51"/>
    <s v="Ls"/>
    <n v="1"/>
    <n v="12183000"/>
    <n v="12183000"/>
    <n v="4.8525550954995033E-4"/>
    <n v="0"/>
    <n v="0"/>
    <n v="0"/>
    <n v="0"/>
    <n v="0"/>
    <n v="0"/>
    <n v="0"/>
    <n v="1"/>
    <n v="0"/>
    <n v="0"/>
    <x v="2"/>
  </r>
  <r>
    <s v="b."/>
    <x v="2"/>
    <x v="18"/>
    <x v="52"/>
    <s v="Hari"/>
    <n v="30"/>
    <n v="1218000"/>
    <n v="36540000"/>
    <n v="1.4554080537597623E-3"/>
    <n v="0"/>
    <n v="0"/>
    <n v="0"/>
    <n v="0"/>
    <n v="0"/>
    <n v="0"/>
    <n v="0"/>
    <n v="30"/>
    <n v="0"/>
    <n v="0"/>
    <x v="2"/>
  </r>
  <r>
    <n v="2"/>
    <x v="2"/>
    <x v="19"/>
    <x v="81"/>
    <s v=""/>
    <s v=""/>
    <s v=""/>
    <s v=""/>
    <s v=""/>
    <n v="0"/>
    <n v="0"/>
    <n v="0"/>
    <n v="0"/>
    <n v="0"/>
    <n v="0"/>
    <n v="0"/>
    <s v=""/>
    <n v="0"/>
    <n v="0"/>
    <x v="0"/>
  </r>
  <r>
    <s v="a."/>
    <x v="2"/>
    <x v="19"/>
    <x v="55"/>
    <s v="Ls"/>
    <n v="1"/>
    <n v="12183000"/>
    <n v="12183000"/>
    <n v="4.8525550954995033E-4"/>
    <n v="0"/>
    <n v="0"/>
    <n v="0"/>
    <n v="0"/>
    <n v="0"/>
    <n v="0"/>
    <n v="0"/>
    <n v="1"/>
    <n v="0"/>
    <n v="0"/>
    <x v="2"/>
  </r>
  <r>
    <s v="b."/>
    <x v="2"/>
    <x v="19"/>
    <x v="81"/>
    <s v="Ha"/>
    <n v="55"/>
    <n v="2437000"/>
    <n v="134035000"/>
    <n v="5.3386868770030037E-3"/>
    <n v="0"/>
    <n v="0"/>
    <n v="0"/>
    <n v="0"/>
    <n v="0"/>
    <n v="0"/>
    <n v="0"/>
    <n v="55"/>
    <n v="0"/>
    <n v="0"/>
    <x v="2"/>
  </r>
  <r>
    <s v="c."/>
    <x v="2"/>
    <x v="19"/>
    <x v="75"/>
    <s v="Ls"/>
    <n v="1"/>
    <n v="4061000"/>
    <n v="4061000"/>
    <n v="1.617518365166501E-4"/>
    <n v="0"/>
    <n v="0"/>
    <n v="0"/>
    <n v="0"/>
    <n v="0"/>
    <n v="0"/>
    <n v="0"/>
    <n v="1"/>
    <n v="0"/>
    <n v="0"/>
    <x v="2"/>
  </r>
  <r>
    <n v="1"/>
    <x v="2"/>
    <x v="20"/>
    <x v="82"/>
    <s v=""/>
    <s v=""/>
    <s v=""/>
    <s v=""/>
    <s v=""/>
    <n v="0"/>
    <n v="0"/>
    <n v="0"/>
    <n v="0"/>
    <n v="0"/>
    <n v="0"/>
    <n v="0"/>
    <s v=""/>
    <n v="0"/>
    <n v="0"/>
    <x v="0"/>
  </r>
  <r>
    <s v="a."/>
    <x v="2"/>
    <x v="20"/>
    <x v="51"/>
    <s v="Ls"/>
    <n v="1"/>
    <n v="12183000"/>
    <n v="12183000"/>
    <n v="4.8525550954995033E-4"/>
    <n v="0"/>
    <n v="0"/>
    <n v="0"/>
    <n v="0"/>
    <n v="0"/>
    <n v="0"/>
    <n v="0"/>
    <n v="1"/>
    <n v="0"/>
    <n v="0"/>
    <x v="2"/>
  </r>
  <r>
    <s v="b."/>
    <x v="2"/>
    <x v="20"/>
    <x v="52"/>
    <s v="Hari"/>
    <n v="30"/>
    <n v="1218000"/>
    <n v="36540000"/>
    <n v="1.4554080537597623E-3"/>
    <n v="0"/>
    <n v="0"/>
    <n v="0"/>
    <n v="0"/>
    <n v="0"/>
    <n v="0"/>
    <n v="0"/>
    <n v="30"/>
    <n v="0"/>
    <n v="0"/>
    <x v="2"/>
  </r>
  <r>
    <n v="2"/>
    <x v="2"/>
    <x v="21"/>
    <x v="83"/>
    <s v=""/>
    <s v=""/>
    <s v=""/>
    <s v=""/>
    <s v=""/>
    <n v="0"/>
    <n v="0"/>
    <n v="0"/>
    <n v="0"/>
    <n v="0"/>
    <n v="0"/>
    <n v="0"/>
    <s v=""/>
    <n v="0"/>
    <n v="0"/>
    <x v="0"/>
  </r>
  <r>
    <s v="a."/>
    <x v="2"/>
    <x v="21"/>
    <x v="55"/>
    <s v="Ls"/>
    <n v="1"/>
    <n v="8122000"/>
    <n v="8122000"/>
    <n v="3.235036730333002E-4"/>
    <n v="0"/>
    <n v="0"/>
    <n v="0"/>
    <n v="0"/>
    <n v="0"/>
    <n v="0"/>
    <n v="0"/>
    <n v="1"/>
    <n v="0"/>
    <n v="0"/>
    <x v="2"/>
  </r>
  <r>
    <s v="b."/>
    <x v="2"/>
    <x v="21"/>
    <x v="83"/>
    <s v="Ls"/>
    <n v="1"/>
    <n v="121830000"/>
    <n v="121830000"/>
    <n v="4.852555095499503E-3"/>
    <n v="0"/>
    <n v="0"/>
    <n v="0"/>
    <n v="0"/>
    <n v="0"/>
    <n v="0"/>
    <n v="0"/>
    <n v="1"/>
    <n v="0"/>
    <n v="0"/>
    <x v="2"/>
  </r>
  <r>
    <s v="c."/>
    <x v="2"/>
    <x v="21"/>
    <x v="75"/>
    <s v="Ls"/>
    <n v="1"/>
    <n v="4061000"/>
    <n v="4061000"/>
    <n v="1.617518365166501E-4"/>
    <n v="0"/>
    <n v="0"/>
    <n v="0"/>
    <n v="0"/>
    <n v="0"/>
    <n v="0"/>
    <n v="0"/>
    <n v="1"/>
    <n v="0"/>
    <n v="0"/>
    <x v="2"/>
  </r>
  <r>
    <s v="IV"/>
    <x v="3"/>
    <x v="0"/>
    <x v="84"/>
    <s v=""/>
    <s v=""/>
    <s v=""/>
    <s v=""/>
    <s v=""/>
    <n v="0"/>
    <n v="0"/>
    <n v="0"/>
    <n v="0"/>
    <n v="0"/>
    <n v="0"/>
    <n v="0"/>
    <s v=""/>
    <n v="0"/>
    <n v="0"/>
    <x v="0"/>
  </r>
  <r>
    <n v="1"/>
    <x v="3"/>
    <x v="22"/>
    <x v="85"/>
    <s v=""/>
    <s v=""/>
    <s v=""/>
    <s v=""/>
    <s v=""/>
    <n v="0"/>
    <n v="0"/>
    <n v="0"/>
    <n v="0"/>
    <n v="0"/>
    <n v="0"/>
    <n v="0"/>
    <s v=""/>
    <n v="0"/>
    <n v="0"/>
    <x v="0"/>
  </r>
  <r>
    <s v="a."/>
    <x v="3"/>
    <x v="22"/>
    <x v="86"/>
    <s v="Ls"/>
    <n v="1"/>
    <n v="6498000"/>
    <n v="6498000"/>
    <n v="2.5881887064397745E-4"/>
    <n v="0"/>
    <n v="0"/>
    <n v="0"/>
    <n v="0"/>
    <n v="0"/>
    <n v="0"/>
    <n v="0"/>
    <n v="1"/>
    <n v="0"/>
    <n v="0"/>
    <x v="2"/>
  </r>
  <r>
    <s v="b."/>
    <x v="3"/>
    <x v="22"/>
    <x v="87"/>
    <s v="Ls"/>
    <n v="1"/>
    <n v="16244000"/>
    <n v="16244000"/>
    <n v="6.4700734606660041E-4"/>
    <n v="0"/>
    <n v="0"/>
    <n v="0"/>
    <n v="0"/>
    <n v="0"/>
    <n v="0"/>
    <n v="0"/>
    <n v="1"/>
    <n v="0"/>
    <n v="0"/>
    <x v="2"/>
  </r>
  <r>
    <s v="c."/>
    <x v="3"/>
    <x v="22"/>
    <x v="88"/>
    <s v="Ls"/>
    <n v="1"/>
    <n v="40610000"/>
    <n v="40610000"/>
    <n v="1.6175183651665011E-3"/>
    <n v="0"/>
    <n v="0"/>
    <n v="0"/>
    <n v="0"/>
    <n v="0"/>
    <n v="0"/>
    <n v="0"/>
    <n v="1"/>
    <n v="0"/>
    <n v="0"/>
    <x v="2"/>
  </r>
  <r>
    <s v="d."/>
    <x v="3"/>
    <x v="22"/>
    <x v="89"/>
    <s v="Ls"/>
    <n v="1"/>
    <n v="121830000"/>
    <n v="121830000"/>
    <n v="4.852555095499503E-3"/>
    <n v="0"/>
    <n v="0"/>
    <n v="0"/>
    <n v="0"/>
    <n v="0"/>
    <n v="0"/>
    <n v="0"/>
    <n v="1"/>
    <n v="0"/>
    <n v="0"/>
    <x v="2"/>
  </r>
  <r>
    <s v="1)"/>
    <x v="3"/>
    <x v="22"/>
    <x v="90"/>
    <s v=""/>
    <s v=""/>
    <s v=""/>
    <s v=""/>
    <s v=""/>
    <n v="0"/>
    <n v="0"/>
    <n v="0"/>
    <n v="0"/>
    <n v="0"/>
    <n v="0"/>
    <n v="0"/>
    <s v=""/>
    <n v="0"/>
    <n v="0"/>
    <x v="0"/>
  </r>
  <r>
    <s v="2)"/>
    <x v="3"/>
    <x v="22"/>
    <x v="91"/>
    <s v=""/>
    <s v=""/>
    <s v=""/>
    <s v=""/>
    <s v=""/>
    <n v="0"/>
    <n v="0"/>
    <n v="0"/>
    <n v="0"/>
    <n v="0"/>
    <n v="0"/>
    <n v="0"/>
    <s v=""/>
    <n v="0"/>
    <n v="0"/>
    <x v="0"/>
  </r>
  <r>
    <s v="3)"/>
    <x v="3"/>
    <x v="22"/>
    <x v="92"/>
    <s v=""/>
    <s v=""/>
    <s v=""/>
    <s v=""/>
    <s v=""/>
    <n v="0"/>
    <n v="0"/>
    <n v="0"/>
    <n v="0"/>
    <n v="0"/>
    <n v="0"/>
    <n v="0"/>
    <s v=""/>
    <n v="0"/>
    <n v="0"/>
    <x v="0"/>
  </r>
  <r>
    <s v="e."/>
    <x v="3"/>
    <x v="22"/>
    <x v="93"/>
    <s v="Ls"/>
    <n v="1"/>
    <n v="324880000"/>
    <n v="324880000"/>
    <n v="1.2940146921332009E-2"/>
    <n v="0"/>
    <n v="0"/>
    <n v="0"/>
    <n v="0"/>
    <n v="0"/>
    <n v="0"/>
    <n v="0"/>
    <n v="1"/>
    <n v="0"/>
    <n v="0"/>
    <x v="2"/>
  </r>
  <r>
    <s v="1)"/>
    <x v="3"/>
    <x v="22"/>
    <x v="90"/>
    <s v=""/>
    <s v=""/>
    <s v=""/>
    <s v=""/>
    <s v=""/>
    <n v="0"/>
    <n v="0"/>
    <n v="0"/>
    <n v="0"/>
    <n v="0"/>
    <n v="0"/>
    <n v="0"/>
    <s v=""/>
    <n v="0"/>
    <n v="0"/>
    <x v="0"/>
  </r>
  <r>
    <s v="2)"/>
    <x v="3"/>
    <x v="22"/>
    <x v="94"/>
    <s v=""/>
    <s v=""/>
    <s v=""/>
    <s v=""/>
    <s v=""/>
    <n v="0"/>
    <n v="0"/>
    <n v="0"/>
    <n v="0"/>
    <n v="0"/>
    <n v="0"/>
    <n v="0"/>
    <s v=""/>
    <n v="0"/>
    <n v="0"/>
    <x v="0"/>
  </r>
  <r>
    <s v="3)"/>
    <x v="3"/>
    <x v="22"/>
    <x v="95"/>
    <s v=""/>
    <s v=""/>
    <s v=""/>
    <s v=""/>
    <s v=""/>
    <n v="0"/>
    <n v="0"/>
    <n v="0"/>
    <n v="0"/>
    <n v="0"/>
    <n v="0"/>
    <n v="0"/>
    <s v=""/>
    <n v="0"/>
    <n v="0"/>
    <x v="0"/>
  </r>
  <r>
    <s v="4)"/>
    <x v="3"/>
    <x v="22"/>
    <x v="96"/>
    <s v=""/>
    <s v=""/>
    <s v=""/>
    <s v=""/>
    <s v=""/>
    <n v="0"/>
    <n v="0"/>
    <n v="0"/>
    <n v="0"/>
    <n v="0"/>
    <n v="0"/>
    <n v="0"/>
    <s v=""/>
    <n v="0"/>
    <n v="0"/>
    <x v="0"/>
  </r>
  <r>
    <s v="f."/>
    <x v="3"/>
    <x v="22"/>
    <x v="97"/>
    <s v="Ls"/>
    <n v="1"/>
    <n v="12183000"/>
    <n v="12183000"/>
    <n v="4.8525550954995033E-4"/>
    <n v="0"/>
    <n v="0"/>
    <n v="0"/>
    <n v="0"/>
    <n v="0"/>
    <n v="0"/>
    <n v="0"/>
    <n v="1"/>
    <n v="0"/>
    <n v="0"/>
    <x v="2"/>
  </r>
  <r>
    <n v="2"/>
    <x v="3"/>
    <x v="23"/>
    <x v="98"/>
    <s v=""/>
    <s v=""/>
    <s v=""/>
    <s v=""/>
    <s v=""/>
    <n v="0"/>
    <n v="0"/>
    <n v="0"/>
    <n v="0"/>
    <n v="0"/>
    <n v="0"/>
    <n v="0"/>
    <s v=""/>
    <n v="0"/>
    <n v="0"/>
    <x v="0"/>
  </r>
  <r>
    <s v="a."/>
    <x v="3"/>
    <x v="23"/>
    <x v="99"/>
    <s v="Ls"/>
    <n v="1"/>
    <n v="6498000"/>
    <n v="6498000"/>
    <n v="2.5881887064397745E-4"/>
    <n v="0"/>
    <n v="0"/>
    <n v="0"/>
    <n v="0"/>
    <n v="0"/>
    <n v="0"/>
    <n v="0"/>
    <n v="1"/>
    <n v="0"/>
    <n v="0"/>
    <x v="2"/>
  </r>
  <r>
    <s v="b."/>
    <x v="3"/>
    <x v="23"/>
    <x v="100"/>
    <s v="Ls"/>
    <n v="1"/>
    <n v="1539524500"/>
    <n v="1539524500"/>
    <n v="6.1320097325136047E-2"/>
    <n v="0"/>
    <n v="0"/>
    <n v="0"/>
    <n v="0"/>
    <n v="0"/>
    <n v="0"/>
    <n v="0"/>
    <n v="1"/>
    <n v="0"/>
    <n v="0"/>
    <x v="2"/>
  </r>
  <r>
    <s v="1)"/>
    <x v="3"/>
    <x v="23"/>
    <x v="101"/>
    <s v=""/>
    <s v=""/>
    <s v=""/>
    <s v=""/>
    <s v=""/>
    <n v="0"/>
    <n v="0"/>
    <n v="0"/>
    <n v="0"/>
    <n v="0"/>
    <n v="0"/>
    <n v="0"/>
    <s v=""/>
    <n v="0"/>
    <n v="0"/>
    <x v="0"/>
  </r>
  <r>
    <s v="2)"/>
    <x v="3"/>
    <x v="23"/>
    <x v="102"/>
    <s v=""/>
    <s v=""/>
    <s v=""/>
    <s v=""/>
    <s v=""/>
    <n v="0"/>
    <n v="0"/>
    <n v="0"/>
    <n v="0"/>
    <n v="0"/>
    <n v="0"/>
    <n v="0"/>
    <s v=""/>
    <n v="0"/>
    <n v="0"/>
    <x v="0"/>
  </r>
  <r>
    <s v="3)"/>
    <x v="3"/>
    <x v="23"/>
    <x v="96"/>
    <s v=""/>
    <s v=""/>
    <s v=""/>
    <s v=""/>
    <s v=""/>
    <n v="0"/>
    <n v="0"/>
    <n v="0"/>
    <n v="0"/>
    <n v="0"/>
    <n v="0"/>
    <n v="0"/>
    <s v=""/>
    <n v="0"/>
    <n v="0"/>
    <x v="0"/>
  </r>
  <r>
    <s v="c."/>
    <x v="3"/>
    <x v="23"/>
    <x v="103"/>
    <s v="Ls"/>
    <n v="1"/>
    <n v="483664500"/>
    <n v="483664500"/>
    <n v="1.9264619830807021E-2"/>
    <n v="0"/>
    <n v="0"/>
    <n v="0"/>
    <n v="0"/>
    <n v="0"/>
    <n v="0"/>
    <n v="0"/>
    <n v="1"/>
    <n v="0"/>
    <n v="0"/>
    <x v="2"/>
  </r>
  <r>
    <s v="1)"/>
    <x v="3"/>
    <x v="23"/>
    <x v="104"/>
    <s v=""/>
    <s v=""/>
    <s v=""/>
    <s v=""/>
    <s v=""/>
    <n v="0"/>
    <n v="0"/>
    <n v="0"/>
    <n v="0"/>
    <n v="0"/>
    <n v="0"/>
    <n v="0"/>
    <s v=""/>
    <n v="0"/>
    <n v="0"/>
    <x v="0"/>
  </r>
  <r>
    <s v="2)"/>
    <x v="3"/>
    <x v="23"/>
    <x v="105"/>
    <s v=""/>
    <s v=""/>
    <s v=""/>
    <s v=""/>
    <s v=""/>
    <n v="0"/>
    <n v="0"/>
    <n v="0"/>
    <n v="0"/>
    <n v="0"/>
    <n v="0"/>
    <n v="0"/>
    <s v=""/>
    <n v="0"/>
    <n v="0"/>
    <x v="0"/>
  </r>
  <r>
    <s v="d."/>
    <x v="3"/>
    <x v="23"/>
    <x v="106"/>
    <s v="Ls"/>
    <n v="1"/>
    <n v="73098000"/>
    <n v="73098000"/>
    <n v="2.9115330572997019E-3"/>
    <n v="0"/>
    <n v="0"/>
    <n v="0"/>
    <n v="0"/>
    <n v="0"/>
    <n v="0"/>
    <n v="0"/>
    <n v="1"/>
    <n v="0"/>
    <n v="0"/>
    <x v="2"/>
  </r>
  <r>
    <s v="e."/>
    <x v="3"/>
    <x v="23"/>
    <x v="107"/>
    <s v="Ls"/>
    <n v="1"/>
    <n v="12183000"/>
    <n v="12183000"/>
    <n v="4.8525550954995033E-4"/>
    <n v="0"/>
    <n v="0"/>
    <n v="0"/>
    <n v="0"/>
    <n v="0"/>
    <n v="0"/>
    <n v="0"/>
    <n v="1"/>
    <n v="0"/>
    <n v="0"/>
    <x v="2"/>
  </r>
  <r>
    <s v="f."/>
    <x v="3"/>
    <x v="23"/>
    <x v="108"/>
    <s v="Ls"/>
    <n v="1"/>
    <n v="203050000"/>
    <n v="203050000"/>
    <n v="8.0875918258325047E-3"/>
    <n v="0"/>
    <n v="0"/>
    <n v="0"/>
    <n v="0"/>
    <n v="0"/>
    <n v="0"/>
    <n v="0"/>
    <n v="1"/>
    <n v="0"/>
    <n v="0"/>
    <x v="2"/>
  </r>
  <r>
    <s v=""/>
    <x v="3"/>
    <x v="23"/>
    <x v="109"/>
    <s v=""/>
    <s v=""/>
    <s v=""/>
    <s v=""/>
    <s v=""/>
    <n v="0"/>
    <n v="0"/>
    <n v="0"/>
    <n v="0"/>
    <n v="0"/>
    <n v="0"/>
    <n v="0"/>
    <s v="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FCEDA-4E0E-4DCC-AD25-90DEED7A4447}" name="PivotProgres" cacheId="0" applyNumberFormats="0" applyBorderFormats="0" applyFontFormats="0" applyPatternFormats="0" applyAlignmentFormats="0" applyWidthHeightFormats="1" dataCaption="Nilai" updatedVersion="8" minRefreshableVersion="3" useAutoFormatting="1" rowGrandTotals="0" itemPrintTitles="1" createdVersion="8" indent="0" compact="0" outline="1" outlineData="1" compactData="0" multipleFieldFilters="0">
  <location ref="A5:I186" firstHeaderRow="0" firstDataRow="1" firstDataCol="3" rowPageCount="1" colPageCount="1"/>
  <pivotFields count="20">
    <pivotField compact="0" showAll="0"/>
    <pivotField axis="axisRow" compact="0" showAll="0">
      <items count="5">
        <item x="3"/>
        <item x="0"/>
        <item x="1"/>
        <item x="2"/>
        <item t="default"/>
      </items>
    </pivotField>
    <pivotField axis="axisRow" compact="0" showAll="0">
      <items count="25">
        <item x="0"/>
        <item x="7"/>
        <item x="6"/>
        <item x="5"/>
        <item x="22"/>
        <item x="23"/>
        <item x="4"/>
        <item x="13"/>
        <item x="12"/>
        <item x="10"/>
        <item x="14"/>
        <item x="11"/>
        <item x="9"/>
        <item x="20"/>
        <item x="16"/>
        <item x="8"/>
        <item x="18"/>
        <item x="3"/>
        <item x="15"/>
        <item x="21"/>
        <item x="17"/>
        <item x="19"/>
        <item x="1"/>
        <item x="2"/>
        <item t="default"/>
      </items>
    </pivotField>
    <pivotField axis="axisRow" compact="0" showAll="0">
      <items count="111">
        <item x="109"/>
        <item x="48"/>
        <item x="36"/>
        <item x="37"/>
        <item x="38"/>
        <item x="45"/>
        <item x="29"/>
        <item x="7"/>
        <item x="30"/>
        <item x="8"/>
        <item x="68"/>
        <item x="54"/>
        <item x="46"/>
        <item x="43"/>
        <item x="18"/>
        <item x="85"/>
        <item x="98"/>
        <item x="103"/>
        <item x="61"/>
        <item x="32"/>
        <item x="10"/>
        <item x="94"/>
        <item x="102"/>
        <item x="31"/>
        <item x="9"/>
        <item x="70"/>
        <item x="69"/>
        <item x="17"/>
        <item x="66"/>
        <item x="92"/>
        <item x="95"/>
        <item x="52"/>
        <item x="15"/>
        <item x="16"/>
        <item x="14"/>
        <item x="44"/>
        <item x="26"/>
        <item x="3"/>
        <item x="28"/>
        <item x="5"/>
        <item x="27"/>
        <item x="4"/>
        <item x="51"/>
        <item x="55"/>
        <item x="41"/>
        <item x="23"/>
        <item x="108"/>
        <item x="75"/>
        <item x="86"/>
        <item x="13"/>
        <item x="106"/>
        <item x="87"/>
        <item x="90"/>
        <item x="101"/>
        <item x="64"/>
        <item x="58"/>
        <item x="65"/>
        <item x="63"/>
        <item x="57"/>
        <item x="91"/>
        <item x="88"/>
        <item x="89"/>
        <item x="93"/>
        <item x="73"/>
        <item x="62"/>
        <item x="53"/>
        <item x="82"/>
        <item x="76"/>
        <item x="50"/>
        <item x="80"/>
        <item x="12"/>
        <item x="107"/>
        <item x="96"/>
        <item x="60"/>
        <item x="104"/>
        <item x="105"/>
        <item x="22"/>
        <item x="20"/>
        <item x="56"/>
        <item x="21"/>
        <item x="39"/>
        <item x="40"/>
        <item x="59"/>
        <item x="74"/>
        <item x="83"/>
        <item x="77"/>
        <item x="79"/>
        <item x="78"/>
        <item x="81"/>
        <item x="84"/>
        <item x="0"/>
        <item x="42"/>
        <item x="49"/>
        <item x="25"/>
        <item x="2"/>
        <item x="19"/>
        <item x="33"/>
        <item x="11"/>
        <item x="1"/>
        <item x="6"/>
        <item x="97"/>
        <item x="47"/>
        <item x="34"/>
        <item x="35"/>
        <item x="71"/>
        <item x="24"/>
        <item x="99"/>
        <item x="100"/>
        <item x="72"/>
        <item x="67"/>
        <item t="default"/>
      </items>
    </pivotField>
    <pivotField compact="0" showAll="0"/>
    <pivotField dataField="1" compact="0" showAll="0"/>
    <pivotField compact="0" showAll="0"/>
    <pivotField dataField="1" compact="0" showAll="0"/>
    <pivotField dataField="1" compact="0" showAll="0"/>
    <pivotField compact="0" numFmtId="4" showAll="0"/>
    <pivotField compact="0" numFmtId="4" showAll="0"/>
    <pivotField compact="0" numFmtId="4" showAll="0"/>
    <pivotField compact="0" numFmtId="4" showAll="0"/>
    <pivotField compact="0" numFmtId="4" showAll="0"/>
    <pivotField compact="0" numFmtId="4" showAll="0"/>
    <pivotField dataField="1" compact="0" numFmtId="4" showAll="0"/>
    <pivotField dataField="1" compact="0" showAll="0"/>
    <pivotField compact="0" numFmtId="10" showAll="0"/>
    <pivotField dataField="1" compact="0" numFmtId="10" showAll="0"/>
    <pivotField axis="axisPage" compact="0" showAll="0">
      <items count="5">
        <item x="0"/>
        <item x="2"/>
        <item x="1"/>
        <item x="3"/>
        <item t="default"/>
      </items>
    </pivotField>
  </pivotFields>
  <rowFields count="3">
    <field x="1"/>
    <field x="2"/>
    <field x="3"/>
  </rowFields>
  <rowItems count="181">
    <i>
      <x/>
    </i>
    <i r="1">
      <x/>
    </i>
    <i r="2">
      <x v="89"/>
    </i>
    <i r="1">
      <x v="4"/>
    </i>
    <i r="2">
      <x v="15"/>
    </i>
    <i r="2">
      <x v="21"/>
    </i>
    <i r="2">
      <x v="29"/>
    </i>
    <i r="2">
      <x v="30"/>
    </i>
    <i r="2">
      <x v="48"/>
    </i>
    <i r="2">
      <x v="51"/>
    </i>
    <i r="2">
      <x v="52"/>
    </i>
    <i r="2">
      <x v="59"/>
    </i>
    <i r="2">
      <x v="60"/>
    </i>
    <i r="2">
      <x v="61"/>
    </i>
    <i r="2">
      <x v="62"/>
    </i>
    <i r="2">
      <x v="72"/>
    </i>
    <i r="2">
      <x v="100"/>
    </i>
    <i r="1">
      <x v="5"/>
    </i>
    <i r="2">
      <x/>
    </i>
    <i r="2">
      <x v="16"/>
    </i>
    <i r="2">
      <x v="17"/>
    </i>
    <i r="2">
      <x v="22"/>
    </i>
    <i r="2">
      <x v="46"/>
    </i>
    <i r="2">
      <x v="50"/>
    </i>
    <i r="2">
      <x v="53"/>
    </i>
    <i r="2">
      <x v="71"/>
    </i>
    <i r="2">
      <x v="72"/>
    </i>
    <i r="2">
      <x v="74"/>
    </i>
    <i r="2">
      <x v="75"/>
    </i>
    <i r="2">
      <x v="106"/>
    </i>
    <i r="2">
      <x v="107"/>
    </i>
    <i>
      <x v="1"/>
    </i>
    <i r="1">
      <x/>
    </i>
    <i r="2">
      <x v="90"/>
    </i>
    <i r="1">
      <x v="3"/>
    </i>
    <i r="2">
      <x v="2"/>
    </i>
    <i r="2">
      <x v="3"/>
    </i>
    <i r="2">
      <x v="4"/>
    </i>
    <i r="2">
      <x v="6"/>
    </i>
    <i r="2">
      <x v="8"/>
    </i>
    <i r="2">
      <x v="14"/>
    </i>
    <i r="2">
      <x v="19"/>
    </i>
    <i r="2">
      <x v="23"/>
    </i>
    <i r="2">
      <x v="36"/>
    </i>
    <i r="2">
      <x v="38"/>
    </i>
    <i r="2">
      <x v="40"/>
    </i>
    <i r="2">
      <x v="44"/>
    </i>
    <i r="2">
      <x v="45"/>
    </i>
    <i r="2">
      <x v="76"/>
    </i>
    <i r="2">
      <x v="77"/>
    </i>
    <i r="2">
      <x v="79"/>
    </i>
    <i r="2">
      <x v="80"/>
    </i>
    <i r="2">
      <x v="81"/>
    </i>
    <i r="2">
      <x v="93"/>
    </i>
    <i r="2">
      <x v="95"/>
    </i>
    <i r="2">
      <x v="96"/>
    </i>
    <i r="2">
      <x v="102"/>
    </i>
    <i r="2">
      <x v="103"/>
    </i>
    <i r="2">
      <x v="105"/>
    </i>
    <i r="1">
      <x v="6"/>
    </i>
    <i r="2">
      <x v="27"/>
    </i>
    <i r="2">
      <x v="32"/>
    </i>
    <i r="2">
      <x v="33"/>
    </i>
    <i r="2">
      <x v="34"/>
    </i>
    <i r="2">
      <x v="49"/>
    </i>
    <i r="1">
      <x v="17"/>
    </i>
    <i r="2">
      <x v="70"/>
    </i>
    <i r="1">
      <x v="22"/>
    </i>
    <i r="2">
      <x v="37"/>
    </i>
    <i r="2">
      <x v="39"/>
    </i>
    <i r="2">
      <x v="41"/>
    </i>
    <i r="2">
      <x v="94"/>
    </i>
    <i r="2">
      <x v="98"/>
    </i>
    <i r="1">
      <x v="23"/>
    </i>
    <i r="2">
      <x v="7"/>
    </i>
    <i r="2">
      <x v="9"/>
    </i>
    <i r="2">
      <x v="20"/>
    </i>
    <i r="2">
      <x v="24"/>
    </i>
    <i r="2">
      <x v="97"/>
    </i>
    <i r="2">
      <x v="99"/>
    </i>
    <i>
      <x v="2"/>
    </i>
    <i r="1">
      <x/>
    </i>
    <i r="2">
      <x v="91"/>
    </i>
    <i r="1">
      <x v="1"/>
    </i>
    <i r="2">
      <x v="1"/>
    </i>
    <i r="2">
      <x v="4"/>
    </i>
    <i r="2">
      <x v="12"/>
    </i>
    <i r="2">
      <x v="44"/>
    </i>
    <i r="2">
      <x v="45"/>
    </i>
    <i r="2">
      <x v="76"/>
    </i>
    <i r="2">
      <x v="77"/>
    </i>
    <i r="2">
      <x v="79"/>
    </i>
    <i r="2">
      <x v="80"/>
    </i>
    <i r="2">
      <x v="81"/>
    </i>
    <i r="2">
      <x v="95"/>
    </i>
    <i r="2">
      <x v="101"/>
    </i>
    <i r="1">
      <x v="2"/>
    </i>
    <i r="2">
      <x v="5"/>
    </i>
    <i r="2">
      <x v="7"/>
    </i>
    <i r="2">
      <x v="9"/>
    </i>
    <i r="2">
      <x v="13"/>
    </i>
    <i r="2">
      <x v="20"/>
    </i>
    <i r="2">
      <x v="24"/>
    </i>
    <i r="2">
      <x v="35"/>
    </i>
    <i r="2">
      <x v="37"/>
    </i>
    <i r="2">
      <x v="41"/>
    </i>
    <i r="2">
      <x v="94"/>
    </i>
    <i r="2">
      <x v="97"/>
    </i>
    <i r="2">
      <x v="98"/>
    </i>
    <i>
      <x v="3"/>
    </i>
    <i r="1">
      <x/>
    </i>
    <i r="2">
      <x v="92"/>
    </i>
    <i r="1">
      <x v="7"/>
    </i>
    <i r="2">
      <x v="10"/>
    </i>
    <i r="2">
      <x v="25"/>
    </i>
    <i r="2">
      <x v="26"/>
    </i>
    <i r="2">
      <x v="28"/>
    </i>
    <i r="2">
      <x v="56"/>
    </i>
    <i r="2">
      <x v="104"/>
    </i>
    <i r="2">
      <x v="108"/>
    </i>
    <i r="2">
      <x v="109"/>
    </i>
    <i r="1">
      <x v="8"/>
    </i>
    <i r="2">
      <x v="18"/>
    </i>
    <i r="2">
      <x v="54"/>
    </i>
    <i r="2">
      <x v="57"/>
    </i>
    <i r="2">
      <x v="73"/>
    </i>
    <i r="2">
      <x v="82"/>
    </i>
    <i r="1">
      <x v="9"/>
    </i>
    <i r="2">
      <x v="18"/>
    </i>
    <i r="2">
      <x v="55"/>
    </i>
    <i r="2">
      <x v="58"/>
    </i>
    <i r="2">
      <x v="73"/>
    </i>
    <i r="2">
      <x v="82"/>
    </i>
    <i r="1">
      <x v="10"/>
    </i>
    <i r="2">
      <x v="31"/>
    </i>
    <i r="2">
      <x v="42"/>
    </i>
    <i r="2">
      <x v="63"/>
    </i>
    <i r="1">
      <x v="11"/>
    </i>
    <i r="2">
      <x v="43"/>
    </i>
    <i r="2">
      <x v="64"/>
    </i>
    <i r="1">
      <x v="12"/>
    </i>
    <i r="2">
      <x v="11"/>
    </i>
    <i r="2">
      <x v="43"/>
    </i>
    <i r="2">
      <x v="65"/>
    </i>
    <i r="2">
      <x v="78"/>
    </i>
    <i r="1">
      <x v="13"/>
    </i>
    <i r="2">
      <x v="31"/>
    </i>
    <i r="2">
      <x v="42"/>
    </i>
    <i r="2">
      <x v="66"/>
    </i>
    <i r="1">
      <x v="14"/>
    </i>
    <i r="2">
      <x v="31"/>
    </i>
    <i r="2">
      <x v="42"/>
    </i>
    <i r="2">
      <x v="67"/>
    </i>
    <i r="1">
      <x v="15"/>
    </i>
    <i r="2">
      <x v="31"/>
    </i>
    <i r="2">
      <x v="42"/>
    </i>
    <i r="2">
      <x v="68"/>
    </i>
    <i r="1">
      <x v="16"/>
    </i>
    <i r="2">
      <x v="31"/>
    </i>
    <i r="2">
      <x v="42"/>
    </i>
    <i r="2">
      <x v="69"/>
    </i>
    <i r="1">
      <x v="18"/>
    </i>
    <i r="2">
      <x v="43"/>
    </i>
    <i r="2">
      <x v="47"/>
    </i>
    <i r="2">
      <x v="78"/>
    </i>
    <i r="2">
      <x v="83"/>
    </i>
    <i r="1">
      <x v="19"/>
    </i>
    <i r="2">
      <x v="43"/>
    </i>
    <i r="2">
      <x v="47"/>
    </i>
    <i r="2">
      <x v="84"/>
    </i>
    <i r="1">
      <x v="20"/>
    </i>
    <i r="2">
      <x v="43"/>
    </i>
    <i r="2">
      <x v="47"/>
    </i>
    <i r="2">
      <x v="78"/>
    </i>
    <i r="2">
      <x v="85"/>
    </i>
    <i r="2">
      <x v="86"/>
    </i>
    <i r="2">
      <x v="87"/>
    </i>
    <i r="1">
      <x v="21"/>
    </i>
    <i r="2">
      <x v="43"/>
    </i>
    <i r="2">
      <x v="47"/>
    </i>
    <i r="2">
      <x v="88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9" hier="-1"/>
  </pageFields>
  <dataFields count="6">
    <dataField name="Jumlah Harga (Rp)" fld="7" baseField="0" baseItem="0" numFmtId="3"/>
    <dataField name="Bobot Kontrak" fld="8" baseField="0" baseItem="0" numFmtId="176"/>
    <dataField name="Bobot Tercapai" fld="18" baseField="0" baseItem="0" numFmtId="176"/>
    <dataField name="Vol Kontrak" fld="5" baseField="0" baseItem="0" numFmtId="4"/>
    <dataField name="Vol Terpakai" fld="15" baseField="0" baseItem="0" numFmtId="4"/>
    <dataField name="Sisa Vol" fld="16" baseField="0" baseItem="0" numFmtId="4"/>
  </dataFields>
  <formats count="3">
    <format dxfId="35">
      <pivotArea outline="0" fieldPosition="0">
        <references count="1">
          <reference field="4294967294" count="1" selected="0">
            <x v="0"/>
          </reference>
        </references>
      </pivotArea>
    </format>
    <format dxfId="34">
      <pivotArea outline="0" fieldPosition="0">
        <references count="1">
          <reference field="4294967294" count="2" selected="0">
            <x v="1"/>
            <x v="2"/>
          </reference>
        </references>
      </pivotArea>
    </format>
    <format dxfId="3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7DE1E24-401E-45AA-A3E1-537C216E9A4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4bd10b1-cf2e-4add-b68f-4f71de240f0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B9806FC-91BA-4180-BC91-980625B20484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9A6A-04AB-4355-BB97-5BB7836C3DA7}">
  <sheetPr>
    <pageSetUpPr fitToPage="1"/>
  </sheetPr>
  <dimension ref="A1:AD95"/>
  <sheetViews>
    <sheetView view="pageBreakPreview" topLeftCell="C14" zoomScale="70" zoomScaleNormal="100" zoomScaleSheetLayoutView="70" zoomScalePageLayoutView="54" workbookViewId="0">
      <selection activeCell="K36" sqref="K36"/>
    </sheetView>
  </sheetViews>
  <sheetFormatPr defaultColWidth="8.81640625" defaultRowHeight="15"/>
  <cols>
    <col min="1" max="1" width="11.54296875" style="268" bestFit="1" customWidth="1"/>
    <col min="2" max="2" width="3.1796875" style="268" customWidth="1"/>
    <col min="3" max="3" width="5.81640625" style="268" customWidth="1"/>
    <col min="4" max="4" width="3.81640625" style="268" customWidth="1"/>
    <col min="5" max="5" width="20.54296875" style="268" customWidth="1"/>
    <col min="6" max="6" width="2.1796875" style="268" customWidth="1"/>
    <col min="7" max="7" width="9.36328125" style="268" customWidth="1"/>
    <col min="8" max="8" width="11.1796875" style="268" customWidth="1"/>
    <col min="9" max="9" width="7.1796875" style="268" customWidth="1"/>
    <col min="10" max="10" width="14.81640625" style="268" customWidth="1"/>
    <col min="11" max="11" width="15.81640625" style="268" customWidth="1"/>
    <col min="12" max="12" width="5.81640625" style="268" customWidth="1"/>
    <col min="13" max="13" width="16.36328125" style="268" customWidth="1"/>
    <col min="14" max="14" width="10.1796875" style="268" customWidth="1"/>
    <col min="15" max="15" width="20.1796875" style="268" customWidth="1"/>
    <col min="16" max="16" width="1.81640625" style="268" customWidth="1"/>
    <col min="17" max="17" width="22.54296875" style="268" customWidth="1"/>
    <col min="18" max="18" width="14.81640625" style="269" bestFit="1" customWidth="1"/>
    <col min="19" max="16384" width="8.81640625" style="268"/>
  </cols>
  <sheetData>
    <row r="1" spans="1:18"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</row>
    <row r="2" spans="1:18" ht="10.199999999999999" customHeight="1">
      <c r="B2" s="308"/>
      <c r="C2" s="308"/>
      <c r="D2" s="309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</row>
    <row r="3" spans="1:18" ht="24" customHeight="1">
      <c r="B3" s="308"/>
      <c r="C3" s="308"/>
      <c r="D3" s="309"/>
      <c r="E3" s="310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</row>
    <row r="4" spans="1:18" ht="24" customHeight="1">
      <c r="B4" s="308"/>
      <c r="C4" s="308"/>
      <c r="D4" s="309"/>
      <c r="E4" s="310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</row>
    <row r="5" spans="1:18">
      <c r="B5" s="308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</row>
    <row r="6" spans="1:18">
      <c r="B6" s="308"/>
      <c r="C6" s="308"/>
      <c r="D6" s="308"/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</row>
    <row r="7" spans="1:18">
      <c r="B7" s="308"/>
      <c r="C7" s="308"/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  <c r="P7" s="308"/>
    </row>
    <row r="8" spans="1:18">
      <c r="B8" s="308"/>
      <c r="C8" s="308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08"/>
    </row>
    <row r="9" spans="1:18"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</row>
    <row r="10" spans="1:18" ht="20.399999999999999">
      <c r="B10" s="561" t="s">
        <v>0</v>
      </c>
      <c r="C10" s="561"/>
      <c r="D10" s="561"/>
      <c r="E10" s="561"/>
      <c r="F10" s="561"/>
      <c r="G10" s="561"/>
      <c r="H10" s="561"/>
      <c r="I10" s="561"/>
      <c r="J10" s="561"/>
      <c r="K10" s="561"/>
      <c r="L10" s="561"/>
      <c r="M10" s="561"/>
      <c r="N10" s="561"/>
      <c r="O10" s="561"/>
      <c r="P10" s="308"/>
    </row>
    <row r="11" spans="1:18" s="298" customFormat="1">
      <c r="B11" s="562">
        <f>DATA!$B$32</f>
      </c>
      <c r="C11" s="562"/>
      <c r="D11" s="562"/>
      <c r="E11" s="562"/>
      <c r="F11" s="562"/>
      <c r="G11" s="562"/>
      <c r="H11" s="562"/>
      <c r="I11" s="562"/>
      <c r="J11" s="562"/>
      <c r="K11" s="562"/>
      <c r="L11" s="562"/>
      <c r="M11" s="562"/>
      <c r="N11" s="562"/>
      <c r="O11" s="562"/>
      <c r="P11" s="311"/>
      <c r="R11" s="299"/>
    </row>
    <row r="12" spans="1:18" s="298" customFormat="1" ht="15.6" thickBot="1"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05">
        <f>DATA!$B$35</f>
      </c>
      <c r="R12" s="305">
        <f>"("&amp;TEXT($Q$12,"[$-21]dd mmmm yyyy")&amp;")"</f>
      </c>
    </row>
    <row r="13" spans="1:18" ht="24" customHeight="1">
      <c r="A13" s="307"/>
      <c r="B13" s="563">
        <f>"Pada hari ini "&amp;Q13&amp;" tanggal "&amp;Q14&amp;" bulan "&amp;Q15&amp;" tahun "&amp;Q16&amp;" "&amp;R12&amp;", kami yang bertandatangan di bawah ini:"</f>
      </c>
      <c r="C13" s="564"/>
      <c r="D13" s="564"/>
      <c r="E13" s="564"/>
      <c r="F13" s="564"/>
      <c r="G13" s="564"/>
      <c r="H13" s="564"/>
      <c r="I13" s="564"/>
      <c r="J13" s="564"/>
      <c r="K13" s="564"/>
      <c r="L13" s="564"/>
      <c r="M13" s="564"/>
      <c r="N13" s="564"/>
      <c r="O13" s="564"/>
      <c r="P13" s="308"/>
      <c r="Q13" s="305">
        <f>DATA!$B$55</f>
      </c>
      <c r="R13" s="306"/>
    </row>
    <row r="14" spans="1:18" s="298" customFormat="1"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05">
        <f>DATA!$B$56</f>
      </c>
      <c r="R14" s="299"/>
    </row>
    <row r="15" spans="1:18" ht="60.45" customHeight="1">
      <c r="B15" s="313" t="s">
        <v>1</v>
      </c>
      <c r="C15" s="314">
        <f>DATA!$B$69</f>
      </c>
      <c r="D15" s="313"/>
      <c r="E15" s="313"/>
      <c r="F15" s="315" t="s">
        <v>2</v>
      </c>
      <c r="G15" s="565">
        <f>"Selaku "&amp;DATA!$B$70&amp;", "&amp;DATA!$B$7&amp;", dalam hal ini bertindak untuk dan atas nama "&amp;DATA!$B$17&amp;", yang berkedudukan di "&amp;DATA!$B$18&amp;", (selanjutnya disebut sebagai PIHAK PERTAMA)."</f>
      </c>
      <c r="H15" s="565"/>
      <c r="I15" s="565"/>
      <c r="J15" s="565"/>
      <c r="K15" s="565"/>
      <c r="L15" s="565"/>
      <c r="M15" s="565"/>
      <c r="N15" s="565"/>
      <c r="O15" s="565"/>
      <c r="P15" s="308"/>
      <c r="Q15" s="305">
        <f>DATA!$B$57</f>
      </c>
    </row>
    <row r="16" spans="1:18">
      <c r="B16" s="308"/>
      <c r="C16" s="308"/>
      <c r="D16" s="308"/>
      <c r="E16" s="308"/>
      <c r="F16" s="316"/>
      <c r="G16" s="317"/>
      <c r="H16" s="317"/>
      <c r="I16" s="317"/>
      <c r="J16" s="566"/>
      <c r="K16" s="566"/>
      <c r="L16" s="318"/>
      <c r="M16" s="318"/>
      <c r="N16" s="317"/>
      <c r="O16" s="317"/>
      <c r="P16" s="308"/>
      <c r="Q16" s="305">
        <f>DATA!$B$58</f>
      </c>
    </row>
    <row r="17" spans="1:30" ht="51.6" customHeight="1">
      <c r="B17" s="313" t="s">
        <v>3</v>
      </c>
      <c r="C17" s="319">
        <f>DATA!$B$22</f>
      </c>
      <c r="D17" s="313"/>
      <c r="E17" s="313"/>
      <c r="F17" s="315" t="s">
        <v>2</v>
      </c>
      <c r="G17" s="559">
        <f>"Selaku "&amp;DATA!$B$23&amp;" "&amp;DATA!$B$24&amp;", dalam hal ini bertindak untuk dan atas nama "&amp;DATA!$B$24&amp;" yang berkedudukan di "&amp;DATA!$B$25&amp;", (selanjutnya disebut sebagai PIHAK KEDUA)."</f>
      </c>
      <c r="H17" s="559"/>
      <c r="I17" s="559"/>
      <c r="J17" s="559"/>
      <c r="K17" s="559"/>
      <c r="L17" s="559"/>
      <c r="M17" s="559"/>
      <c r="N17" s="559"/>
      <c r="O17" s="559"/>
      <c r="P17" s="308"/>
    </row>
    <row r="18" spans="1:30" ht="15" customHeight="1">
      <c r="B18" s="313"/>
      <c r="C18" s="319"/>
      <c r="D18" s="313"/>
      <c r="E18" s="313"/>
      <c r="F18" s="315"/>
      <c r="G18" s="304"/>
      <c r="H18" s="303"/>
      <c r="I18" s="303"/>
      <c r="J18" s="303"/>
      <c r="K18" s="303"/>
      <c r="L18" s="303"/>
      <c r="M18" s="303"/>
      <c r="N18" s="303"/>
      <c r="O18" s="303"/>
      <c r="P18" s="308"/>
    </row>
    <row r="19" spans="1:30" ht="43.5" customHeight="1">
      <c r="B19" s="567">
        <f>"Menerangkan bahwa kedua belah pihak telah melakukan pemeriksaan atas "&amp;DATA!$B$6&amp;" untuk "&amp;DATA!$B$7&amp;", dan berdasarkan :"</f>
      </c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30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568"/>
      <c r="AB19" s="568"/>
      <c r="AC19" s="568"/>
      <c r="AD19" s="568"/>
    </row>
    <row r="20" spans="1:30">
      <c r="B20" s="320"/>
      <c r="C20" s="320"/>
      <c r="D20" s="320"/>
      <c r="E20" s="320"/>
      <c r="F20" s="320"/>
      <c r="G20" s="320"/>
      <c r="H20" s="320"/>
      <c r="I20" s="320"/>
      <c r="J20" s="320"/>
      <c r="K20" s="320"/>
      <c r="L20" s="320"/>
      <c r="M20" s="320"/>
      <c r="N20" s="320"/>
      <c r="O20" s="320"/>
      <c r="P20" s="308"/>
    </row>
    <row r="21" spans="1:30" s="269" customFormat="1">
      <c r="A21" s="268"/>
      <c r="B21" s="316" t="s">
        <v>4</v>
      </c>
      <c r="C21" s="308" t="s">
        <v>5</v>
      </c>
      <c r="D21" s="308"/>
      <c r="E21" s="308"/>
      <c r="F21" s="316" t="s">
        <v>2</v>
      </c>
      <c r="G21" s="321">
        <f>DATA!$B$4</f>
      </c>
      <c r="H21" s="308"/>
      <c r="I21" s="308"/>
      <c r="J21" s="322"/>
      <c r="K21" s="323" t="s">
        <v>6</v>
      </c>
      <c r="L21" s="560">
        <f>TEXT(DATA!$B$5,"[$-21]dd mmmm yyyy")</f>
      </c>
      <c r="M21" s="560"/>
      <c r="N21" s="322"/>
      <c r="O21" s="322"/>
      <c r="P21" s="308"/>
      <c r="Q21" s="268"/>
      <c r="S21" s="268"/>
      <c r="T21" s="268"/>
      <c r="U21" s="268"/>
      <c r="V21" s="268"/>
    </row>
    <row r="22" spans="1:30" s="269" customFormat="1">
      <c r="A22" s="268"/>
      <c r="B22" s="316" t="s">
        <v>4</v>
      </c>
      <c r="C22" s="308" t="s">
        <v>7</v>
      </c>
      <c r="D22" s="308"/>
      <c r="E22" s="308"/>
      <c r="F22" s="316" t="s">
        <v>2</v>
      </c>
      <c r="G22" s="575">
        <f>#REF!</f>
      </c>
      <c r="H22" s="575"/>
      <c r="I22" s="575"/>
      <c r="J22" s="324"/>
      <c r="K22" s="324"/>
      <c r="L22" s="324"/>
      <c r="M22" s="325"/>
      <c r="N22" s="308"/>
      <c r="O22" s="308"/>
      <c r="P22" s="308"/>
      <c r="Q22" s="268"/>
      <c r="S22" s="268"/>
      <c r="T22" s="268"/>
      <c r="U22" s="268"/>
      <c r="V22" s="268"/>
    </row>
    <row r="23" spans="1:30" s="269" customFormat="1">
      <c r="A23" s="268"/>
      <c r="B23" s="316" t="s">
        <v>4</v>
      </c>
      <c r="C23" s="308" t="s">
        <v>8</v>
      </c>
      <c r="D23" s="308"/>
      <c r="E23" s="308"/>
      <c r="F23" s="316" t="s">
        <v>2</v>
      </c>
      <c r="G23" s="569">
        <f>TEXT(DATA!$B$8,"[$-21]dd mmmm yyyy")</f>
      </c>
      <c r="H23" s="569"/>
      <c r="I23" s="316" t="s">
        <v>9</v>
      </c>
      <c r="J23" s="560">
        <f>TEXT(DATA!$B$9,"[$-21]dd mmmm yyyy")</f>
      </c>
      <c r="K23" s="560"/>
      <c r="L23" s="560"/>
      <c r="M23" s="326"/>
      <c r="N23" s="308"/>
      <c r="O23" s="308"/>
      <c r="P23" s="308"/>
      <c r="Q23" s="268"/>
      <c r="S23" s="268"/>
      <c r="T23" s="268"/>
      <c r="U23" s="268"/>
      <c r="V23" s="268"/>
    </row>
    <row r="24" spans="1:30" s="269" customFormat="1">
      <c r="A24" s="268"/>
      <c r="B24" s="316" t="s">
        <v>4</v>
      </c>
      <c r="C24" s="308" t="s">
        <v>10</v>
      </c>
      <c r="D24" s="308"/>
      <c r="E24" s="308"/>
      <c r="F24" s="316" t="s">
        <v>2</v>
      </c>
      <c r="G24" s="327">
        <f>"01/BAST/"&amp;G21</f>
      </c>
      <c r="H24" s="308"/>
      <c r="I24" s="322"/>
      <c r="J24" s="322"/>
      <c r="K24" s="323" t="s">
        <v>6</v>
      </c>
      <c r="L24" s="560">
        <f>TEXT(DATA!$B$34,"[$-21]dd mmmm yyyy")</f>
      </c>
      <c r="M24" s="560"/>
      <c r="N24" s="322"/>
      <c r="O24" s="308"/>
      <c r="P24" s="308"/>
      <c r="Q24" s="268"/>
      <c r="S24" s="268"/>
      <c r="T24" s="268"/>
      <c r="U24" s="268"/>
      <c r="V24" s="268"/>
    </row>
    <row r="25" spans="1:30" s="269" customFormat="1">
      <c r="A25" s="268"/>
      <c r="B25" s="316"/>
      <c r="C25" s="308"/>
      <c r="D25" s="308"/>
      <c r="E25" s="308"/>
      <c r="F25" s="308"/>
      <c r="G25" s="308"/>
      <c r="H25" s="308"/>
      <c r="I25" s="323"/>
      <c r="J25" s="328"/>
      <c r="K25" s="308"/>
      <c r="L25" s="329"/>
      <c r="M25" s="308"/>
      <c r="N25" s="308"/>
      <c r="O25" s="308"/>
      <c r="P25" s="308"/>
      <c r="Q25" s="268"/>
      <c r="S25" s="268"/>
      <c r="T25" s="268"/>
      <c r="U25" s="268"/>
      <c r="V25" s="268"/>
    </row>
    <row r="26" spans="1:30" s="269" customFormat="1">
      <c r="A26" s="268"/>
      <c r="B26" s="316" t="s">
        <v>4</v>
      </c>
      <c r="C26" s="330" t="s">
        <v>11</v>
      </c>
      <c r="D26" s="308"/>
      <c r="E26" s="308"/>
      <c r="F26" s="323" t="s">
        <v>2</v>
      </c>
      <c r="G26" s="331">
        <f>DATA!$B$45</f>
      </c>
      <c r="H26" s="316" t="s">
        <v>12</v>
      </c>
      <c r="I26" s="581">
        <f>G22</f>
      </c>
      <c r="J26" s="581"/>
      <c r="K26" s="316" t="s">
        <v>13</v>
      </c>
      <c r="L26" s="582">
        <f>+G26*I26</f>
      </c>
      <c r="M26" s="582"/>
      <c r="N26" s="322"/>
      <c r="O26" s="322"/>
      <c r="P26" s="308"/>
      <c r="Q26" s="268"/>
      <c r="S26" s="268"/>
      <c r="T26" s="268"/>
      <c r="U26" s="268"/>
      <c r="V26" s="268"/>
    </row>
    <row r="27" spans="1:30" s="269" customFormat="1">
      <c r="A27" s="268"/>
      <c r="B27" s="316" t="s">
        <v>4</v>
      </c>
      <c r="C27" s="330" t="s">
        <v>14</v>
      </c>
      <c r="D27" s="308"/>
      <c r="E27" s="308"/>
      <c r="F27" s="323" t="s">
        <v>2</v>
      </c>
      <c r="G27" s="331">
        <f>DATA!$B$44</f>
      </c>
      <c r="H27" s="316" t="s">
        <v>12</v>
      </c>
      <c r="I27" s="581">
        <f>$I$26</f>
      </c>
      <c r="J27" s="581"/>
      <c r="K27" s="316" t="s">
        <v>13</v>
      </c>
      <c r="L27" s="583">
        <f>+G27*I27</f>
      </c>
      <c r="M27" s="583"/>
      <c r="N27" s="322"/>
      <c r="O27" s="322"/>
      <c r="P27" s="308"/>
      <c r="Q27" s="268"/>
      <c r="S27" s="268"/>
      <c r="T27" s="268"/>
      <c r="U27" s="268"/>
      <c r="V27" s="268"/>
    </row>
    <row r="28" spans="1:30" s="269" customFormat="1">
      <c r="A28" s="268"/>
      <c r="B28" s="308"/>
      <c r="C28" s="308"/>
      <c r="D28" s="308"/>
      <c r="E28" s="308"/>
      <c r="F28" s="308"/>
      <c r="G28" s="308"/>
      <c r="H28" s="308"/>
      <c r="I28" s="323"/>
      <c r="J28" s="328"/>
      <c r="K28" s="308"/>
      <c r="L28" s="329"/>
      <c r="M28" s="308"/>
      <c r="N28" s="308"/>
      <c r="O28" s="308"/>
      <c r="P28" s="308"/>
      <c r="Q28" s="268"/>
      <c r="S28" s="268"/>
      <c r="T28" s="268"/>
      <c r="U28" s="268"/>
      <c r="V28" s="268"/>
    </row>
    <row r="29" spans="1:30" s="269" customFormat="1" ht="40.5" customHeight="1">
      <c r="A29" s="268"/>
      <c r="B29" s="567">
        <f>"Menyatakan bahwa masa pemeliharaan atas Surat Perjanjian Konsultan Perencana (SPKP) tersebut diatas telah selesai sesuai BAST, maka Pihak Kedua berhak menerima pembayaran Retensi "&amp;TEXT(DATA!$B$44*100,"General")&amp;" % dengan perincian sebagai berikut :"</f>
      </c>
      <c r="C29" s="567"/>
      <c r="D29" s="567"/>
      <c r="E29" s="567"/>
      <c r="F29" s="567"/>
      <c r="G29" s="567"/>
      <c r="H29" s="567"/>
      <c r="I29" s="567"/>
      <c r="J29" s="567"/>
      <c r="K29" s="567"/>
      <c r="L29" s="567"/>
      <c r="M29" s="567"/>
      <c r="N29" s="567"/>
      <c r="O29" s="567"/>
      <c r="P29" s="308"/>
      <c r="Q29" s="268"/>
      <c r="S29" s="268"/>
      <c r="T29" s="268"/>
      <c r="U29" s="268"/>
      <c r="V29" s="268"/>
    </row>
    <row r="30" spans="1:30" s="269" customFormat="1" ht="18" customHeight="1">
      <c r="A30" s="268"/>
      <c r="B30" s="330" t="s">
        <v>15</v>
      </c>
      <c r="C30" s="333"/>
      <c r="D30" s="308"/>
      <c r="E30" s="308"/>
      <c r="F30" s="308"/>
      <c r="G30" s="585" t="s">
        <v>16</v>
      </c>
      <c r="H30" s="585" t="s">
        <v>17</v>
      </c>
      <c r="I30" s="585"/>
      <c r="J30" s="586" t="s">
        <v>18</v>
      </c>
      <c r="K30" s="586"/>
      <c r="L30" s="586"/>
      <c r="M30" s="586"/>
      <c r="N30" s="586"/>
      <c r="O30" s="334" t="s">
        <v>14</v>
      </c>
      <c r="P30" s="308"/>
      <c r="Q30" s="268"/>
      <c r="S30" s="268"/>
      <c r="T30" s="268"/>
      <c r="U30" s="268"/>
      <c r="V30" s="268"/>
    </row>
    <row r="31" spans="1:30" s="269" customFormat="1" ht="18" customHeight="1">
      <c r="A31" s="268"/>
      <c r="B31" s="323"/>
      <c r="C31" s="308"/>
      <c r="D31" s="308"/>
      <c r="E31" s="308"/>
      <c r="F31" s="308"/>
      <c r="G31" s="585"/>
      <c r="H31" s="585"/>
      <c r="I31" s="585"/>
      <c r="J31" s="586" t="s">
        <v>19</v>
      </c>
      <c r="K31" s="586"/>
      <c r="L31" s="587" t="s">
        <v>20</v>
      </c>
      <c r="M31" s="587"/>
      <c r="N31" s="335" t="s">
        <v>21</v>
      </c>
      <c r="O31" s="336">
        <f>DATA!$B$44</f>
      </c>
      <c r="P31" s="322"/>
      <c r="Q31" s="268"/>
      <c r="S31" s="268"/>
      <c r="T31" s="268"/>
      <c r="U31" s="268"/>
      <c r="V31" s="268"/>
    </row>
    <row r="32" spans="1:30" s="269" customFormat="1" ht="15" customHeight="1">
      <c r="A32" s="268"/>
      <c r="B32" s="323" t="s">
        <v>4</v>
      </c>
      <c r="C32" s="564" t="s">
        <v>22</v>
      </c>
      <c r="D32" s="564"/>
      <c r="E32" s="564"/>
      <c r="F32" s="564"/>
      <c r="G32" s="337" t="s">
        <v>23</v>
      </c>
      <c r="H32" s="571">
        <f>INDEX(DATA!$B$99:$B$104,1)</f>
      </c>
      <c r="I32" s="572"/>
      <c r="J32" s="573">
        <f ca="1">'BAP  1'!Q33</f>
      </c>
      <c r="K32" s="574"/>
      <c r="L32" s="573">
        <f ca="1">J32</f>
      </c>
      <c r="M32" s="574"/>
      <c r="N32" s="338">
        <f t="shared" ref="N32:N37" ca="1" si="0">+L32/$I$26</f>
      </c>
      <c r="O32" s="339">
        <f t="shared" ref="O32:O37" ca="1" si="1">+J32*$O$31</f>
      </c>
      <c r="P32" s="322"/>
      <c r="S32" s="268"/>
      <c r="T32" s="268"/>
      <c r="U32" s="268"/>
      <c r="V32" s="268"/>
    </row>
    <row r="33" spans="1:22" s="269" customFormat="1" ht="15" customHeight="1">
      <c r="A33" s="268"/>
      <c r="B33" s="323"/>
      <c r="C33" s="312"/>
      <c r="D33" s="312"/>
      <c r="E33" s="312"/>
      <c r="F33" s="312"/>
      <c r="G33" s="340" t="s">
        <v>24</v>
      </c>
      <c r="H33" s="432">
        <f>INDEX(DATA!$B$99:$B$104,2)</f>
      </c>
      <c r="I33" s="433"/>
      <c r="J33" s="434">
        <f ca="1">'BAP  2'!Q33</f>
      </c>
      <c r="K33" s="435"/>
      <c r="L33" s="434">
        <f ca="1">J33+L32</f>
      </c>
      <c r="M33" s="435"/>
      <c r="N33" s="341">
        <f t="shared" ca="1" si="0"/>
      </c>
      <c r="O33" s="339">
        <f t="shared" ca="1" si="1"/>
      </c>
      <c r="P33" s="322"/>
      <c r="S33" s="268"/>
      <c r="T33" s="268"/>
      <c r="U33" s="268"/>
      <c r="V33" s="268"/>
    </row>
    <row r="34" spans="1:22" s="269" customFormat="1" ht="15" customHeight="1">
      <c r="A34" s="268"/>
      <c r="B34" s="323"/>
      <c r="C34" s="312"/>
      <c r="D34" s="312"/>
      <c r="E34" s="312"/>
      <c r="F34" s="312"/>
      <c r="G34" s="340" t="s">
        <v>25</v>
      </c>
      <c r="H34" s="432">
        <f>INDEX(DATA!$B$99:$B$104,3)</f>
      </c>
      <c r="I34" s="433"/>
      <c r="J34" s="434">
        <f ca="1">'BAP  3'!Q33</f>
      </c>
      <c r="K34" s="435"/>
      <c r="L34" s="434">
        <f ca="1">J34+L33</f>
      </c>
      <c r="M34" s="435"/>
      <c r="N34" s="341">
        <f t="shared" ca="1" si="0"/>
      </c>
      <c r="O34" s="339">
        <f t="shared" ca="1" si="1"/>
      </c>
      <c r="P34" s="322"/>
      <c r="S34" s="268"/>
      <c r="T34" s="268"/>
      <c r="U34" s="268"/>
      <c r="V34" s="268"/>
    </row>
    <row r="35" spans="1:22" s="269" customFormat="1" ht="15" customHeight="1">
      <c r="A35" s="268"/>
      <c r="B35" s="323"/>
      <c r="C35" s="312"/>
      <c r="D35" s="312"/>
      <c r="E35" s="312"/>
      <c r="F35" s="312"/>
      <c r="G35" s="340" t="s">
        <v>26</v>
      </c>
      <c r="H35" s="432">
        <f>INDEX(DATA!$B$99:$B$104,4)</f>
      </c>
      <c r="I35" s="433"/>
      <c r="J35" s="434">
        <f ca="1">'BAP  4'!Q33</f>
      </c>
      <c r="K35" s="435"/>
      <c r="L35" s="434">
        <f ca="1">J35+L34</f>
      </c>
      <c r="M35" s="435"/>
      <c r="N35" s="341">
        <f t="shared" ca="1" si="0"/>
      </c>
      <c r="O35" s="339">
        <f t="shared" ca="1" si="1"/>
      </c>
      <c r="P35" s="322"/>
      <c r="S35" s="268"/>
      <c r="T35" s="268"/>
      <c r="U35" s="268"/>
      <c r="V35" s="268"/>
    </row>
    <row r="36" spans="1:22" s="269" customFormat="1" ht="15" customHeight="1">
      <c r="A36" s="268"/>
      <c r="B36" s="323"/>
      <c r="C36" s="312"/>
      <c r="D36" s="312"/>
      <c r="E36" s="312"/>
      <c r="F36" s="312"/>
      <c r="G36" s="340" t="s">
        <v>27</v>
      </c>
      <c r="H36" s="432">
        <f>INDEX(DATA!$B$99:$B$104,5)</f>
      </c>
      <c r="I36" s="433"/>
      <c r="J36" s="434">
        <f ca="1">'BAP  5'!Q33</f>
      </c>
      <c r="K36" s="435"/>
      <c r="L36" s="434">
        <f ca="1">J36+L35</f>
      </c>
      <c r="M36" s="435"/>
      <c r="N36" s="341">
        <f t="shared" ca="1" si="0"/>
      </c>
      <c r="O36" s="339">
        <f t="shared" ca="1" si="1"/>
      </c>
      <c r="P36" s="322"/>
      <c r="S36" s="268"/>
      <c r="T36" s="268"/>
      <c r="U36" s="268"/>
      <c r="V36" s="268"/>
    </row>
    <row r="37" spans="1:22" s="269" customFormat="1" ht="15" customHeight="1">
      <c r="A37" s="268"/>
      <c r="B37" s="323"/>
      <c r="C37" s="312"/>
      <c r="D37" s="312"/>
      <c r="E37" s="312"/>
      <c r="F37" s="312"/>
      <c r="G37" s="340" t="s">
        <v>28</v>
      </c>
      <c r="H37" s="432">
        <f>INDEX(DATA!$B$99:$B$104,6)</f>
      </c>
      <c r="I37" s="433"/>
      <c r="J37" s="434">
        <f ca="1">'BAP  6'!Q33</f>
      </c>
      <c r="K37" s="435"/>
      <c r="L37" s="434">
        <f ca="1">J37+L36</f>
      </c>
      <c r="M37" s="435"/>
      <c r="N37" s="341">
        <f t="shared" ca="1" si="0"/>
      </c>
      <c r="O37" s="339">
        <f t="shared" ca="1" si="1"/>
      </c>
      <c r="P37" s="322"/>
      <c r="S37" s="268"/>
      <c r="T37" s="268"/>
      <c r="U37" s="268"/>
      <c r="V37" s="268"/>
    </row>
    <row r="38" spans="1:22" s="269" customFormat="1" ht="15.45" customHeight="1">
      <c r="A38" s="268"/>
      <c r="B38" s="308"/>
      <c r="C38" s="308"/>
      <c r="D38" s="308"/>
      <c r="E38" s="308"/>
      <c r="F38" s="342"/>
      <c r="G38" s="576" t="s">
        <v>29</v>
      </c>
      <c r="H38" s="577"/>
      <c r="I38" s="577"/>
      <c r="J38" s="343"/>
      <c r="K38" s="343"/>
      <c r="L38" s="343"/>
      <c r="M38" s="343"/>
      <c r="N38" s="343"/>
      <c r="O38" s="339">
        <f ca="1">SUM(O32:O37)</f>
      </c>
      <c r="P38" s="344"/>
      <c r="S38" s="268"/>
      <c r="T38" s="268"/>
      <c r="U38" s="268"/>
      <c r="V38" s="268"/>
    </row>
    <row r="39" spans="1:22" s="269" customFormat="1">
      <c r="A39" s="268"/>
      <c r="B39" s="308"/>
      <c r="C39" s="308"/>
      <c r="D39" s="308"/>
      <c r="E39" s="308"/>
      <c r="F39" s="308"/>
      <c r="G39" s="308"/>
      <c r="H39" s="308"/>
      <c r="I39" s="323"/>
      <c r="J39" s="308"/>
      <c r="K39" s="308"/>
      <c r="L39" s="308"/>
      <c r="M39" s="308"/>
      <c r="N39" s="308"/>
      <c r="O39" s="308"/>
      <c r="P39" s="308"/>
      <c r="Q39" s="268"/>
      <c r="S39" s="268"/>
      <c r="T39" s="268"/>
      <c r="U39" s="268"/>
      <c r="V39" s="268"/>
    </row>
    <row r="40" spans="1:22" s="269" customFormat="1">
      <c r="A40" s="268"/>
      <c r="B40" s="302" t="s">
        <v>30</v>
      </c>
      <c r="C40" s="330" t="s">
        <v>31</v>
      </c>
      <c r="D40" s="308"/>
      <c r="E40" s="308"/>
      <c r="F40" s="323"/>
      <c r="G40" s="331"/>
      <c r="H40" s="308"/>
      <c r="I40" s="332"/>
      <c r="J40" s="332"/>
      <c r="K40" s="322"/>
      <c r="L40" s="316"/>
      <c r="M40" s="345"/>
      <c r="N40" s="322"/>
      <c r="O40" s="322"/>
      <c r="P40" s="308"/>
      <c r="Q40" s="268"/>
      <c r="S40" s="268"/>
      <c r="T40" s="268"/>
      <c r="U40" s="268"/>
      <c r="V40" s="268"/>
    </row>
    <row r="41" spans="1:22" s="269" customFormat="1">
      <c r="A41" s="268"/>
      <c r="B41" s="316"/>
      <c r="C41" s="308" t="s">
        <v>32</v>
      </c>
      <c r="D41" s="308"/>
      <c r="E41" s="308"/>
      <c r="F41" s="323"/>
      <c r="G41" s="331"/>
      <c r="H41" s="323" t="s">
        <v>2</v>
      </c>
      <c r="I41" s="331">
        <v>1</v>
      </c>
      <c r="J41" s="316" t="s">
        <v>12</v>
      </c>
      <c r="K41" s="332">
        <f ca="1">O38</f>
      </c>
      <c r="L41" s="332"/>
      <c r="M41" s="322"/>
      <c r="N41" s="323" t="s">
        <v>13</v>
      </c>
      <c r="O41" s="346">
        <f ca="1">I41*K41</f>
      </c>
      <c r="P41" s="308"/>
      <c r="Q41" s="268"/>
      <c r="S41" s="268"/>
      <c r="T41" s="268"/>
      <c r="U41" s="268"/>
      <c r="V41" s="268"/>
    </row>
    <row r="42" spans="1:22" s="269" customFormat="1" ht="15.6" thickBot="1">
      <c r="A42" s="268"/>
      <c r="B42" s="316"/>
      <c r="C42" s="308" t="s">
        <v>33</v>
      </c>
      <c r="D42" s="308"/>
      <c r="E42" s="308"/>
      <c r="F42" s="323"/>
      <c r="G42" s="347"/>
      <c r="H42" s="323" t="s">
        <v>2</v>
      </c>
      <c r="I42" s="347">
        <f ca="1">O42/K42</f>
      </c>
      <c r="J42" s="316" t="s">
        <v>12</v>
      </c>
      <c r="K42" s="332">
        <f ca="1">K41</f>
      </c>
      <c r="L42" s="332"/>
      <c r="M42" s="322"/>
      <c r="N42" s="323" t="s">
        <v>13</v>
      </c>
      <c r="O42" s="346">
        <v>0</v>
      </c>
      <c r="P42" s="308"/>
      <c r="Q42" s="268"/>
      <c r="S42" s="268"/>
      <c r="T42" s="268"/>
      <c r="U42" s="268"/>
      <c r="V42" s="268"/>
    </row>
    <row r="43" spans="1:22" s="269" customFormat="1">
      <c r="A43" s="268"/>
      <c r="B43" s="316"/>
      <c r="C43" s="348" t="s">
        <v>34</v>
      </c>
      <c r="D43" s="348"/>
      <c r="E43" s="348"/>
      <c r="F43" s="349"/>
      <c r="G43" s="350"/>
      <c r="H43" s="349" t="s">
        <v>2</v>
      </c>
      <c r="I43" s="351">
        <f ca="1">I41-I42</f>
      </c>
      <c r="J43" s="352" t="s">
        <v>12</v>
      </c>
      <c r="K43" s="353">
        <f ca="1">K42</f>
      </c>
      <c r="L43" s="353"/>
      <c r="M43" s="354"/>
      <c r="N43" s="349" t="s">
        <v>13</v>
      </c>
      <c r="O43" s="355">
        <f ca="1">O41-O42</f>
      </c>
      <c r="P43" s="308"/>
      <c r="Q43" s="268"/>
      <c r="S43" s="268"/>
      <c r="T43" s="268"/>
      <c r="U43" s="268"/>
      <c r="V43" s="268"/>
    </row>
    <row r="44" spans="1:22" s="269" customFormat="1">
      <c r="A44" s="268"/>
      <c r="B44" s="316"/>
      <c r="C44" s="308" t="s">
        <v>35</v>
      </c>
      <c r="D44" s="308"/>
      <c r="E44" s="308"/>
      <c r="F44" s="323"/>
      <c r="G44" s="347"/>
      <c r="H44" s="323" t="s">
        <v>2</v>
      </c>
      <c r="I44" s="356"/>
      <c r="J44" s="308"/>
      <c r="K44" s="332"/>
      <c r="L44" s="332"/>
      <c r="M44" s="357"/>
      <c r="N44" s="323" t="s">
        <v>13</v>
      </c>
      <c r="O44" s="346">
        <f ca="1">ROUNDDOWN($O$43*DATA!$B$11,0)</f>
      </c>
      <c r="P44" s="308"/>
      <c r="Q44" s="268"/>
      <c r="S44" s="268"/>
      <c r="T44" s="268"/>
      <c r="U44" s="268"/>
      <c r="V44" s="268"/>
    </row>
    <row r="45" spans="1:22" s="269" customFormat="1" ht="15.6" thickBot="1">
      <c r="A45" s="268"/>
      <c r="B45" s="308"/>
      <c r="C45" s="358"/>
      <c r="D45" s="358"/>
      <c r="E45" s="358"/>
      <c r="F45" s="358"/>
      <c r="G45" s="358"/>
      <c r="H45" s="358"/>
      <c r="I45" s="358"/>
      <c r="J45" s="358"/>
      <c r="K45" s="359"/>
      <c r="L45" s="358"/>
      <c r="M45" s="358"/>
      <c r="N45" s="358"/>
      <c r="O45" s="358"/>
      <c r="P45" s="344"/>
      <c r="S45" s="268"/>
      <c r="T45" s="268"/>
      <c r="U45" s="268"/>
      <c r="V45" s="268"/>
    </row>
    <row r="46" spans="1:22" s="269" customFormat="1">
      <c r="A46" s="268"/>
      <c r="B46" s="308"/>
      <c r="C46" s="360" t="s">
        <v>36</v>
      </c>
      <c r="D46" s="360"/>
      <c r="E46" s="360"/>
      <c r="F46" s="360"/>
      <c r="G46" s="360"/>
      <c r="H46" s="360"/>
      <c r="I46" s="360"/>
      <c r="J46" s="360"/>
      <c r="K46" s="361"/>
      <c r="L46" s="360"/>
      <c r="M46" s="360"/>
      <c r="N46" s="360"/>
      <c r="O46" s="362">
        <f ca="1">O43+O44</f>
      </c>
      <c r="P46" s="344"/>
      <c r="S46" s="268"/>
      <c r="T46" s="268"/>
      <c r="U46" s="268"/>
      <c r="V46" s="268"/>
    </row>
    <row r="47" spans="1:22" s="269" customFormat="1">
      <c r="A47" s="268"/>
      <c r="B47" s="308"/>
      <c r="C47" s="308"/>
      <c r="D47" s="308"/>
      <c r="E47" s="308"/>
      <c r="F47" s="308"/>
      <c r="G47" s="308"/>
      <c r="H47" s="308"/>
      <c r="I47" s="323"/>
      <c r="J47" s="308"/>
      <c r="K47" s="308"/>
      <c r="L47" s="308"/>
      <c r="M47" s="308"/>
      <c r="N47" s="308"/>
      <c r="O47" s="308"/>
      <c r="P47" s="308"/>
      <c r="Q47" s="268"/>
      <c r="S47" s="268"/>
      <c r="T47" s="268"/>
      <c r="U47" s="268"/>
      <c r="V47" s="268"/>
    </row>
    <row r="48" spans="1:22" s="269" customFormat="1">
      <c r="A48" s="268"/>
      <c r="B48" s="308"/>
      <c r="C48" s="308"/>
      <c r="D48" s="308"/>
      <c r="E48" s="308"/>
      <c r="F48" s="308"/>
      <c r="G48" s="308"/>
      <c r="H48" s="308"/>
      <c r="I48" s="323"/>
      <c r="J48" s="308"/>
      <c r="K48" s="308"/>
      <c r="L48" s="308"/>
      <c r="M48" s="308"/>
      <c r="N48" s="308"/>
      <c r="O48" s="308"/>
      <c r="P48" s="308"/>
      <c r="Q48" s="268"/>
      <c r="S48" s="268"/>
      <c r="T48" s="268"/>
      <c r="U48" s="268"/>
      <c r="V48" s="268"/>
    </row>
    <row r="49" spans="1:22" s="269" customFormat="1" ht="30.75" customHeight="1">
      <c r="A49" s="268"/>
      <c r="B49" s="578" t="s">
        <v>37</v>
      </c>
      <c r="C49" s="578"/>
      <c r="D49" s="364" t="s">
        <v>2</v>
      </c>
      <c r="E49" s="579">
        <f ca="1">" ==  "&amp;PROPER(IF(O46=0,"nol",IF(O46&lt;0,"minus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IF(--MID(TEXT(ABS(O46),"000000000000000"),1,3)=0,"",MID(TEXT(ABS(O46),"000000000000000"),1,1)&amp;" ratus "&amp;MID(TEXT(ABS(O46),"000000000000000"),2,1)&amp;" puluh "&amp;MID(TEXT(ABS(O46),"000000000000000"),3,1)&amp;" trilyun ")&amp; IF(--MID(TEXT(ABS(O46),"000000000000000"),4,3)=0,"",MID(TEXT(ABS(O46),"000000000000000"),4,1)&amp;" ratus "&amp;MID(TEXT(ABS(O46),"000000000000000"),5,1)&amp;" puluh "&amp;MID(TEXT(ABS(O46),"000000000000000"),6,1)&amp;" milyar ")&amp; IF(--MID(TEXT(ABS(O46),"000000000000000"),7,3)=0,"",MID(TEXT(ABS(O46),"000000000000000"),7,1)&amp;" ratus "&amp;MID(TEXT(ABS(O46),"000000000000000"),8,1)&amp;" puluh "&amp;MID(TEXT(ABS(O46),"000000000000000"),9,1)&amp;" juta ")&amp; IF(--MID(TEXT(ABS(O46),"000000000000000"),10,3)=0,"",IF(--MID(TEXT(ABS(O46),"000000000000000"),10,3)=1,"*",MID(TEXT(ABS(O46),"000000000000000"),10,1)&amp;" ratus "&amp;MID(TEXT(ABS(O46),"000000000000000"),11,1)&amp;" puluh ")&amp;MID(TEXT(ABS(O46),"000000000000000"),12,1)&amp;" ribu ")&amp; IF(--MID(TEXT(ABS(O46),"000000000000000"),13,3)=0,"",MID(TEXT(ABS(O46),"000000000000000"),13,1)&amp;" ratus "&amp;MID(TEXT(ABS(O46),"000000000000000"),14,1)&amp;" puluh "&amp;MID(TEXT(ABS(O46),"000000000000000"),15,1)),1,"satu"),2,"dua"),3,"tiga"),4,"empat"),5,"lima"),6,"enam"),7,"tujuh"),8,"delapan"),9,"sembilan"),"0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 =="</f>
      </c>
      <c r="F49" s="580"/>
      <c r="G49" s="580"/>
      <c r="H49" s="580"/>
      <c r="I49" s="580"/>
      <c r="J49" s="580"/>
      <c r="K49" s="580"/>
      <c r="L49" s="580"/>
      <c r="M49" s="580"/>
      <c r="N49" s="580"/>
      <c r="O49" s="580"/>
      <c r="P49" s="308"/>
      <c r="Q49" s="268"/>
      <c r="S49" s="268"/>
      <c r="T49" s="268"/>
      <c r="U49" s="268"/>
      <c r="V49" s="268"/>
    </row>
    <row r="50" spans="1:22" s="269" customFormat="1" ht="15" customHeight="1">
      <c r="A50" s="268"/>
      <c r="B50" s="363"/>
      <c r="C50" s="363"/>
      <c r="D50" s="364"/>
      <c r="E50" s="366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08"/>
      <c r="Q50" s="268"/>
      <c r="S50" s="268"/>
      <c r="T50" s="268"/>
      <c r="U50" s="268"/>
      <c r="V50" s="268"/>
    </row>
    <row r="51" spans="1:22" s="269" customFormat="1">
      <c r="A51" s="268"/>
      <c r="B51" s="308" t="s">
        <v>38</v>
      </c>
      <c r="C51" s="308"/>
      <c r="D51" s="308"/>
      <c r="E51" s="308"/>
      <c r="F51" s="308"/>
      <c r="G51" s="308"/>
      <c r="H51" s="308"/>
      <c r="I51" s="323"/>
      <c r="J51" s="308"/>
      <c r="K51" s="308"/>
      <c r="L51" s="308"/>
      <c r="M51" s="308"/>
      <c r="N51" s="308"/>
      <c r="O51" s="308"/>
      <c r="P51" s="308"/>
      <c r="Q51" s="268"/>
      <c r="S51" s="268"/>
      <c r="T51" s="268"/>
      <c r="U51" s="268"/>
      <c r="V51" s="268"/>
    </row>
    <row r="52" spans="1:22" s="269" customFormat="1">
      <c r="A52" s="268"/>
      <c r="B52" s="308"/>
      <c r="C52" s="308"/>
      <c r="D52" s="308"/>
      <c r="E52" s="308"/>
      <c r="F52" s="308"/>
      <c r="G52" s="308"/>
      <c r="H52" s="308"/>
      <c r="I52" s="323"/>
      <c r="J52" s="308"/>
      <c r="K52" s="308"/>
      <c r="L52" s="308"/>
      <c r="M52" s="308"/>
      <c r="N52" s="308"/>
      <c r="O52" s="308"/>
      <c r="P52" s="308"/>
      <c r="Q52" s="268"/>
      <c r="S52" s="268"/>
      <c r="T52" s="268"/>
      <c r="U52" s="268"/>
      <c r="V52" s="268"/>
    </row>
    <row r="53" spans="1:22" s="269" customFormat="1">
      <c r="A53" s="268"/>
      <c r="B53" s="308"/>
      <c r="C53" s="308"/>
      <c r="D53" s="308"/>
      <c r="E53" s="308"/>
      <c r="F53" s="308"/>
      <c r="G53" s="308"/>
      <c r="H53" s="308"/>
      <c r="I53" s="323"/>
      <c r="J53" s="308"/>
      <c r="K53" s="308"/>
      <c r="L53" s="308"/>
      <c r="M53" s="308"/>
      <c r="N53" s="308"/>
      <c r="O53" s="308"/>
      <c r="P53" s="308"/>
      <c r="Q53" s="268"/>
      <c r="S53" s="268"/>
      <c r="T53" s="268"/>
      <c r="U53" s="268"/>
      <c r="V53" s="268"/>
    </row>
    <row r="54" spans="1:22" s="269" customFormat="1">
      <c r="A54" s="268"/>
      <c r="B54" s="308"/>
      <c r="C54" s="308"/>
      <c r="D54" s="367"/>
      <c r="E54" s="367"/>
      <c r="F54" s="367"/>
      <c r="G54" s="367"/>
      <c r="H54" s="367"/>
      <c r="I54" s="367"/>
      <c r="J54" s="367"/>
      <c r="K54" s="367"/>
      <c r="L54" s="367"/>
      <c r="M54" s="367"/>
      <c r="N54" s="367"/>
      <c r="O54" s="367"/>
      <c r="P54" s="308"/>
      <c r="Q54" s="268"/>
      <c r="S54" s="268"/>
      <c r="T54" s="268"/>
      <c r="U54" s="268"/>
      <c r="V54" s="268"/>
    </row>
    <row r="55" spans="1:22">
      <c r="B55" s="570" t="s">
        <v>39</v>
      </c>
      <c r="C55" s="570"/>
      <c r="D55" s="570"/>
      <c r="E55" s="570"/>
      <c r="F55" s="570"/>
      <c r="G55" s="570"/>
      <c r="H55" s="308"/>
      <c r="I55" s="308"/>
      <c r="J55" s="308"/>
      <c r="K55" s="308"/>
      <c r="L55" s="308"/>
      <c r="M55" s="570" t="s">
        <v>40</v>
      </c>
      <c r="N55" s="570"/>
      <c r="O55" s="570"/>
      <c r="P55" s="308"/>
    </row>
    <row r="56" spans="1:22" s="300" customFormat="1">
      <c r="B56" s="570">
        <f>UPPER(DATA!$B$24)</f>
      </c>
      <c r="C56" s="570"/>
      <c r="D56" s="570"/>
      <c r="E56" s="570"/>
      <c r="F56" s="570"/>
      <c r="G56" s="570"/>
      <c r="H56" s="330"/>
      <c r="I56" s="330"/>
      <c r="J56" s="330"/>
      <c r="K56" s="330"/>
      <c r="L56" s="330"/>
      <c r="M56" s="570">
        <f>UPPER(DATA!$B$17)</f>
      </c>
      <c r="N56" s="570"/>
      <c r="O56" s="570"/>
      <c r="P56" s="330"/>
      <c r="R56" s="301"/>
    </row>
    <row r="57" spans="1:22" s="300" customFormat="1">
      <c r="B57" s="330"/>
      <c r="C57" s="330"/>
      <c r="D57" s="330"/>
      <c r="E57" s="330"/>
      <c r="F57" s="330"/>
      <c r="G57" s="330"/>
      <c r="H57" s="330"/>
      <c r="I57" s="330"/>
      <c r="J57" s="330"/>
      <c r="K57" s="330"/>
      <c r="L57" s="330"/>
      <c r="M57" s="570"/>
      <c r="N57" s="570"/>
      <c r="O57" s="570"/>
      <c r="P57" s="330"/>
      <c r="R57" s="301"/>
    </row>
    <row r="58" spans="1:22">
      <c r="B58" s="308"/>
      <c r="C58" s="308"/>
      <c r="D58" s="308"/>
      <c r="E58" s="308"/>
      <c r="F58" s="308"/>
      <c r="G58" s="308"/>
      <c r="H58" s="308"/>
      <c r="I58" s="308"/>
      <c r="J58" s="308"/>
      <c r="K58" s="308"/>
      <c r="L58" s="308"/>
      <c r="M58" s="308"/>
      <c r="N58" s="316"/>
      <c r="O58" s="316"/>
      <c r="P58" s="308"/>
    </row>
    <row r="59" spans="1:22">
      <c r="B59" s="308"/>
      <c r="C59" s="308"/>
      <c r="D59" s="308"/>
      <c r="E59" s="308"/>
      <c r="F59" s="308"/>
      <c r="G59" s="308"/>
      <c r="H59" s="308"/>
      <c r="I59" s="308"/>
      <c r="J59" s="308"/>
      <c r="K59" s="308"/>
      <c r="L59" s="308"/>
      <c r="M59" s="308"/>
      <c r="N59" s="316"/>
      <c r="O59" s="316"/>
      <c r="P59" s="308"/>
    </row>
    <row r="60" spans="1:22">
      <c r="B60" s="308"/>
      <c r="C60" s="308"/>
      <c r="D60" s="308"/>
      <c r="E60" s="308"/>
      <c r="F60" s="308"/>
      <c r="G60" s="308"/>
      <c r="H60" s="308"/>
      <c r="I60" s="308"/>
      <c r="J60" s="308"/>
      <c r="K60" s="308"/>
      <c r="L60" s="308"/>
      <c r="M60" s="308"/>
      <c r="N60" s="316"/>
      <c r="O60" s="316"/>
      <c r="P60" s="308"/>
    </row>
    <row r="61" spans="1:22">
      <c r="B61" s="308"/>
      <c r="C61" s="308"/>
      <c r="D61" s="308"/>
      <c r="E61" s="308"/>
      <c r="F61" s="308"/>
      <c r="G61" s="308"/>
      <c r="H61" s="308"/>
      <c r="I61" s="308"/>
      <c r="J61" s="308"/>
      <c r="K61" s="308"/>
      <c r="L61" s="308"/>
      <c r="M61" s="308"/>
      <c r="N61" s="316"/>
      <c r="O61" s="316"/>
      <c r="P61" s="308"/>
    </row>
    <row r="62" spans="1:22">
      <c r="B62" s="308"/>
      <c r="C62" s="308"/>
      <c r="D62" s="308"/>
      <c r="E62" s="308"/>
      <c r="F62" s="308"/>
      <c r="G62" s="308"/>
      <c r="H62" s="308"/>
      <c r="I62" s="308"/>
      <c r="J62" s="308"/>
      <c r="K62" s="308"/>
      <c r="L62" s="308"/>
      <c r="M62" s="308"/>
      <c r="N62" s="316"/>
      <c r="O62" s="316"/>
      <c r="P62" s="308"/>
    </row>
    <row r="63" spans="1:22">
      <c r="B63" s="308"/>
      <c r="C63" s="308"/>
      <c r="D63" s="308"/>
      <c r="E63" s="308"/>
      <c r="F63" s="308"/>
      <c r="G63" s="308"/>
      <c r="H63" s="308"/>
      <c r="I63" s="308"/>
      <c r="J63" s="308"/>
      <c r="K63" s="308"/>
      <c r="L63" s="308"/>
      <c r="M63" s="308"/>
      <c r="N63" s="316"/>
      <c r="O63" s="316"/>
      <c r="P63" s="308"/>
    </row>
    <row r="64" spans="1:22">
      <c r="B64" s="308"/>
      <c r="C64" s="308"/>
      <c r="D64" s="308"/>
      <c r="E64" s="308"/>
      <c r="F64" s="308"/>
      <c r="G64" s="308"/>
      <c r="H64" s="308"/>
      <c r="I64" s="308"/>
      <c r="J64" s="308"/>
      <c r="K64" s="308"/>
      <c r="L64" s="308"/>
      <c r="M64" s="308"/>
      <c r="N64" s="308"/>
      <c r="O64" s="308"/>
      <c r="P64" s="308"/>
    </row>
    <row r="65" spans="2:22">
      <c r="B65" s="308"/>
      <c r="C65" s="308"/>
      <c r="D65" s="308"/>
      <c r="E65" s="308"/>
      <c r="F65" s="308"/>
      <c r="G65" s="308"/>
      <c r="H65" s="308"/>
      <c r="I65" s="308"/>
      <c r="J65" s="308"/>
      <c r="K65" s="308"/>
      <c r="L65" s="308"/>
      <c r="M65" s="308"/>
      <c r="N65" s="308"/>
      <c r="O65" s="308"/>
      <c r="P65" s="308"/>
    </row>
    <row r="66" spans="2:22">
      <c r="B66" s="308"/>
      <c r="C66" s="308"/>
      <c r="D66" s="308"/>
      <c r="E66" s="308"/>
      <c r="F66" s="308"/>
      <c r="G66" s="308"/>
      <c r="H66" s="308"/>
      <c r="I66" s="308"/>
      <c r="J66" s="308"/>
      <c r="K66" s="308"/>
      <c r="L66" s="308"/>
      <c r="M66" s="308"/>
      <c r="N66" s="308"/>
      <c r="O66" s="308"/>
      <c r="P66" s="308"/>
    </row>
    <row r="67" spans="2:22" s="298" customFormat="1">
      <c r="B67" s="584">
        <f>DATA!$B$22</f>
      </c>
      <c r="C67" s="584"/>
      <c r="D67" s="584"/>
      <c r="E67" s="584"/>
      <c r="F67" s="584"/>
      <c r="G67" s="584"/>
      <c r="H67" s="311"/>
      <c r="I67" s="368"/>
      <c r="J67" s="368"/>
      <c r="K67" s="368"/>
      <c r="L67" s="368"/>
      <c r="M67" s="584">
        <f>DATA!$B$69</f>
      </c>
      <c r="N67" s="584"/>
      <c r="O67" s="584"/>
      <c r="P67" s="311"/>
      <c r="R67" s="299"/>
    </row>
    <row r="68" spans="2:22" s="298" customFormat="1">
      <c r="B68" s="562">
        <f>DATA!$B$23</f>
      </c>
      <c r="C68" s="562"/>
      <c r="D68" s="562"/>
      <c r="E68" s="562"/>
      <c r="F68" s="562"/>
      <c r="G68" s="562"/>
      <c r="H68" s="311"/>
      <c r="I68" s="369"/>
      <c r="J68" s="369"/>
      <c r="K68" s="369"/>
      <c r="L68" s="369"/>
      <c r="M68" s="562">
        <f>DATA!$B$70</f>
      </c>
      <c r="N68" s="562"/>
      <c r="O68" s="562"/>
      <c r="P68" s="311"/>
      <c r="R68" s="299"/>
    </row>
    <row r="69" spans="2:22" ht="9" customHeight="1"/>
    <row r="71" spans="2:22">
      <c r="Q71" s="297">
        <f ca="1">O46</f>
      </c>
      <c r="R71" s="296" t="s">
        <v>41</v>
      </c>
      <c r="S71" s="276"/>
      <c r="T71" s="276"/>
      <c r="U71" s="276"/>
      <c r="V71" s="276"/>
    </row>
    <row r="72" spans="2:22">
      <c r="Q72" s="276"/>
      <c r="R72" s="276"/>
      <c r="S72" s="276"/>
      <c r="T72" s="276"/>
      <c r="U72" s="276"/>
      <c r="V72" s="276"/>
    </row>
    <row r="73" spans="2:22">
      <c r="Q73" s="295"/>
      <c r="R73" s="294" t="s">
        <v>42</v>
      </c>
      <c r="S73" s="293"/>
      <c r="T73" s="293"/>
      <c r="U73" s="293"/>
      <c r="V73" s="292"/>
    </row>
    <row r="74" spans="2:22">
      <c r="Q74" s="275"/>
      <c r="R74" s="291">
        <f ca="1">ROUNDUP(Q71,0)</f>
      </c>
      <c r="S74" s="278"/>
      <c r="T74" s="278"/>
      <c r="U74" s="278"/>
      <c r="V74" s="277"/>
    </row>
    <row r="75" spans="2:22">
      <c r="Q75" s="275"/>
      <c r="R75" s="290">
        <f ca="1">TEXT(Q71,"0,00")</f>
      </c>
      <c r="S75" s="278"/>
      <c r="T75" s="278"/>
      <c r="U75" s="278"/>
      <c r="V75" s="277"/>
    </row>
    <row r="76" spans="2:22">
      <c r="Q76" s="289" t="s">
        <v>43</v>
      </c>
      <c r="R76" s="288">
        <f ca="1">+IF(RIGHT(R75,0)="00"," Rupiah",CONCATENATE(RIGHT(R75,0)," Rupiah"))</f>
      </c>
      <c r="S76" s="287" t="s">
        <v>44</v>
      </c>
      <c r="T76" s="278"/>
      <c r="U76" s="278"/>
      <c r="V76" s="277"/>
    </row>
    <row r="77" spans="2:22">
      <c r="Q77" s="286">
        <f ca="1">TEXT(R75,0)</f>
      </c>
      <c r="R77" s="274"/>
      <c r="S77" s="285"/>
      <c r="T77" s="278"/>
      <c r="U77" s="278"/>
      <c r="V77" s="277"/>
    </row>
    <row r="78" spans="2:22">
      <c r="Q78" s="284">
        <f ca="1">IF(LEN(Q77)&gt;3,VALUE(RIGHT(Q77,3)),+VALUE(RIGHT(Q77,LEN(Q77))))</f>
      </c>
      <c r="R78" s="283">
        <f ca="1">+IF(AND(LEN(Q77)&lt;4,Q78=0)," nol",IF(AND(LEN(Q77)&gt;3,Q78=0),"",VLOOKUP(Q78,sebut,2)))</f>
      </c>
      <c r="S78" s="282" t="s">
        <v>45</v>
      </c>
      <c r="T78" s="278"/>
      <c r="U78" s="278"/>
      <c r="V78" s="277"/>
    </row>
    <row r="79" spans="2:22">
      <c r="Q79" s="284">
        <f ca="1">IF(LEN(Q77)&gt;3,VALUE(+IF(LEN(Q77)&gt;3,RIGHT(LEFT(Q77,(LEN(Q77)-3)),3),0)),0)</f>
      </c>
      <c r="R79" s="283">
        <f ca="1">IF(Q79=0,"",IF(AND(Q79=1,LEN(Q79)=1)," Seribu ",VLOOKUP(Q79,sebut,2)))</f>
      </c>
      <c r="S79" s="282" t="s">
        <v>46</v>
      </c>
      <c r="T79" s="278"/>
      <c r="U79" s="278"/>
      <c r="V79" s="277"/>
    </row>
    <row r="80" spans="2:22">
      <c r="Q80" s="284">
        <f ca="1">IF(LEN(Q77)&gt;6,VALUE(+IF(LEN(Q77)&gt;3,RIGHT(LEFT(Q77,(LEN(Q77)-6)),3),0)),0)</f>
      </c>
      <c r="R80" s="283">
        <f ca="1">+IF(Q80=0,"",VLOOKUP(Q80,sebut,2))</f>
      </c>
      <c r="S80" s="282" t="s">
        <v>47</v>
      </c>
      <c r="T80" s="278"/>
      <c r="U80" s="278"/>
      <c r="V80" s="277"/>
    </row>
    <row r="81" spans="17:22">
      <c r="Q81" s="284">
        <f ca="1">IF(LEN(Q77)&gt;9,VALUE(+IF(LEN(Q77)&gt;3,RIGHT(LEFT(Q77,(LEN(Q77)-9)),3),0)),0)</f>
      </c>
      <c r="R81" s="283">
        <f ca="1">+IF(Q81=0,"",VLOOKUP(Q81,sebut,2))</f>
      </c>
      <c r="S81" s="282" t="s">
        <v>48</v>
      </c>
      <c r="T81" s="278"/>
      <c r="U81" s="278"/>
      <c r="V81" s="277"/>
    </row>
    <row r="82" spans="17:22">
      <c r="Q82" s="284">
        <f ca="1">IF(LEN(Q77)&gt;12,VALUE(+IF(LEN(Q77)&gt;3,RIGHT(LEFT(Q77,(LEN(Q77)-12)),3),0)),0)</f>
      </c>
      <c r="R82" s="283">
        <f ca="1">+IF(Q82=0,"",VLOOKUP(Q82,sebut,2))</f>
      </c>
      <c r="S82" s="282" t="s">
        <v>49</v>
      </c>
      <c r="T82" s="278"/>
      <c r="U82" s="278"/>
      <c r="V82" s="277"/>
    </row>
    <row r="83" spans="17:22">
      <c r="Q83" s="284">
        <f ca="1">IF(LEN(Q77)&gt;15,VALUE(+IF(LEN(Q77)&gt;3,RIGHT(LEFT(Q77,(LEN(Q77)-15)),3),0)),0)</f>
      </c>
      <c r="R83" s="283">
        <f ca="1">+IF(Q83=0,"",VLOOKUP(Q83,sebut,2))</f>
      </c>
      <c r="S83" s="282" t="s">
        <v>50</v>
      </c>
      <c r="T83" s="278"/>
      <c r="U83" s="278"/>
      <c r="V83" s="277"/>
    </row>
    <row r="84" spans="17:22">
      <c r="Q84" s="275"/>
      <c r="R84" s="281">
        <f ca="1">+R76</f>
      </c>
      <c r="S84" s="278"/>
      <c r="T84" s="278"/>
      <c r="U84" s="278"/>
      <c r="V84" s="277"/>
    </row>
    <row r="85" spans="17:22">
      <c r="Q85" s="275"/>
      <c r="R85" s="280">
        <f ca="1">+IF(Q78=0,"",R78)</f>
      </c>
      <c r="S85" s="278"/>
      <c r="T85" s="278"/>
      <c r="U85" s="278"/>
      <c r="V85" s="277"/>
    </row>
    <row r="86" spans="17:22">
      <c r="Q86" s="275"/>
      <c r="R86" s="280">
        <f ca="1">+IF(Q79=0,"",IF(Q79=1,R79,CONCATENATE(R79," ribu ")))</f>
      </c>
      <c r="S86" s="278"/>
      <c r="T86" s="278"/>
      <c r="U86" s="278"/>
      <c r="V86" s="277"/>
    </row>
    <row r="87" spans="17:22">
      <c r="Q87" s="275"/>
      <c r="R87" s="280">
        <f ca="1">+IF(Q80=0,"",CONCATENATE(R80," juta "))</f>
      </c>
      <c r="S87" s="278"/>
      <c r="T87" s="278"/>
      <c r="U87" s="278"/>
      <c r="V87" s="277"/>
    </row>
    <row r="88" spans="17:22">
      <c r="Q88" s="275"/>
      <c r="R88" s="280">
        <f ca="1">+IF(Q81=0,"",CONCATENATE(R81," milyar "))</f>
      </c>
      <c r="S88" s="278"/>
      <c r="T88" s="278"/>
      <c r="U88" s="278"/>
      <c r="V88" s="277"/>
    </row>
    <row r="89" spans="17:22">
      <c r="Q89" s="275"/>
      <c r="R89" s="280">
        <f ca="1">+IF(Q82=0,"",CONCATENATE(R82," bilyun "))</f>
      </c>
      <c r="S89" s="278"/>
      <c r="T89" s="278"/>
      <c r="U89" s="278"/>
      <c r="V89" s="277"/>
    </row>
    <row r="90" spans="17:22">
      <c r="Q90" s="275"/>
      <c r="R90" s="280">
        <f ca="1">+IF(Q83=0,"",CONCATENATE(R83," Trilyun "))</f>
      </c>
      <c r="S90" s="278"/>
      <c r="T90" s="278"/>
      <c r="U90" s="278"/>
      <c r="V90" s="277"/>
    </row>
    <row r="91" spans="17:22">
      <c r="Q91" s="275"/>
      <c r="R91" s="278"/>
      <c r="S91" s="278"/>
      <c r="T91" s="278"/>
      <c r="U91" s="278"/>
      <c r="V91" s="277"/>
    </row>
    <row r="92" spans="17:22">
      <c r="Q92" s="275"/>
      <c r="R92" s="279">
        <f ca="1">+Q77</f>
      </c>
      <c r="S92" s="278"/>
      <c r="T92" s="278"/>
      <c r="U92" s="278"/>
      <c r="V92" s="277"/>
    </row>
    <row r="93" spans="17:22">
      <c r="Q93" s="275"/>
      <c r="R93" s="276">
        <f ca="1">TRIM(PROPER(+IF(LEN(R92)&lt;19,CONCATENATE(R90,R89,R88,R87,R86,R85," ",R84),"Tulis sendiri …. !!!")))</f>
      </c>
      <c r="S93" s="274"/>
      <c r="T93" s="274"/>
      <c r="U93" s="274"/>
      <c r="V93" s="273"/>
    </row>
    <row r="94" spans="17:22">
      <c r="Q94" s="275"/>
      <c r="R94" s="274">
        <f ca="1">IF(Q77="0",CONCATENATE(R78," ",R84),CONCATENATE(UPPER(LEFT(R93,1)),LOWER(RIGHT(R93,LEN(R93)-1))))</f>
      </c>
      <c r="S94" s="274"/>
      <c r="T94" s="274"/>
      <c r="U94" s="274"/>
      <c r="V94" s="273"/>
    </row>
    <row r="95" spans="17:22">
      <c r="Q95" s="272"/>
      <c r="R95" s="271"/>
      <c r="S95" s="271"/>
      <c r="T95" s="271"/>
      <c r="U95" s="271"/>
      <c r="V95" s="270"/>
    </row>
  </sheetData>
  <mergeCells count="39">
    <mergeCell ref="B68:G68"/>
    <mergeCell ref="M68:O68"/>
    <mergeCell ref="B55:G55"/>
    <mergeCell ref="M55:O55"/>
    <mergeCell ref="B29:O29"/>
    <mergeCell ref="G30:G31"/>
    <mergeCell ref="H30:I31"/>
    <mergeCell ref="J30:N30"/>
    <mergeCell ref="J31:K31"/>
    <mergeCell ref="L31:M31"/>
    <mergeCell ref="I27:J27"/>
    <mergeCell ref="L27:M27"/>
    <mergeCell ref="M57:O57"/>
    <mergeCell ref="B67:G67"/>
    <mergeCell ref="M67:O67"/>
    <mergeCell ref="Q19:AD19"/>
    <mergeCell ref="L21:M21"/>
    <mergeCell ref="G23:H23"/>
    <mergeCell ref="J23:L23"/>
    <mergeCell ref="B56:G56"/>
    <mergeCell ref="M56:O56"/>
    <mergeCell ref="C32:F32"/>
    <mergeCell ref="H32:I32"/>
    <mergeCell ref="J32:K32"/>
    <mergeCell ref="L32:M32"/>
    <mergeCell ref="G22:I22"/>
    <mergeCell ref="G38:I38"/>
    <mergeCell ref="B49:C49"/>
    <mergeCell ref="E49:O49"/>
    <mergeCell ref="I26:J26"/>
    <mergeCell ref="L26:M26"/>
    <mergeCell ref="G17:O17"/>
    <mergeCell ref="L24:M24"/>
    <mergeCell ref="B10:O10"/>
    <mergeCell ref="B11:O11"/>
    <mergeCell ref="B13:O13"/>
    <mergeCell ref="G15:O15"/>
    <mergeCell ref="J16:K16"/>
    <mergeCell ref="B19:O19"/>
  </mergeCells>
  <printOptions horizontalCentered="1"/>
  <pageMargins left="0.31" right="0.28000000000000003" top="0.2" bottom="0" header="0" footer="0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1FAE-12FF-4AC9-A1DB-EDE35FC31814}">
  <sheetPr>
    <tabColor rgb="FF92D050"/>
  </sheetPr>
  <dimension ref="B1:AB73"/>
  <sheetViews>
    <sheetView showGridLines="0" tabSelected="1" view="pageBreakPreview" zoomScale="70" zoomScaleNormal="70" zoomScaleSheetLayoutView="70" workbookViewId="0">
      <selection activeCell="V16" sqref="V16"/>
    </sheetView>
  </sheetViews>
  <sheetFormatPr defaultColWidth="8.81640625" defaultRowHeight="15.6"/>
  <cols>
    <col min="1" max="1" width="10.81640625" style="1" customWidth="1"/>
    <col min="2" max="2" width="3.08984375" style="1" customWidth="1"/>
    <col min="3" max="3" width="2.453125" style="1" customWidth="1"/>
    <col min="4" max="4" width="6.81640625" style="1" customWidth="1"/>
    <col min="5" max="5" width="3.81640625" style="1" customWidth="1"/>
    <col min="6" max="7" width="5.81640625" style="1" customWidth="1"/>
    <col min="8" max="8" width="9.453125" style="1" customWidth="1"/>
    <col min="9" max="9" width="3.54296875" style="1" bestFit="1" customWidth="1"/>
    <col min="10" max="10" width="3" style="1" customWidth="1"/>
    <col min="11" max="11" width="9" style="1" customWidth="1"/>
    <col min="12" max="12" width="8.08984375" style="1" customWidth="1"/>
    <col min="13" max="13" width="20.81640625" style="1" customWidth="1"/>
    <col min="14" max="14" width="2.81640625" style="1" bestFit="1" customWidth="1"/>
    <col min="15" max="15" width="5" style="1" customWidth="1"/>
    <col min="16" max="16" width="19" style="1" customWidth="1"/>
    <col min="17" max="17" width="22.36328125" style="1" customWidth="1"/>
    <col min="18" max="18" width="0.81640625" style="1" customWidth="1"/>
    <col min="19" max="19" width="4.54296875" style="1" customWidth="1"/>
    <col min="20" max="22" width="8.81640625" style="1"/>
    <col min="23" max="23" width="25.08984375" style="1" customWidth="1"/>
    <col min="24" max="16384" width="8.81640625" style="1"/>
  </cols>
  <sheetData>
    <row r="1" spans="2:28" ht="16.2" thickBot="1"/>
    <row r="2" spans="2:28" ht="9" customHeight="1">
      <c r="B2" s="262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4"/>
    </row>
    <row r="3" spans="2:28" ht="24" customHeight="1">
      <c r="B3" s="2"/>
      <c r="E3" s="3"/>
      <c r="R3" s="4"/>
      <c r="T3" s="265" cm="1">
        <f t="array" ref="T3">INDEX(DATA!$B$99:$B$104,$T$9)</f>
      </c>
      <c r="U3" s="265"/>
      <c r="V3" s="265">
        <f>TEXT($T$3,"[$-21]dd mmmm yyyy")</f>
      </c>
      <c r="W3" s="58">
        <f>TEXT($T3,"[$-21]dd mmmm yyyy")</f>
      </c>
    </row>
    <row r="4" spans="2:28" ht="24" customHeight="1">
      <c r="B4" s="2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604"/>
      <c r="O4" s="604"/>
      <c r="P4" s="604"/>
      <c r="Q4" s="604"/>
      <c r="R4" s="4"/>
      <c r="T4" s="265">
        <f>TEXT($T$3,"[$-21]dddd")</f>
      </c>
    </row>
    <row r="5" spans="2:28" ht="24" customHeight="1">
      <c r="B5" s="2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4"/>
      <c r="T5" s="265">
        <f>VLOOKUP(DAY($T$3),HELPER!$A$2:$B$100,2,0)</f>
      </c>
    </row>
    <row r="6" spans="2:28" ht="24" customHeight="1">
      <c r="B6" s="2"/>
      <c r="C6" s="604"/>
      <c r="D6" s="604"/>
      <c r="E6" s="604"/>
      <c r="F6" s="604"/>
      <c r="G6" s="604"/>
      <c r="H6" s="604"/>
      <c r="I6" s="604"/>
      <c r="J6" s="604"/>
      <c r="K6" s="604"/>
      <c r="L6" s="604"/>
      <c r="M6" s="604"/>
      <c r="N6" s="604"/>
      <c r="O6" s="604"/>
      <c r="P6" s="604"/>
      <c r="Q6" s="604"/>
      <c r="R6" s="4"/>
      <c r="T6" s="265">
        <f>TEXT($T$3,"[$-21]mmmm")</f>
      </c>
    </row>
    <row r="7" spans="2:28" ht="24" hidden="1" customHeight="1">
      <c r="B7" s="2"/>
      <c r="C7" s="605"/>
      <c r="D7" s="605"/>
      <c r="E7" s="605"/>
      <c r="F7" s="605"/>
      <c r="G7" s="605"/>
      <c r="H7" s="605"/>
      <c r="I7" s="605"/>
      <c r="J7" s="605"/>
      <c r="K7" s="605"/>
      <c r="L7" s="605"/>
      <c r="M7" s="605"/>
      <c r="N7" s="605"/>
      <c r="O7" s="605"/>
      <c r="P7" s="605"/>
      <c r="Q7" s="605"/>
      <c r="R7" s="4"/>
      <c r="T7" s="265">
        <f>"Dua Ribu"&amp;IF(MOD(YEAR($T$3),100)=0,""," "&amp;VLOOKUP(MOD(YEAR($T$3),100),HELPER!$A$2:$B$100,2,0))</f>
      </c>
    </row>
    <row r="8" spans="2:28" ht="16.2" hidden="1" thickBot="1">
      <c r="B8" s="2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4"/>
      <c r="T8" s="470" t="s">
        <v>51</v>
      </c>
    </row>
    <row r="9" spans="2:28">
      <c r="B9" s="2"/>
      <c r="R9" s="4"/>
      <c r="T9" s="471">
        <v>1</v>
      </c>
    </row>
    <row r="10" spans="2:28" ht="20.399999999999999">
      <c r="B10" s="2"/>
      <c r="C10" s="606" t="s">
        <v>52</v>
      </c>
      <c r="D10" s="606"/>
      <c r="E10" s="606"/>
      <c r="F10" s="606"/>
      <c r="G10" s="606"/>
      <c r="H10" s="606"/>
      <c r="I10" s="606"/>
      <c r="J10" s="606"/>
      <c r="K10" s="606"/>
      <c r="L10" s="606"/>
      <c r="M10" s="606"/>
      <c r="N10" s="606"/>
      <c r="O10" s="606"/>
      <c r="P10" s="606"/>
      <c r="Q10" s="606"/>
      <c r="R10" s="4"/>
    </row>
    <row r="11" spans="2:28">
      <c r="B11" s="2"/>
      <c r="C11" s="588">
        <f>TEXT($T$9,"00")&amp;"/BAP/"&amp;DATA!$B$4</f>
      </c>
      <c r="D11" s="588"/>
      <c r="E11" s="588"/>
      <c r="F11" s="588"/>
      <c r="G11" s="588"/>
      <c r="H11" s="588"/>
      <c r="I11" s="588"/>
      <c r="J11" s="588"/>
      <c r="K11" s="588"/>
      <c r="L11" s="588"/>
      <c r="M11" s="588"/>
      <c r="N11" s="588"/>
      <c r="O11" s="588"/>
      <c r="P11" s="588"/>
      <c r="Q11" s="588"/>
      <c r="R11" s="4"/>
    </row>
    <row r="12" spans="2:28">
      <c r="B12" s="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4"/>
    </row>
    <row r="13" spans="2:28">
      <c r="B13" s="2"/>
      <c r="C13" s="597">
        <f>"Pada hari ini "&amp;T4&amp;" tanggal "&amp;T5&amp;" bulan "&amp;T6&amp;" tahun "&amp;T7&amp;" ("&amp;V3&amp;"), kami yang bertandatangan di bawah ini:"</f>
      </c>
      <c r="D13" s="597"/>
      <c r="E13" s="597"/>
      <c r="F13" s="597"/>
      <c r="G13" s="597"/>
      <c r="H13" s="597"/>
      <c r="I13" s="597"/>
      <c r="J13" s="597"/>
      <c r="K13" s="597"/>
      <c r="L13" s="597"/>
      <c r="M13" s="597"/>
      <c r="N13" s="597"/>
      <c r="O13" s="597"/>
      <c r="P13" s="597"/>
      <c r="Q13" s="597"/>
      <c r="R13" s="7"/>
      <c r="S13" s="8"/>
    </row>
    <row r="14" spans="2:28">
      <c r="B14" s="2"/>
      <c r="C14" s="6"/>
      <c r="D14" s="7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4"/>
    </row>
    <row r="15" spans="2:28" ht="66.45" customHeight="1">
      <c r="B15" s="2"/>
      <c r="C15" s="9">
        <v>1</v>
      </c>
      <c r="D15" s="67">
        <f>DATA!$B$69</f>
      </c>
      <c r="E15" s="10"/>
      <c r="F15" s="10"/>
      <c r="G15" s="10"/>
      <c r="H15" s="10"/>
      <c r="I15" s="11" t="s">
        <v>2</v>
      </c>
      <c r="J15" s="597">
        <f>"Selaku "&amp;DATA!$B$70&amp;", "&amp;DATA!$B$7&amp;", dalam hal ini bertindak untuk dan atas nama "&amp;DATA!$B$17&amp;" yang berkedudukan di "&amp;DATA!$B$18&amp;" (selanjutnya disebut sebagai PIHAK PERTAMA)."</f>
      </c>
      <c r="K15" s="597"/>
      <c r="L15" s="597"/>
      <c r="M15" s="597"/>
      <c r="N15" s="597"/>
      <c r="O15" s="597"/>
      <c r="P15" s="597"/>
      <c r="Q15" s="597"/>
      <c r="R15" s="4"/>
      <c r="T15" s="595"/>
      <c r="U15" s="595"/>
      <c r="V15" s="595"/>
      <c r="W15" s="595"/>
      <c r="X15" s="595"/>
      <c r="Y15" s="595"/>
      <c r="Z15" s="595"/>
      <c r="AA15" s="595"/>
      <c r="AB15" s="595"/>
    </row>
    <row r="16" spans="2:28" ht="58.2" customHeight="1">
      <c r="B16" s="2"/>
      <c r="C16" s="9">
        <v>2</v>
      </c>
      <c r="D16" s="67">
        <f>DATA!$B$22</f>
      </c>
      <c r="E16" s="10"/>
      <c r="F16" s="10"/>
      <c r="G16" s="10"/>
      <c r="H16" s="10"/>
      <c r="I16" s="11" t="s">
        <v>2</v>
      </c>
      <c r="J16" s="596">
        <f>"Selaku "&amp;DATA!$B$23&amp;" "&amp;DATA!$B$24&amp;", dalam hal ini bertindak untuk dan atas nama "&amp;DATA!$B$24&amp;" yang berkedudukan di "&amp;DATA!$B$25&amp;" (selanjutnya disebut sebagai PIHAK KEDUA)."</f>
      </c>
      <c r="K16" s="597"/>
      <c r="L16" s="597"/>
      <c r="M16" s="597"/>
      <c r="N16" s="597"/>
      <c r="O16" s="597"/>
      <c r="P16" s="597"/>
      <c r="Q16" s="597"/>
      <c r="R16" s="4"/>
    </row>
    <row r="17" spans="2:23" ht="8.25" customHeight="1">
      <c r="B17" s="2"/>
      <c r="C17" s="6"/>
      <c r="D17" s="6"/>
      <c r="E17" s="6"/>
      <c r="F17" s="6"/>
      <c r="G17" s="6"/>
      <c r="H17" s="6"/>
      <c r="I17" s="6"/>
      <c r="J17" s="12"/>
      <c r="K17" s="6"/>
      <c r="L17" s="6"/>
      <c r="M17" s="6"/>
      <c r="N17" s="6"/>
      <c r="O17" s="6"/>
      <c r="P17" s="6"/>
      <c r="Q17" s="6"/>
      <c r="R17" s="4"/>
    </row>
    <row r="18" spans="2:23" ht="40.5" customHeight="1">
      <c r="B18" s="2"/>
      <c r="C18" s="598">
        <f>"Menerangkan bahwa kedua belah pihak, telah melakukan pemeriksaan atas "&amp;DATA!$B$6&amp;" pada "&amp;DATA!$B$7&amp;", dan berdasarkan :"</f>
      </c>
      <c r="D18" s="598"/>
      <c r="E18" s="598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598"/>
      <c r="Q18" s="598"/>
      <c r="R18" s="4"/>
    </row>
    <row r="19" spans="2:23" ht="7.5" customHeight="1">
      <c r="B19" s="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4"/>
    </row>
    <row r="20" spans="2:23">
      <c r="B20" s="2"/>
      <c r="C20" s="6"/>
      <c r="D20" s="6" t="s">
        <v>53</v>
      </c>
      <c r="E20" s="6"/>
      <c r="F20" s="6"/>
      <c r="G20" s="6"/>
      <c r="H20" s="6"/>
      <c r="I20" s="6"/>
      <c r="J20" s="12" t="s">
        <v>2</v>
      </c>
      <c r="K20" s="68">
        <f>DATA!$B$4</f>
      </c>
      <c r="L20" s="14"/>
      <c r="M20" s="14"/>
      <c r="N20" s="6" t="s">
        <v>54</v>
      </c>
      <c r="O20" s="6"/>
      <c r="P20" s="76">
        <f>TEXT(DATA!$B$5,"[$-21]dd mmmm yyyy")</f>
      </c>
      <c r="Q20" s="6"/>
      <c r="R20" s="4"/>
    </row>
    <row r="21" spans="2:23" hidden="1">
      <c r="B21" s="2"/>
      <c r="C21" s="6"/>
      <c r="D21" s="6" t="s">
        <v>55</v>
      </c>
      <c r="E21" s="6"/>
      <c r="F21" s="6"/>
      <c r="G21" s="6"/>
      <c r="H21" s="6"/>
      <c r="I21" s="6"/>
      <c r="J21" s="12" t="s">
        <v>2</v>
      </c>
      <c r="K21" s="6" t="s">
        <v>4</v>
      </c>
      <c r="L21" s="6"/>
      <c r="M21" s="6"/>
      <c r="N21" s="6"/>
      <c r="O21" s="6"/>
      <c r="P21" s="15"/>
      <c r="Q21" s="6"/>
      <c r="R21" s="4"/>
    </row>
    <row r="22" spans="2:23" hidden="1">
      <c r="B22" s="2"/>
      <c r="C22" s="6"/>
      <c r="D22" s="11" t="s">
        <v>56</v>
      </c>
      <c r="E22" s="11"/>
      <c r="F22" s="11"/>
      <c r="G22" s="11"/>
      <c r="H22" s="11"/>
      <c r="I22" s="11"/>
      <c r="J22" s="70" t="s">
        <v>2</v>
      </c>
      <c r="K22" s="599">
        <f>DATA!$B$6</f>
      </c>
      <c r="L22" s="599"/>
      <c r="M22" s="599"/>
      <c r="N22" s="599"/>
      <c r="O22" s="599"/>
      <c r="P22" s="599"/>
      <c r="Q22" s="599"/>
      <c r="R22" s="600"/>
    </row>
    <row r="23" spans="2:23" ht="19.2" customHeight="1">
      <c r="B23" s="2"/>
      <c r="C23" s="6"/>
      <c r="D23" s="6" t="s">
        <v>57</v>
      </c>
      <c r="E23" s="6"/>
      <c r="F23" s="6"/>
      <c r="G23" s="6"/>
      <c r="H23" s="6"/>
      <c r="I23" s="6"/>
      <c r="J23" s="12" t="s">
        <v>2</v>
      </c>
      <c r="K23" s="603">
        <f>TEXT(DATA!$B$8,"[$-21]dd mmmm yyyy")</f>
      </c>
      <c r="L23" s="603"/>
      <c r="M23" s="5" t="s">
        <v>58</v>
      </c>
      <c r="N23" s="603">
        <f>TEXT(DATA!$B$9,"[$-21]dd mmmm yyyy")</f>
      </c>
      <c r="O23" s="603"/>
      <c r="P23" s="603"/>
      <c r="Q23" s="6"/>
      <c r="R23" s="4"/>
    </row>
    <row r="24" spans="2:23" ht="21.6" customHeight="1">
      <c r="B24" s="2"/>
      <c r="C24" s="6"/>
      <c r="D24" s="6" t="s">
        <v>59</v>
      </c>
      <c r="E24" s="6"/>
      <c r="F24" s="6"/>
      <c r="G24" s="6"/>
      <c r="H24" s="6"/>
      <c r="I24" s="6"/>
      <c r="J24" s="12" t="s">
        <v>2</v>
      </c>
      <c r="K24" s="601">
        <f>lamp1!K41</f>
      </c>
      <c r="L24" s="601"/>
      <c r="M24" s="601"/>
      <c r="N24" s="16"/>
      <c r="O24" s="16"/>
      <c r="P24" s="17" t="s">
        <v>60</v>
      </c>
      <c r="Q24" s="6"/>
      <c r="R24" s="4"/>
    </row>
    <row r="25" spans="2:23" hidden="1">
      <c r="B25" s="2"/>
      <c r="C25" s="6"/>
      <c r="D25" s="6" t="s">
        <v>61</v>
      </c>
      <c r="E25" s="6"/>
      <c r="F25" s="6"/>
      <c r="G25" s="6"/>
      <c r="H25" s="6"/>
      <c r="I25" s="6"/>
      <c r="J25" s="12" t="s">
        <v>2</v>
      </c>
      <c r="K25" s="601">
        <v>0</v>
      </c>
      <c r="L25" s="601"/>
      <c r="M25" s="601"/>
      <c r="N25" s="16"/>
      <c r="O25" s="16"/>
      <c r="P25" s="17" t="s">
        <v>62</v>
      </c>
      <c r="Q25" s="6"/>
      <c r="R25" s="4"/>
    </row>
    <row r="26" spans="2:23" hidden="1">
      <c r="B26" s="2"/>
      <c r="C26" s="6"/>
      <c r="D26" s="6" t="s">
        <v>11</v>
      </c>
      <c r="E26" s="6"/>
      <c r="F26" s="6"/>
      <c r="G26" s="6"/>
      <c r="H26" s="6"/>
      <c r="I26" s="6"/>
      <c r="J26" s="12" t="s">
        <v>2</v>
      </c>
      <c r="K26" s="217">
        <f>DATA!$B$46</f>
      </c>
      <c r="L26" s="6"/>
      <c r="M26" s="26"/>
      <c r="N26" s="6"/>
      <c r="O26" s="6"/>
      <c r="P26" s="6"/>
      <c r="Q26" s="6"/>
      <c r="R26" s="4"/>
    </row>
    <row r="27" spans="2:23" hidden="1">
      <c r="B27" s="2"/>
      <c r="C27" s="6"/>
      <c r="D27" s="6" t="s">
        <v>14</v>
      </c>
      <c r="E27" s="6"/>
      <c r="F27" s="6"/>
      <c r="G27" s="6"/>
      <c r="H27" s="6"/>
      <c r="I27" s="6"/>
      <c r="J27" s="12" t="s">
        <v>2</v>
      </c>
      <c r="K27" s="217">
        <f>DATA!$B$47</f>
      </c>
      <c r="L27" s="6"/>
      <c r="M27" s="26"/>
      <c r="N27" s="6"/>
      <c r="O27" s="6"/>
      <c r="P27" s="6"/>
      <c r="Q27" s="6"/>
      <c r="R27" s="4"/>
    </row>
    <row r="28" spans="2:23" ht="49.5" customHeight="1">
      <c r="B28" s="2"/>
      <c r="C28" s="602">
        <f ca="1">"Menyatakan bahwa prestasi pekerjaan yang dicapai oleh PIHAK KEDUA sampai dengan tanggal "&amp;TEXT($T$3,"[$-21]dd mmmm yyyy")&amp;" adalah "&amp;TEXT(BAPP!$K$66,"0.00%")&amp;" sesuai dengan Berita Acara Pemeriksaan Pekerjaan No. "&amp;BAPP!$B$10&amp;", dengan rincian sebagai berikut :"</f>
      </c>
      <c r="D28" s="598"/>
      <c r="E28" s="598"/>
      <c r="F28" s="598"/>
      <c r="G28" s="598"/>
      <c r="H28" s="598"/>
      <c r="I28" s="598"/>
      <c r="J28" s="598"/>
      <c r="K28" s="598"/>
      <c r="L28" s="598"/>
      <c r="M28" s="598"/>
      <c r="N28" s="598"/>
      <c r="O28" s="598"/>
      <c r="P28" s="598"/>
      <c r="Q28" s="598"/>
      <c r="R28" s="4"/>
      <c r="T28" s="598"/>
      <c r="U28" s="598"/>
      <c r="V28" s="598"/>
      <c r="W28" s="598"/>
    </row>
    <row r="29" spans="2:23">
      <c r="B29" s="2"/>
      <c r="C29" s="6" t="s">
        <v>63</v>
      </c>
      <c r="D29" s="25" t="s">
        <v>64</v>
      </c>
      <c r="E29" s="6"/>
      <c r="F29" s="6"/>
      <c r="G29" s="6"/>
      <c r="H29" s="6"/>
      <c r="I29" s="6"/>
      <c r="J29" s="591"/>
      <c r="K29" s="591"/>
      <c r="L29" s="6"/>
      <c r="M29" s="6" t="s">
        <v>65</v>
      </c>
      <c r="N29" s="6"/>
      <c r="O29" s="6"/>
      <c r="P29" s="6"/>
      <c r="Q29" s="6"/>
      <c r="R29" s="4"/>
    </row>
    <row r="30" spans="2:23">
      <c r="B30" s="2"/>
      <c r="C30" s="12" t="s">
        <v>4</v>
      </c>
      <c r="D30" s="6" t="s">
        <v>66</v>
      </c>
      <c r="E30" s="6"/>
      <c r="F30" s="6"/>
      <c r="G30" s="6"/>
      <c r="H30" s="6"/>
      <c r="I30" s="6" t="s">
        <v>13</v>
      </c>
      <c r="J30" s="591">
        <f ca="1">J32+J31</f>
      </c>
      <c r="K30" s="591"/>
      <c r="L30" s="6" t="s">
        <v>67</v>
      </c>
      <c r="M30" s="411">
        <f>$K$24</f>
      </c>
      <c r="N30" s="411" t="s">
        <v>13</v>
      </c>
      <c r="O30" s="411"/>
      <c r="P30" s="411">
        <f ca="1">J30*M30</f>
      </c>
      <c r="Q30" s="6"/>
      <c r="R30" s="4"/>
    </row>
    <row r="31" spans="2:23">
      <c r="B31" s="2"/>
      <c r="C31" s="12" t="s">
        <v>4</v>
      </c>
      <c r="D31" s="6" t="s">
        <v>68</v>
      </c>
      <c r="E31" s="6"/>
      <c r="F31" s="6"/>
      <c r="G31" s="6"/>
      <c r="H31" s="6"/>
      <c r="I31" s="6" t="s">
        <v>13</v>
      </c>
      <c r="J31" s="591">
        <f ca="1">'rincian '!T38</f>
      </c>
      <c r="K31" s="591"/>
      <c r="L31" s="6" t="s">
        <v>67</v>
      </c>
      <c r="M31" s="411">
        <f>$K$24</f>
      </c>
      <c r="N31" s="411" t="s">
        <v>13</v>
      </c>
      <c r="O31" s="411"/>
      <c r="P31" s="411">
        <f ca="1">J31*M31</f>
      </c>
      <c r="Q31" s="6"/>
      <c r="R31" s="4"/>
      <c r="W31" s="266"/>
    </row>
    <row r="32" spans="2:23">
      <c r="B32" s="2"/>
      <c r="C32" s="12" t="s">
        <v>4</v>
      </c>
      <c r="D32" s="6" t="s">
        <v>69</v>
      </c>
      <c r="E32" s="6"/>
      <c r="F32" s="6"/>
      <c r="G32" s="6"/>
      <c r="H32" s="6"/>
      <c r="I32" s="6" t="s">
        <v>13</v>
      </c>
      <c r="J32" s="591">
        <f ca="1">BAPP!K66</f>
      </c>
      <c r="K32" s="591"/>
      <c r="L32" s="6" t="s">
        <v>67</v>
      </c>
      <c r="M32" s="411">
        <f>$K$24</f>
      </c>
      <c r="N32" s="411" t="s">
        <v>13</v>
      </c>
      <c r="O32" s="411"/>
      <c r="P32" s="411">
        <f ca="1">J32*M32</f>
      </c>
      <c r="Q32" s="6"/>
      <c r="R32" s="4"/>
      <c r="W32" s="266"/>
    </row>
    <row r="33" spans="2:18">
      <c r="B33" s="2"/>
      <c r="C33" s="6"/>
      <c r="D33" s="6"/>
      <c r="E33" s="6"/>
      <c r="F33" s="6"/>
      <c r="G33" s="6"/>
      <c r="H33" s="6"/>
      <c r="I33" s="6"/>
      <c r="J33" s="12"/>
      <c r="K33" s="6"/>
      <c r="L33" s="6"/>
      <c r="M33" s="6"/>
      <c r="N33" s="6"/>
      <c r="O33" s="6"/>
      <c r="P33" s="6"/>
      <c r="Q33" s="412">
        <f ca="1">P32</f>
      </c>
      <c r="R33" s="4"/>
    </row>
    <row r="34" spans="2:18">
      <c r="B34" s="2"/>
      <c r="C34" s="6" t="s">
        <v>70</v>
      </c>
      <c r="D34" s="25" t="s">
        <v>71</v>
      </c>
      <c r="E34" s="6"/>
      <c r="F34" s="6"/>
      <c r="G34" s="6"/>
      <c r="H34" s="6"/>
      <c r="I34" s="6"/>
      <c r="J34" s="12"/>
      <c r="K34" s="6"/>
      <c r="L34" s="6"/>
      <c r="M34" s="6"/>
      <c r="N34" s="6"/>
      <c r="O34" s="6"/>
      <c r="P34" s="6"/>
      <c r="Q34" s="6"/>
      <c r="R34" s="4"/>
    </row>
    <row r="35" spans="2:18">
      <c r="B35" s="2"/>
      <c r="C35" s="6"/>
      <c r="D35" s="6" t="s">
        <v>72</v>
      </c>
      <c r="E35" s="6"/>
      <c r="F35" s="6"/>
      <c r="G35" s="6"/>
      <c r="H35" s="6"/>
      <c r="I35" s="6" t="s">
        <v>13</v>
      </c>
      <c r="J35" s="591">
        <f>$K$27</f>
      </c>
      <c r="K35" s="591"/>
      <c r="L35" s="6" t="s">
        <v>67</v>
      </c>
      <c r="M35" s="411">
        <f ca="1">M36+M37</f>
      </c>
      <c r="N35" s="411" t="s">
        <v>13</v>
      </c>
      <c r="O35" s="411"/>
      <c r="P35" s="413">
        <f ca="1">ROUND(J35*M35,0)</f>
      </c>
      <c r="Q35" s="6"/>
      <c r="R35" s="4"/>
    </row>
    <row r="36" spans="2:18">
      <c r="B36" s="2"/>
      <c r="C36" s="6"/>
      <c r="D36" s="6" t="s">
        <v>73</v>
      </c>
      <c r="E36" s="6"/>
      <c r="F36" s="6"/>
      <c r="G36" s="6"/>
      <c r="H36" s="6"/>
      <c r="I36" s="6" t="s">
        <v>13</v>
      </c>
      <c r="J36" s="591">
        <v>0</v>
      </c>
      <c r="K36" s="591"/>
      <c r="L36" s="6" t="s">
        <v>67</v>
      </c>
      <c r="M36" s="411">
        <v>0</v>
      </c>
      <c r="N36" s="411" t="s">
        <v>13</v>
      </c>
      <c r="O36" s="411"/>
      <c r="P36" s="411">
        <f>J36*M36</f>
      </c>
      <c r="Q36" s="6"/>
      <c r="R36" s="4"/>
    </row>
    <row r="37" spans="2:18">
      <c r="B37" s="2"/>
      <c r="C37" s="6"/>
      <c r="D37" s="6" t="s">
        <v>74</v>
      </c>
      <c r="E37" s="6"/>
      <c r="F37" s="6"/>
      <c r="G37" s="6"/>
      <c r="H37" s="6"/>
      <c r="I37" s="6" t="s">
        <v>13</v>
      </c>
      <c r="J37" s="591">
        <v>0.05</v>
      </c>
      <c r="K37" s="591"/>
      <c r="L37" s="6" t="s">
        <v>67</v>
      </c>
      <c r="M37" s="411">
        <f ca="1">P32</f>
      </c>
      <c r="N37" s="411" t="s">
        <v>13</v>
      </c>
      <c r="O37" s="411"/>
      <c r="P37" s="414">
        <f ca="1">ROUND(J37*M37,0)</f>
      </c>
      <c r="Q37" s="6"/>
      <c r="R37" s="4"/>
    </row>
    <row r="38" spans="2:18">
      <c r="B38" s="2"/>
      <c r="C38" s="6"/>
      <c r="D38" s="6"/>
      <c r="E38" s="6"/>
      <c r="F38" s="6"/>
      <c r="G38" s="6"/>
      <c r="H38" s="6"/>
      <c r="I38" s="6"/>
      <c r="J38" s="12"/>
      <c r="K38" s="6"/>
      <c r="L38" s="6"/>
      <c r="M38" s="6"/>
      <c r="N38" s="6"/>
      <c r="O38" s="6"/>
      <c r="P38" s="6"/>
      <c r="Q38" s="412">
        <f ca="1">P37</f>
      </c>
      <c r="R38" s="4"/>
    </row>
    <row r="39" spans="2:18">
      <c r="B39" s="2"/>
      <c r="C39" s="6" t="s">
        <v>75</v>
      </c>
      <c r="D39" s="25" t="s">
        <v>76</v>
      </c>
      <c r="E39" s="6"/>
      <c r="F39" s="6"/>
      <c r="G39" s="6"/>
      <c r="H39" s="6"/>
      <c r="I39" s="6"/>
      <c r="J39" s="12"/>
      <c r="K39" s="6"/>
      <c r="L39" s="6"/>
      <c r="M39" s="6"/>
      <c r="N39" s="6"/>
      <c r="O39" s="6"/>
      <c r="P39" s="6"/>
      <c r="Q39" s="6"/>
      <c r="R39" s="4"/>
    </row>
    <row r="40" spans="2:18">
      <c r="B40" s="2"/>
      <c r="C40" s="6"/>
      <c r="D40" s="6" t="s">
        <v>77</v>
      </c>
      <c r="E40" s="6"/>
      <c r="F40" s="6"/>
      <c r="G40" s="6"/>
      <c r="H40" s="6"/>
      <c r="I40" s="6" t="s">
        <v>13</v>
      </c>
      <c r="J40" s="591">
        <f>$K$26</f>
      </c>
      <c r="K40" s="591"/>
      <c r="L40" s="6" t="s">
        <v>67</v>
      </c>
      <c r="M40" s="411">
        <f ca="1">M42+M41</f>
      </c>
      <c r="N40" s="411" t="s">
        <v>13</v>
      </c>
      <c r="O40" s="411"/>
      <c r="P40" s="411">
        <f ca="1">ROUND(J40*M40,0)</f>
      </c>
      <c r="Q40" s="6"/>
      <c r="R40" s="4"/>
    </row>
    <row r="41" spans="2:18">
      <c r="B41" s="2"/>
      <c r="C41" s="6"/>
      <c r="D41" s="6" t="s">
        <v>78</v>
      </c>
      <c r="E41" s="6"/>
      <c r="F41" s="6"/>
      <c r="G41" s="6"/>
      <c r="H41" s="6"/>
      <c r="I41" s="6" t="s">
        <v>13</v>
      </c>
      <c r="J41" s="591">
        <v>0</v>
      </c>
      <c r="K41" s="591"/>
      <c r="L41" s="6" t="s">
        <v>67</v>
      </c>
      <c r="M41" s="411">
        <v>0</v>
      </c>
      <c r="N41" s="411" t="s">
        <v>13</v>
      </c>
      <c r="O41" s="411"/>
      <c r="P41" s="411">
        <f t="shared" ref="P41" si="0">J41*M41</f>
      </c>
      <c r="Q41" s="6"/>
      <c r="R41" s="4"/>
    </row>
    <row r="42" spans="2:18" ht="16.8">
      <c r="B42" s="2"/>
      <c r="C42" s="6"/>
      <c r="D42" s="6" t="s">
        <v>79</v>
      </c>
      <c r="E42" s="6"/>
      <c r="F42" s="6"/>
      <c r="G42" s="6"/>
      <c r="H42" s="6"/>
      <c r="I42" s="6" t="s">
        <v>13</v>
      </c>
      <c r="J42" s="591">
        <v>0</v>
      </c>
      <c r="K42" s="591"/>
      <c r="L42" s="6" t="s">
        <v>67</v>
      </c>
      <c r="M42" s="411">
        <f ca="1">Q33</f>
      </c>
      <c r="N42" s="411" t="s">
        <v>13</v>
      </c>
      <c r="O42" s="411"/>
      <c r="P42" s="415">
        <f ca="1">ROUND(J42*M42,0)</f>
      </c>
      <c r="Q42" s="6"/>
      <c r="R42" s="4"/>
    </row>
    <row r="43" spans="2:18">
      <c r="B43" s="2"/>
      <c r="C43" s="6"/>
      <c r="D43" s="6"/>
      <c r="E43" s="6"/>
      <c r="F43" s="6"/>
      <c r="G43" s="6"/>
      <c r="H43" s="6"/>
      <c r="I43" s="6"/>
      <c r="J43" s="12"/>
      <c r="K43" s="6"/>
      <c r="L43" s="6"/>
      <c r="M43" s="6"/>
      <c r="N43" s="6"/>
      <c r="O43" s="6"/>
      <c r="P43" s="6"/>
      <c r="Q43" s="412">
        <f ca="1">P42</f>
      </c>
      <c r="R43" s="4"/>
    </row>
    <row r="44" spans="2:18">
      <c r="B44" s="2"/>
      <c r="C44" s="6"/>
      <c r="D44" s="6"/>
      <c r="E44" s="6"/>
      <c r="F44" s="6"/>
      <c r="G44" s="6"/>
      <c r="H44" s="6"/>
      <c r="I44" s="6"/>
      <c r="J44" s="12"/>
      <c r="K44" s="6"/>
      <c r="L44" s="6"/>
      <c r="M44" s="6"/>
      <c r="N44" s="6"/>
      <c r="O44" s="6"/>
      <c r="P44" s="6"/>
      <c r="Q44" s="412"/>
      <c r="R44" s="4"/>
    </row>
    <row r="45" spans="2:18">
      <c r="B45" s="2"/>
      <c r="C45" s="6" t="s">
        <v>80</v>
      </c>
      <c r="D45" s="25" t="s">
        <v>81</v>
      </c>
      <c r="E45" s="6"/>
      <c r="F45" s="6"/>
      <c r="G45" s="6"/>
      <c r="H45" s="6"/>
      <c r="I45" s="6"/>
      <c r="J45" s="12"/>
      <c r="K45" s="6"/>
      <c r="L45" s="6"/>
      <c r="M45" s="6"/>
      <c r="N45" s="6"/>
      <c r="P45" s="6"/>
      <c r="Q45" s="6"/>
      <c r="R45" s="4"/>
    </row>
    <row r="46" spans="2:18">
      <c r="B46" s="2"/>
      <c r="C46" s="6"/>
      <c r="D46" s="214"/>
      <c r="E46" s="6"/>
      <c r="F46" s="6"/>
      <c r="G46" s="6"/>
      <c r="H46" s="6"/>
      <c r="I46" s="6"/>
      <c r="J46" s="72"/>
      <c r="K46" s="72"/>
      <c r="L46" s="6"/>
      <c r="M46" s="411"/>
      <c r="N46" s="411"/>
      <c r="P46" s="411"/>
      <c r="Q46" s="6"/>
      <c r="R46" s="4"/>
    </row>
    <row r="47" spans="2:18" ht="16.2" thickBot="1">
      <c r="B47" s="2"/>
      <c r="C47" s="6"/>
      <c r="D47" s="6"/>
      <c r="E47" s="6"/>
      <c r="F47" s="6"/>
      <c r="G47" s="6"/>
      <c r="H47" s="6"/>
      <c r="I47" s="6"/>
      <c r="J47" s="12"/>
      <c r="K47" s="6"/>
      <c r="L47" s="6"/>
      <c r="M47" s="6"/>
      <c r="N47" s="6"/>
      <c r="O47" s="6"/>
      <c r="P47" s="6"/>
      <c r="Q47" s="412">
        <f>SUM(P46)</f>
      </c>
      <c r="R47" s="4"/>
    </row>
    <row r="48" spans="2:18">
      <c r="B48" s="2"/>
      <c r="C48" s="6"/>
      <c r="D48" s="18" t="s">
        <v>82</v>
      </c>
      <c r="E48" s="18"/>
      <c r="F48" s="18"/>
      <c r="G48" s="18"/>
      <c r="H48" s="18"/>
      <c r="I48" s="18"/>
      <c r="J48" s="416"/>
      <c r="K48" s="18"/>
      <c r="L48" s="18"/>
      <c r="M48" s="18"/>
      <c r="N48" s="18"/>
      <c r="O48" s="18"/>
      <c r="P48" s="18"/>
      <c r="Q48" s="417">
        <f ca="1">ROUND((Q33-Q38-Q43-Q47),0)</f>
      </c>
      <c r="R48" s="4"/>
    </row>
    <row r="49" spans="2:18" ht="16.2" thickBot="1">
      <c r="B49" s="2"/>
      <c r="C49" s="6"/>
      <c r="D49" s="267" t="s">
        <v>83</v>
      </c>
      <c r="E49" s="267"/>
      <c r="F49" s="267"/>
      <c r="G49" s="267"/>
      <c r="H49" s="267"/>
      <c r="I49" s="267"/>
      <c r="J49" s="418"/>
      <c r="K49" s="267"/>
      <c r="L49" s="267"/>
      <c r="M49" s="267"/>
      <c r="N49" s="267"/>
      <c r="O49" s="267"/>
      <c r="P49" s="267"/>
      <c r="Q49" s="419">
        <f ca="1">ROUND($Q$48*DATA!$B$11,0)</f>
      </c>
      <c r="R49" s="4"/>
    </row>
    <row r="50" spans="2:18" ht="16.2" thickBot="1">
      <c r="B50" s="2"/>
      <c r="C50" s="6"/>
      <c r="D50" s="18" t="s">
        <v>84</v>
      </c>
      <c r="E50" s="18"/>
      <c r="F50" s="18"/>
      <c r="G50" s="18"/>
      <c r="H50" s="18"/>
      <c r="I50" s="18"/>
      <c r="J50" s="416"/>
      <c r="K50" s="18"/>
      <c r="L50" s="18"/>
      <c r="M50" s="18"/>
      <c r="N50" s="18"/>
      <c r="O50" s="18"/>
      <c r="P50" s="18"/>
      <c r="Q50" s="420">
        <f ca="1">Q48+Q49</f>
      </c>
      <c r="R50" s="4"/>
    </row>
    <row r="51" spans="2:18" ht="16.2" thickBot="1">
      <c r="B51" s="2"/>
      <c r="C51" s="6"/>
      <c r="D51" s="194" t="s">
        <v>85</v>
      </c>
      <c r="E51" s="195"/>
      <c r="F51" s="195"/>
      <c r="G51" s="195"/>
      <c r="H51" s="195"/>
      <c r="I51" s="195"/>
      <c r="J51" s="421"/>
      <c r="K51" s="195"/>
      <c r="L51" s="195"/>
      <c r="M51" s="195"/>
      <c r="N51" s="195"/>
      <c r="O51" s="195"/>
      <c r="P51" s="195"/>
      <c r="Q51" s="422">
        <f ca="1">Q50</f>
      </c>
      <c r="R51" s="4"/>
    </row>
    <row r="52" spans="2:18" ht="16.2" thickTop="1">
      <c r="B52" s="2"/>
      <c r="C52" s="6"/>
      <c r="D52" s="6"/>
      <c r="E52" s="6"/>
      <c r="F52" s="6"/>
      <c r="G52" s="6"/>
      <c r="H52" s="6"/>
      <c r="I52" s="6"/>
      <c r="J52" s="12"/>
      <c r="K52" s="6"/>
      <c r="L52" s="6"/>
      <c r="M52" s="6"/>
      <c r="N52" s="6"/>
      <c r="O52" s="6"/>
      <c r="P52" s="6"/>
      <c r="Q52" s="423"/>
      <c r="R52" s="4"/>
    </row>
    <row r="53" spans="2:18" ht="30.75" customHeight="1">
      <c r="B53" s="2"/>
      <c r="C53" s="592" t="s">
        <v>37</v>
      </c>
      <c r="D53" s="592"/>
      <c r="E53" s="19" t="s">
        <v>2</v>
      </c>
      <c r="F53" s="593">
        <f ca="1">" ==  "&amp;PROPER(IF(Q51=0,"nol",IF(Q51&lt;0,"minus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IF(--MID(TEXT(ABS(Q51),"000000000000000"),1,3)=0,"",MID(TEXT(ABS(Q51),"000000000000000"),1,1)&amp;" ratus "&amp;MID(TEXT(ABS(Q51),"000000000000000"),2,1)&amp;" puluh "&amp;MID(TEXT(ABS(Q51),"000000000000000"),3,1)&amp;" trilyun ")&amp; IF(--MID(TEXT(ABS(Q51),"000000000000000"),4,3)=0,"",MID(TEXT(ABS(Q51),"000000000000000"),4,1)&amp;" ratus "&amp;MID(TEXT(ABS(Q51),"000000000000000"),5,1)&amp;" puluh "&amp;MID(TEXT(ABS(Q51),"000000000000000"),6,1)&amp;" milyar ")&amp; IF(--MID(TEXT(ABS(Q51),"000000000000000"),7,3)=0,"",MID(TEXT(ABS(Q51),"000000000000000"),7,1)&amp;" ratus "&amp;MID(TEXT(ABS(Q51),"000000000000000"),8,1)&amp;" puluh "&amp;MID(TEXT(ABS(Q51),"000000000000000"),9,1)&amp;" juta ")&amp; IF(--MID(TEXT(ABS(Q51),"000000000000000"),10,3)=0,"",IF(--MID(TEXT(ABS(Q51),"000000000000000"),10,3)=1,"*",MID(TEXT(ABS(Q51),"000000000000000"),10,1)&amp;" ratus "&amp;MID(TEXT(ABS(Q51),"000000000000000"),11,1)&amp;" puluh ")&amp;MID(TEXT(ABS(Q51),"000000000000000"),12,1)&amp;" ribu ")&amp; IF(--MID(TEXT(ABS(Q51),"000000000000000"),13,3)=0,"",MID(TEXT(ABS(Q51),"000000000000000"),13,1)&amp;" ratus "&amp;MID(TEXT(ABS(Q51),"000000000000000"),14,1)&amp;" puluh "&amp;MID(TEXT(ABS(Q51),"000000000000000"),15,1)),1,"satu"),2,"dua"),3,"tiga"),4,"empat"),5,"lima"),6,"enam"),7,"tujuh"),8,"delapan"),9,"sembilan"),"0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 =="</f>
      </c>
      <c r="G53" s="594"/>
      <c r="H53" s="594"/>
      <c r="I53" s="594"/>
      <c r="J53" s="594"/>
      <c r="K53" s="594"/>
      <c r="L53" s="594"/>
      <c r="M53" s="594"/>
      <c r="N53" s="594"/>
      <c r="O53" s="594"/>
      <c r="P53" s="594"/>
      <c r="Q53" s="594"/>
      <c r="R53" s="7"/>
    </row>
    <row r="54" spans="2:18">
      <c r="B54" s="2"/>
      <c r="C54" s="6" t="s">
        <v>86</v>
      </c>
      <c r="D54" s="6"/>
      <c r="E54" s="6"/>
      <c r="F54" s="6"/>
      <c r="G54" s="6"/>
      <c r="H54" s="6"/>
      <c r="I54" s="6"/>
      <c r="J54" s="12"/>
      <c r="K54" s="6"/>
      <c r="L54" s="6"/>
      <c r="M54" s="6"/>
      <c r="N54" s="6"/>
      <c r="O54" s="6"/>
      <c r="P54" s="6"/>
      <c r="Q54" s="6"/>
      <c r="R54" s="4"/>
    </row>
    <row r="55" spans="2:18">
      <c r="B55" s="2"/>
      <c r="C55" s="6"/>
      <c r="D55" s="6"/>
      <c r="E55" s="6"/>
      <c r="F55" s="75"/>
      <c r="G55" s="6"/>
      <c r="H55" s="6"/>
      <c r="I55" s="6"/>
      <c r="J55" s="12"/>
      <c r="K55" s="6"/>
      <c r="L55" s="6"/>
      <c r="M55" s="6"/>
      <c r="N55" s="6"/>
      <c r="O55" s="6"/>
      <c r="P55" s="6"/>
      <c r="Q55" s="6"/>
      <c r="R55" s="4"/>
    </row>
    <row r="56" spans="2:18">
      <c r="B56" s="2"/>
      <c r="C56" s="6"/>
      <c r="D56" s="6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4"/>
    </row>
    <row r="57" spans="2:18">
      <c r="B57" s="2"/>
      <c r="C57" s="588" t="s">
        <v>39</v>
      </c>
      <c r="D57" s="588"/>
      <c r="E57" s="588"/>
      <c r="F57" s="588"/>
      <c r="G57" s="588"/>
      <c r="H57" s="588"/>
      <c r="I57" s="6"/>
      <c r="J57" s="6"/>
      <c r="K57" s="6"/>
      <c r="L57" s="6"/>
      <c r="M57" s="6"/>
      <c r="N57" s="6"/>
      <c r="O57" s="6"/>
      <c r="P57" s="588" t="s">
        <v>40</v>
      </c>
      <c r="Q57" s="588"/>
      <c r="R57" s="4"/>
    </row>
    <row r="58" spans="2:18">
      <c r="B58" s="2"/>
      <c r="C58" s="588">
        <f>UPPER(DATA!$B$24)</f>
      </c>
      <c r="D58" s="588"/>
      <c r="E58" s="588"/>
      <c r="F58" s="588"/>
      <c r="G58" s="588"/>
      <c r="H58" s="588"/>
      <c r="I58" s="6"/>
      <c r="J58" s="6"/>
      <c r="K58" s="6"/>
      <c r="L58" s="6"/>
      <c r="M58" s="6"/>
      <c r="N58" s="6"/>
      <c r="O58" s="6"/>
      <c r="P58" s="588">
        <f>UPPER(DATA!$B$17)</f>
      </c>
      <c r="Q58" s="588"/>
      <c r="R58" s="4"/>
    </row>
    <row r="59" spans="2:18">
      <c r="B59" s="2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588"/>
      <c r="Q59" s="588"/>
      <c r="R59" s="4"/>
    </row>
    <row r="60" spans="2:18">
      <c r="B60" s="2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5"/>
      <c r="Q60" s="5"/>
      <c r="R60" s="4"/>
    </row>
    <row r="61" spans="2:18">
      <c r="B61" s="2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5"/>
      <c r="Q61" s="5"/>
      <c r="R61" s="4"/>
    </row>
    <row r="62" spans="2:18">
      <c r="B62" s="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5"/>
      <c r="Q62" s="5"/>
      <c r="R62" s="4"/>
    </row>
    <row r="63" spans="2:18">
      <c r="B63" s="2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4"/>
    </row>
    <row r="64" spans="2:18">
      <c r="B64" s="2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4"/>
    </row>
    <row r="65" spans="2:18">
      <c r="B65" s="2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4"/>
    </row>
    <row r="66" spans="2:18">
      <c r="B66" s="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4"/>
    </row>
    <row r="67" spans="2:18">
      <c r="B67" s="2"/>
      <c r="C67" s="589">
        <f>DATA!$B$22</f>
      </c>
      <c r="D67" s="589"/>
      <c r="E67" s="589"/>
      <c r="F67" s="589"/>
      <c r="G67" s="589"/>
      <c r="H67" s="589"/>
      <c r="I67" s="6"/>
      <c r="J67" s="590"/>
      <c r="K67" s="590"/>
      <c r="L67" s="590"/>
      <c r="M67" s="590"/>
      <c r="N67" s="21"/>
      <c r="O67" s="21"/>
      <c r="P67" s="589">
        <f>DATA!$B$69</f>
      </c>
      <c r="Q67" s="589"/>
      <c r="R67" s="4"/>
    </row>
    <row r="68" spans="2:18">
      <c r="B68" s="2"/>
      <c r="C68" s="588">
        <f>DATA!$B$23</f>
      </c>
      <c r="D68" s="588"/>
      <c r="E68" s="588"/>
      <c r="F68" s="588"/>
      <c r="G68" s="588"/>
      <c r="H68" s="588"/>
      <c r="I68" s="6"/>
      <c r="J68" s="21"/>
      <c r="K68" s="21"/>
      <c r="L68" s="21"/>
      <c r="M68" s="21"/>
      <c r="N68" s="21"/>
      <c r="O68" s="21"/>
      <c r="P68" s="588">
        <f>DATA!$B$70</f>
      </c>
      <c r="Q68" s="588"/>
      <c r="R68" s="4"/>
    </row>
    <row r="69" spans="2:18" ht="9" customHeight="1" thickBot="1"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4"/>
    </row>
    <row r="70" spans="2:18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2:18">
      <c r="C71" s="6"/>
      <c r="D71" s="6"/>
      <c r="E71" s="6"/>
      <c r="F71" s="245">
        <f ca="1">""&amp;PROPER(IF(Q51=0,"nol",IF(Q51&lt;0,"minus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IF(--MID(TEXT(ABS(Q51),"000000000000000"),1,3)=0,"",MID(TEXT(ABS(Q51),"000000000000000"),1,1)&amp;" ratus "&amp;MID(TEXT(ABS(Q51),"000000000000000"),2,1)&amp;" puluh "&amp;MID(TEXT(ABS(Q51),"000000000000000"),3,1)&amp;" trilyun ")&amp; IF(--MID(TEXT(ABS(Q51),"000000000000000"),4,3)=0,"",MID(TEXT(ABS(Q51),"000000000000000"),4,1)&amp;" ratus "&amp;MID(TEXT(ABS(Q51),"000000000000000"),5,1)&amp;" puluh "&amp;MID(TEXT(ABS(Q51),"000000000000000"),6,1)&amp;" milyar ")&amp; IF(--MID(TEXT(ABS(Q51),"000000000000000"),7,3)=0,"",MID(TEXT(ABS(Q51),"000000000000000"),7,1)&amp;" ratus "&amp;MID(TEXT(ABS(Q51),"000000000000000"),8,1)&amp;" puluh "&amp;MID(TEXT(ABS(Q51),"000000000000000"),9,1)&amp;" juta ")&amp; IF(--MID(TEXT(ABS(Q51),"000000000000000"),10,3)=0,"",IF(--MID(TEXT(ABS(Q51),"000000000000000"),10,3)=1,"*",MID(TEXT(ABS(Q51),"000000000000000"),10,1)&amp;" ratus "&amp;MID(TEXT(ABS(Q51),"000000000000000"),11,1)&amp;" puluh ")&amp;MID(TEXT(ABS(Q51),"000000000000000"),12,1)&amp;" ribu ")&amp; IF(--MID(TEXT(ABS(Q51),"000000000000000"),13,3)=0,"",MID(TEXT(ABS(Q51),"000000000000000"),13,1)&amp;" ratus "&amp;MID(TEXT(ABS(Q51),"000000000000000"),14,1)&amp;" puluh "&amp;MID(TEXT(ABS(Q51),"000000000000000"),15,1)),1,"satu"),2,"dua"),3,"tiga"),4,"empat"),5,"lima"),6,"enam"),7,"tujuh"),8,"delapan"),9,"sembilan"),"0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Rupiah"</f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2:18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2:18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</sheetData>
  <mergeCells count="39">
    <mergeCell ref="K23:L23"/>
    <mergeCell ref="N23:P23"/>
    <mergeCell ref="C4:Q4"/>
    <mergeCell ref="C6:Q6"/>
    <mergeCell ref="C7:Q7"/>
    <mergeCell ref="C10:Q10"/>
    <mergeCell ref="C11:Q11"/>
    <mergeCell ref="C13:Q13"/>
    <mergeCell ref="J15:Q15"/>
    <mergeCell ref="T15:AB15"/>
    <mergeCell ref="J16:Q16"/>
    <mergeCell ref="C18:Q18"/>
    <mergeCell ref="K22:R22"/>
    <mergeCell ref="J40:K40"/>
    <mergeCell ref="K24:M24"/>
    <mergeCell ref="K25:M25"/>
    <mergeCell ref="C28:Q28"/>
    <mergeCell ref="T28:W28"/>
    <mergeCell ref="J29:K29"/>
    <mergeCell ref="J30:K30"/>
    <mergeCell ref="J31:K31"/>
    <mergeCell ref="J32:K32"/>
    <mergeCell ref="J35:K35"/>
    <mergeCell ref="J36:K36"/>
    <mergeCell ref="J37:K37"/>
    <mergeCell ref="J41:K41"/>
    <mergeCell ref="J42:K42"/>
    <mergeCell ref="C53:D53"/>
    <mergeCell ref="F53:Q53"/>
    <mergeCell ref="C57:H57"/>
    <mergeCell ref="P57:Q57"/>
    <mergeCell ref="C68:H68"/>
    <mergeCell ref="P68:Q68"/>
    <mergeCell ref="C58:H58"/>
    <mergeCell ref="P58:Q58"/>
    <mergeCell ref="P59:Q59"/>
    <mergeCell ref="C67:H67"/>
    <mergeCell ref="J67:M67"/>
    <mergeCell ref="P67:Q67"/>
  </mergeCells>
  <pageMargins left="0.34" right="0.25" top="0.75" bottom="0.38" header="0.3" footer="0.3"/>
  <pageSetup paperSize="9" scale="62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5A13-2E19-44A0-BB5F-5ECB104D06E2}">
  <sheetPr>
    <tabColor rgb="FF92D050"/>
  </sheetPr>
  <dimension ref="B1:AB73"/>
  <sheetViews>
    <sheetView showGridLines="0" view="pageBreakPreview" topLeftCell="A6" zoomScale="70" zoomScaleNormal="70" zoomScaleSheetLayoutView="70" workbookViewId="0">
      <selection activeCell="M75" sqref="M75"/>
    </sheetView>
  </sheetViews>
  <sheetFormatPr defaultColWidth="8.81640625" defaultRowHeight="15.6"/>
  <cols>
    <col min="1" max="1" width="10.81640625" style="1" customWidth="1"/>
    <col min="2" max="2" width="3.08984375" style="1" customWidth="1"/>
    <col min="3" max="3" width="2.453125" style="1" customWidth="1"/>
    <col min="4" max="4" width="6.81640625" style="1" customWidth="1"/>
    <col min="5" max="5" width="3.81640625" style="1" customWidth="1"/>
    <col min="6" max="7" width="5.81640625" style="1" customWidth="1"/>
    <col min="8" max="8" width="9.453125" style="1" customWidth="1"/>
    <col min="9" max="9" width="3.54296875" style="1" bestFit="1" customWidth="1"/>
    <col min="10" max="10" width="3" style="1" customWidth="1"/>
    <col min="11" max="11" width="9" style="1" customWidth="1"/>
    <col min="12" max="12" width="8.08984375" style="1" customWidth="1"/>
    <col min="13" max="13" width="20.81640625" style="1" customWidth="1"/>
    <col min="14" max="14" width="2.81640625" style="1" bestFit="1" customWidth="1"/>
    <col min="15" max="15" width="5" style="1" customWidth="1"/>
    <col min="16" max="16" width="19" style="1" customWidth="1"/>
    <col min="17" max="17" width="22.36328125" style="1" customWidth="1"/>
    <col min="18" max="18" width="0.81640625" style="1" customWidth="1"/>
    <col min="19" max="19" width="4.54296875" style="1" customWidth="1"/>
    <col min="20" max="22" width="8.81640625" style="1"/>
    <col min="23" max="23" width="25.08984375" style="1" customWidth="1"/>
    <col min="24" max="16384" width="8.81640625" style="1"/>
  </cols>
  <sheetData>
    <row r="1" spans="2:28" ht="16.2" thickBot="1"/>
    <row r="2" spans="2:28" ht="9" customHeight="1">
      <c r="B2" s="262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4"/>
    </row>
    <row r="3" spans="2:28" ht="24" customHeight="1">
      <c r="B3" s="2"/>
      <c r="E3" s="3"/>
      <c r="R3" s="4"/>
      <c r="T3" s="265" cm="1">
        <f t="array" ref="T3">INDEX(DATA!$B$99:$B$104,$T$9)</f>
      </c>
      <c r="U3" s="265"/>
      <c r="V3" s="265">
        <f>TEXT($T$3,"[$-21]dd mmmm yyyy")</f>
      </c>
      <c r="W3" s="58">
        <f>TEXT($T3,"[$-21]dd mmmm yyyy")</f>
      </c>
    </row>
    <row r="4" spans="2:28" ht="24" customHeight="1">
      <c r="B4" s="2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604"/>
      <c r="O4" s="604"/>
      <c r="P4" s="604"/>
      <c r="Q4" s="604"/>
      <c r="R4" s="4"/>
      <c r="T4" s="265">
        <f>TEXT($T$3,"[$-21]dddd")</f>
      </c>
    </row>
    <row r="5" spans="2:28" ht="24" customHeight="1">
      <c r="B5" s="2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4"/>
      <c r="T5" s="265">
        <f>VLOOKUP(DAY($T$3),HELPER!$A$2:$B$100,2,0)</f>
      </c>
    </row>
    <row r="6" spans="2:28" ht="24" customHeight="1">
      <c r="B6" s="2"/>
      <c r="C6" s="604"/>
      <c r="D6" s="604"/>
      <c r="E6" s="604"/>
      <c r="F6" s="604"/>
      <c r="G6" s="604"/>
      <c r="H6" s="604"/>
      <c r="I6" s="604"/>
      <c r="J6" s="604"/>
      <c r="K6" s="604"/>
      <c r="L6" s="604"/>
      <c r="M6" s="604"/>
      <c r="N6" s="604"/>
      <c r="O6" s="604"/>
      <c r="P6" s="604"/>
      <c r="Q6" s="604"/>
      <c r="R6" s="4"/>
      <c r="T6" s="265">
        <f>TEXT($T$3,"[$-21]mmmm")</f>
      </c>
    </row>
    <row r="7" spans="2:28" ht="24" hidden="1" customHeight="1">
      <c r="B7" s="2"/>
      <c r="C7" s="605"/>
      <c r="D7" s="605"/>
      <c r="E7" s="605"/>
      <c r="F7" s="605"/>
      <c r="G7" s="605"/>
      <c r="H7" s="605"/>
      <c r="I7" s="605"/>
      <c r="J7" s="605"/>
      <c r="K7" s="605"/>
      <c r="L7" s="605"/>
      <c r="M7" s="605"/>
      <c r="N7" s="605"/>
      <c r="O7" s="605"/>
      <c r="P7" s="605"/>
      <c r="Q7" s="605"/>
      <c r="R7" s="4"/>
      <c r="T7" s="265">
        <f>"Dua Ribu"&amp;IF(MOD(YEAR($T$3),100)=0,""," "&amp;VLOOKUP(MOD(YEAR($T$3),100),HELPER!$A$2:$B$100,2,0))</f>
      </c>
    </row>
    <row r="8" spans="2:28" ht="16.2" hidden="1" thickBot="1">
      <c r="B8" s="2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4"/>
      <c r="T8" s="470" t="s">
        <v>51</v>
      </c>
    </row>
    <row r="9" spans="2:28">
      <c r="B9" s="2"/>
      <c r="R9" s="4"/>
      <c r="T9" s="471">
        <v>2</v>
      </c>
    </row>
    <row r="10" spans="2:28" ht="20.399999999999999">
      <c r="B10" s="2"/>
      <c r="C10" s="606" t="s">
        <v>52</v>
      </c>
      <c r="D10" s="606"/>
      <c r="E10" s="606"/>
      <c r="F10" s="606"/>
      <c r="G10" s="606"/>
      <c r="H10" s="606"/>
      <c r="I10" s="606"/>
      <c r="J10" s="606"/>
      <c r="K10" s="606"/>
      <c r="L10" s="606"/>
      <c r="M10" s="606"/>
      <c r="N10" s="606"/>
      <c r="O10" s="606"/>
      <c r="P10" s="606"/>
      <c r="Q10" s="606"/>
      <c r="R10" s="4"/>
    </row>
    <row r="11" spans="2:28">
      <c r="B11" s="2"/>
      <c r="C11" s="588">
        <f>TEXT($T$9,"00")&amp;"/BAP/"&amp;DATA!$B$4</f>
      </c>
      <c r="D11" s="588"/>
      <c r="E11" s="588"/>
      <c r="F11" s="588"/>
      <c r="G11" s="588"/>
      <c r="H11" s="588"/>
      <c r="I11" s="588"/>
      <c r="J11" s="588"/>
      <c r="K11" s="588"/>
      <c r="L11" s="588"/>
      <c r="M11" s="588"/>
      <c r="N11" s="588"/>
      <c r="O11" s="588"/>
      <c r="P11" s="588"/>
      <c r="Q11" s="588"/>
      <c r="R11" s="4"/>
    </row>
    <row r="12" spans="2:28">
      <c r="B12" s="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4"/>
    </row>
    <row r="13" spans="2:28">
      <c r="B13" s="2"/>
      <c r="C13" s="597">
        <f>"Pada hari ini "&amp;T4&amp;" tanggal "&amp;T5&amp;" bulan "&amp;T6&amp;" tahun "&amp;T7&amp;" ("&amp;V3&amp;"), kami yang bertandatangan di bawah ini:"</f>
      </c>
      <c r="D13" s="597"/>
      <c r="E13" s="597"/>
      <c r="F13" s="597"/>
      <c r="G13" s="597"/>
      <c r="H13" s="597"/>
      <c r="I13" s="597"/>
      <c r="J13" s="597"/>
      <c r="K13" s="597"/>
      <c r="L13" s="597"/>
      <c r="M13" s="597"/>
      <c r="N13" s="597"/>
      <c r="O13" s="597"/>
      <c r="P13" s="597"/>
      <c r="Q13" s="597"/>
      <c r="R13" s="7"/>
      <c r="S13" s="8"/>
    </row>
    <row r="14" spans="2:28">
      <c r="B14" s="2"/>
      <c r="C14" s="6"/>
      <c r="D14" s="7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4"/>
    </row>
    <row r="15" spans="2:28" ht="66.45" customHeight="1">
      <c r="B15" s="2"/>
      <c r="C15" s="9">
        <v>1</v>
      </c>
      <c r="D15" s="67">
        <f>DATA!$B$69</f>
      </c>
      <c r="E15" s="10"/>
      <c r="F15" s="10"/>
      <c r="G15" s="10"/>
      <c r="H15" s="10"/>
      <c r="I15" s="11" t="s">
        <v>2</v>
      </c>
      <c r="J15" s="597">
        <f>"Selaku "&amp;DATA!$B$70&amp;", "&amp;DATA!$B$7&amp;", dalam hal ini bertindak untuk dan atas nama "&amp;DATA!$B$17&amp;" yang berkedudukan di "&amp;DATA!$B$18&amp;" (selanjutnya disebut sebagai PIHAK PERTAMA)."</f>
      </c>
      <c r="K15" s="597"/>
      <c r="L15" s="597"/>
      <c r="M15" s="597"/>
      <c r="N15" s="597"/>
      <c r="O15" s="597"/>
      <c r="P15" s="597"/>
      <c r="Q15" s="597"/>
      <c r="R15" s="4"/>
      <c r="T15" s="595"/>
      <c r="U15" s="595"/>
      <c r="V15" s="595"/>
      <c r="W15" s="595"/>
      <c r="X15" s="595"/>
      <c r="Y15" s="595"/>
      <c r="Z15" s="595"/>
      <c r="AA15" s="595"/>
      <c r="AB15" s="595"/>
    </row>
    <row r="16" spans="2:28" ht="58.2" customHeight="1">
      <c r="B16" s="2"/>
      <c r="C16" s="9">
        <v>2</v>
      </c>
      <c r="D16" s="67">
        <f>DATA!$B$22</f>
      </c>
      <c r="E16" s="10"/>
      <c r="F16" s="10"/>
      <c r="G16" s="10"/>
      <c r="H16" s="10"/>
      <c r="I16" s="11" t="s">
        <v>2</v>
      </c>
      <c r="J16" s="596">
        <f>"Selaku "&amp;DATA!$B$23&amp;" "&amp;DATA!$B$24&amp;", dalam hal ini bertindak untuk dan atas nama "&amp;DATA!$B$24&amp;" yang berkedudukan di "&amp;DATA!$B$25&amp;" (selanjutnya disebut sebagai PIHAK KEDUA)."</f>
      </c>
      <c r="K16" s="597"/>
      <c r="L16" s="597"/>
      <c r="M16" s="597"/>
      <c r="N16" s="597"/>
      <c r="O16" s="597"/>
      <c r="P16" s="597"/>
      <c r="Q16" s="597"/>
      <c r="R16" s="4"/>
    </row>
    <row r="17" spans="2:23" ht="8.25" customHeight="1">
      <c r="B17" s="2"/>
      <c r="C17" s="6"/>
      <c r="D17" s="6"/>
      <c r="E17" s="6"/>
      <c r="F17" s="6"/>
      <c r="G17" s="6"/>
      <c r="H17" s="6"/>
      <c r="I17" s="6"/>
      <c r="J17" s="12"/>
      <c r="K17" s="6"/>
      <c r="L17" s="6"/>
      <c r="M17" s="6"/>
      <c r="N17" s="6"/>
      <c r="O17" s="6"/>
      <c r="P17" s="6"/>
      <c r="Q17" s="6"/>
      <c r="R17" s="4"/>
    </row>
    <row r="18" spans="2:23" ht="40.5" customHeight="1">
      <c r="B18" s="2"/>
      <c r="C18" s="598">
        <f>"Menerangkan bahwa kedua belah pihak, telah melakukan pemeriksaan atas "&amp;DATA!$B$6&amp;" pada "&amp;DATA!$B$7&amp;", dan berdasarkan :"</f>
      </c>
      <c r="D18" s="598"/>
      <c r="E18" s="598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598"/>
      <c r="Q18" s="598"/>
      <c r="R18" s="4"/>
    </row>
    <row r="19" spans="2:23" ht="7.5" customHeight="1">
      <c r="B19" s="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4"/>
    </row>
    <row r="20" spans="2:23">
      <c r="B20" s="2"/>
      <c r="C20" s="6"/>
      <c r="D20" s="6" t="s">
        <v>53</v>
      </c>
      <c r="E20" s="6"/>
      <c r="F20" s="6"/>
      <c r="G20" s="6"/>
      <c r="H20" s="6"/>
      <c r="I20" s="6"/>
      <c r="J20" s="12" t="s">
        <v>2</v>
      </c>
      <c r="K20" s="68">
        <f>DATA!$B$4</f>
      </c>
      <c r="L20" s="14"/>
      <c r="M20" s="14"/>
      <c r="N20" s="6" t="s">
        <v>54</v>
      </c>
      <c r="O20" s="6"/>
      <c r="P20" s="76">
        <f>TEXT(DATA!$B$5,"[$-21]dd mmmm yyyy")</f>
      </c>
      <c r="Q20" s="6"/>
      <c r="R20" s="4"/>
    </row>
    <row r="21" spans="2:23" hidden="1">
      <c r="B21" s="2"/>
      <c r="C21" s="6"/>
      <c r="D21" s="6" t="s">
        <v>55</v>
      </c>
      <c r="E21" s="6"/>
      <c r="F21" s="6"/>
      <c r="G21" s="6"/>
      <c r="H21" s="6"/>
      <c r="I21" s="6"/>
      <c r="J21" s="12" t="s">
        <v>2</v>
      </c>
      <c r="K21" s="6" t="s">
        <v>4</v>
      </c>
      <c r="L21" s="6"/>
      <c r="M21" s="6"/>
      <c r="N21" s="6"/>
      <c r="O21" s="6"/>
      <c r="P21" s="15"/>
      <c r="Q21" s="6"/>
      <c r="R21" s="4"/>
    </row>
    <row r="22" spans="2:23" hidden="1">
      <c r="B22" s="2"/>
      <c r="C22" s="6"/>
      <c r="D22" s="11" t="s">
        <v>56</v>
      </c>
      <c r="E22" s="11"/>
      <c r="F22" s="11"/>
      <c r="G22" s="11"/>
      <c r="H22" s="11"/>
      <c r="I22" s="11"/>
      <c r="J22" s="70" t="s">
        <v>2</v>
      </c>
      <c r="K22" s="599">
        <f>DATA!$B$6</f>
      </c>
      <c r="L22" s="599"/>
      <c r="M22" s="599"/>
      <c r="N22" s="599"/>
      <c r="O22" s="599"/>
      <c r="P22" s="599"/>
      <c r="Q22" s="599"/>
      <c r="R22" s="600"/>
    </row>
    <row r="23" spans="2:23" ht="19.2" customHeight="1">
      <c r="B23" s="2"/>
      <c r="C23" s="6"/>
      <c r="D23" s="6" t="s">
        <v>57</v>
      </c>
      <c r="E23" s="6"/>
      <c r="F23" s="6"/>
      <c r="G23" s="6"/>
      <c r="H23" s="6"/>
      <c r="I23" s="6"/>
      <c r="J23" s="12" t="s">
        <v>2</v>
      </c>
      <c r="K23" s="603">
        <f>TEXT(DATA!$B$8,"[$-21]dd mmmm yyyy")</f>
      </c>
      <c r="L23" s="603"/>
      <c r="M23" s="5" t="s">
        <v>58</v>
      </c>
      <c r="N23" s="603">
        <f>TEXT(DATA!$B$9,"[$-21]dd mmmm yyyy")</f>
      </c>
      <c r="O23" s="603"/>
      <c r="P23" s="603"/>
      <c r="Q23" s="6"/>
      <c r="R23" s="4"/>
    </row>
    <row r="24" spans="2:23" ht="21.6" customHeight="1">
      <c r="B24" s="2"/>
      <c r="C24" s="6"/>
      <c r="D24" s="6" t="s">
        <v>59</v>
      </c>
      <c r="E24" s="6"/>
      <c r="F24" s="6"/>
      <c r="G24" s="6"/>
      <c r="H24" s="6"/>
      <c r="I24" s="6"/>
      <c r="J24" s="12" t="s">
        <v>2</v>
      </c>
      <c r="K24" s="601">
        <f>#REF!</f>
      </c>
      <c r="L24" s="601"/>
      <c r="M24" s="601"/>
      <c r="N24" s="16"/>
      <c r="O24" s="16"/>
      <c r="P24" s="17" t="s">
        <v>60</v>
      </c>
      <c r="Q24" s="6"/>
      <c r="R24" s="4"/>
    </row>
    <row r="25" spans="2:23" hidden="1">
      <c r="B25" s="2"/>
      <c r="C25" s="6"/>
      <c r="D25" s="6" t="s">
        <v>61</v>
      </c>
      <c r="E25" s="6"/>
      <c r="F25" s="6"/>
      <c r="G25" s="6"/>
      <c r="H25" s="6"/>
      <c r="I25" s="6"/>
      <c r="J25" s="12" t="s">
        <v>2</v>
      </c>
      <c r="K25" s="601">
        <v>0</v>
      </c>
      <c r="L25" s="601"/>
      <c r="M25" s="601"/>
      <c r="N25" s="16"/>
      <c r="O25" s="16"/>
      <c r="P25" s="17" t="s">
        <v>62</v>
      </c>
      <c r="Q25" s="6"/>
      <c r="R25" s="4"/>
    </row>
    <row r="26" spans="2:23" hidden="1">
      <c r="B26" s="2"/>
      <c r="C26" s="6"/>
      <c r="D26" s="6" t="s">
        <v>11</v>
      </c>
      <c r="E26" s="6"/>
      <c r="F26" s="6"/>
      <c r="G26" s="6"/>
      <c r="H26" s="6"/>
      <c r="I26" s="6"/>
      <c r="J26" s="12" t="s">
        <v>2</v>
      </c>
      <c r="K26" s="217">
        <f>DATA!$B$46</f>
      </c>
      <c r="L26" s="6"/>
      <c r="M26" s="26"/>
      <c r="N26" s="6"/>
      <c r="O26" s="6"/>
      <c r="P26" s="6"/>
      <c r="Q26" s="6"/>
      <c r="R26" s="4"/>
    </row>
    <row r="27" spans="2:23" hidden="1">
      <c r="B27" s="2"/>
      <c r="C27" s="6"/>
      <c r="D27" s="6" t="s">
        <v>14</v>
      </c>
      <c r="E27" s="6"/>
      <c r="F27" s="6"/>
      <c r="G27" s="6"/>
      <c r="H27" s="6"/>
      <c r="I27" s="6"/>
      <c r="J27" s="12" t="s">
        <v>2</v>
      </c>
      <c r="K27" s="217">
        <f>DATA!$B$47</f>
      </c>
      <c r="L27" s="6"/>
      <c r="M27" s="26"/>
      <c r="N27" s="6"/>
      <c r="O27" s="6"/>
      <c r="P27" s="6"/>
      <c r="Q27" s="6"/>
      <c r="R27" s="4"/>
    </row>
    <row r="28" spans="2:23" ht="49.5" customHeight="1">
      <c r="B28" s="2"/>
      <c r="C28" s="602">
        <f ca="1">"Menyatakan bahwa prestasi pekerjaan yang dicapai oleh PIHAK KEDUA sampai dengan tanggal "&amp;TEXT($T$3,"[$-21]dd mmmm yyyy")&amp;" adalah "&amp;TEXT('BAPP 2'!$K$194,"0.00%")&amp;" sesuai dengan Berita Acara Pemeriksaan Pekerjaan No. "&amp;'BAPP 2'!$B$10&amp;", dengan rincian sebagai berikut :"</f>
      </c>
      <c r="D28" s="598"/>
      <c r="E28" s="598"/>
      <c r="F28" s="598"/>
      <c r="G28" s="598"/>
      <c r="H28" s="598"/>
      <c r="I28" s="598"/>
      <c r="J28" s="598"/>
      <c r="K28" s="598"/>
      <c r="L28" s="598"/>
      <c r="M28" s="598"/>
      <c r="N28" s="598"/>
      <c r="O28" s="598"/>
      <c r="P28" s="598"/>
      <c r="Q28" s="598"/>
      <c r="R28" s="4"/>
      <c r="T28" s="598"/>
      <c r="U28" s="598"/>
      <c r="V28" s="598"/>
      <c r="W28" s="598"/>
    </row>
    <row r="29" spans="2:23">
      <c r="B29" s="2"/>
      <c r="C29" s="6" t="s">
        <v>63</v>
      </c>
      <c r="D29" s="25" t="s">
        <v>64</v>
      </c>
      <c r="E29" s="6"/>
      <c r="F29" s="6"/>
      <c r="G29" s="6"/>
      <c r="H29" s="6"/>
      <c r="I29" s="6"/>
      <c r="J29" s="591"/>
      <c r="K29" s="591"/>
      <c r="L29" s="6"/>
      <c r="M29" s="6" t="s">
        <v>65</v>
      </c>
      <c r="N29" s="6"/>
      <c r="O29" s="6"/>
      <c r="P29" s="6"/>
      <c r="Q29" s="6"/>
      <c r="R29" s="4"/>
    </row>
    <row r="30" spans="2:23">
      <c r="B30" s="2"/>
      <c r="C30" s="12" t="s">
        <v>4</v>
      </c>
      <c r="D30" s="6" t="s">
        <v>66</v>
      </c>
      <c r="E30" s="6"/>
      <c r="F30" s="6"/>
      <c r="G30" s="6"/>
      <c r="H30" s="6"/>
      <c r="I30" s="6" t="s">
        <v>13</v>
      </c>
      <c r="J30" s="591">
        <f ca="1">J32+J31</f>
      </c>
      <c r="K30" s="591"/>
      <c r="L30" s="6" t="s">
        <v>67</v>
      </c>
      <c r="M30" s="411">
        <f>$K$24</f>
      </c>
      <c r="N30" s="411" t="s">
        <v>13</v>
      </c>
      <c r="O30" s="411"/>
      <c r="P30" s="411">
        <f ca="1">J30*M30</f>
      </c>
      <c r="Q30" s="6"/>
      <c r="R30" s="4"/>
    </row>
    <row r="31" spans="2:23">
      <c r="B31" s="2"/>
      <c r="C31" s="12" t="s">
        <v>4</v>
      </c>
      <c r="D31" s="6" t="s">
        <v>68</v>
      </c>
      <c r="E31" s="6"/>
      <c r="F31" s="6"/>
      <c r="G31" s="6"/>
      <c r="H31" s="6"/>
      <c r="I31" s="6" t="s">
        <v>13</v>
      </c>
      <c r="J31" s="591">
        <f ca="1">'rincian 2'!T166</f>
      </c>
      <c r="K31" s="591"/>
      <c r="L31" s="6" t="s">
        <v>67</v>
      </c>
      <c r="M31" s="411">
        <f>$K$24</f>
      </c>
      <c r="N31" s="411" t="s">
        <v>13</v>
      </c>
      <c r="O31" s="411"/>
      <c r="P31" s="411">
        <f ca="1">J31*M31</f>
      </c>
      <c r="Q31" s="6"/>
      <c r="R31" s="4"/>
      <c r="W31" s="266"/>
    </row>
    <row r="32" spans="2:23">
      <c r="B32" s="2"/>
      <c r="C32" s="12" t="s">
        <v>4</v>
      </c>
      <c r="D32" s="6" t="s">
        <v>69</v>
      </c>
      <c r="E32" s="6"/>
      <c r="F32" s="6"/>
      <c r="G32" s="6"/>
      <c r="H32" s="6"/>
      <c r="I32" s="6" t="s">
        <v>13</v>
      </c>
      <c r="J32" s="591">
        <f ca="1">'BAPP 2'!K194</f>
      </c>
      <c r="K32" s="591"/>
      <c r="L32" s="6" t="s">
        <v>67</v>
      </c>
      <c r="M32" s="411">
        <f>$K$24</f>
      </c>
      <c r="N32" s="411" t="s">
        <v>13</v>
      </c>
      <c r="O32" s="411"/>
      <c r="P32" s="411">
        <f ca="1">J32*M32</f>
      </c>
      <c r="Q32" s="6"/>
      <c r="R32" s="4"/>
      <c r="W32" s="266"/>
    </row>
    <row r="33" spans="2:18">
      <c r="B33" s="2"/>
      <c r="C33" s="6"/>
      <c r="D33" s="6"/>
      <c r="E33" s="6"/>
      <c r="F33" s="6"/>
      <c r="G33" s="6"/>
      <c r="H33" s="6"/>
      <c r="I33" s="6"/>
      <c r="J33" s="12"/>
      <c r="K33" s="6"/>
      <c r="L33" s="6"/>
      <c r="M33" s="6"/>
      <c r="N33" s="6"/>
      <c r="O33" s="6"/>
      <c r="P33" s="6"/>
      <c r="Q33" s="412">
        <f ca="1">P32</f>
      </c>
      <c r="R33" s="4"/>
    </row>
    <row r="34" spans="2:18">
      <c r="B34" s="2"/>
      <c r="C34" s="6" t="s">
        <v>70</v>
      </c>
      <c r="D34" s="25" t="s">
        <v>71</v>
      </c>
      <c r="E34" s="6"/>
      <c r="F34" s="6"/>
      <c r="G34" s="6"/>
      <c r="H34" s="6"/>
      <c r="I34" s="6"/>
      <c r="J34" s="12"/>
      <c r="K34" s="6"/>
      <c r="L34" s="6"/>
      <c r="M34" s="6"/>
      <c r="N34" s="6"/>
      <c r="O34" s="6"/>
      <c r="P34" s="6"/>
      <c r="Q34" s="6"/>
      <c r="R34" s="4"/>
    </row>
    <row r="35" spans="2:18">
      <c r="B35" s="2"/>
      <c r="C35" s="6"/>
      <c r="D35" s="6" t="s">
        <v>72</v>
      </c>
      <c r="E35" s="6"/>
      <c r="F35" s="6"/>
      <c r="G35" s="6"/>
      <c r="H35" s="6"/>
      <c r="I35" s="6" t="s">
        <v>13</v>
      </c>
      <c r="J35" s="591">
        <f>$K$27</f>
      </c>
      <c r="K35" s="591"/>
      <c r="L35" s="6" t="s">
        <v>67</v>
      </c>
      <c r="M35" s="411">
        <f ca="1">M36+M37</f>
      </c>
      <c r="N35" s="411" t="s">
        <v>13</v>
      </c>
      <c r="O35" s="411"/>
      <c r="P35" s="413">
        <f ca="1">ROUND(J35*M35,0)</f>
      </c>
      <c r="Q35" s="6"/>
      <c r="R35" s="4"/>
    </row>
    <row r="36" spans="2:18">
      <c r="B36" s="2"/>
      <c r="C36" s="6"/>
      <c r="D36" s="6" t="s">
        <v>73</v>
      </c>
      <c r="E36" s="6"/>
      <c r="F36" s="6"/>
      <c r="G36" s="6"/>
      <c r="H36" s="6"/>
      <c r="I36" s="6" t="s">
        <v>13</v>
      </c>
      <c r="J36" s="591">
        <v>0</v>
      </c>
      <c r="K36" s="591"/>
      <c r="L36" s="6" t="s">
        <v>67</v>
      </c>
      <c r="M36" s="411">
        <v>0</v>
      </c>
      <c r="N36" s="411" t="s">
        <v>13</v>
      </c>
      <c r="O36" s="411"/>
      <c r="P36" s="411">
        <f>J36*M36</f>
      </c>
      <c r="Q36" s="6"/>
      <c r="R36" s="4"/>
    </row>
    <row r="37" spans="2:18">
      <c r="B37" s="2"/>
      <c r="C37" s="6"/>
      <c r="D37" s="6" t="s">
        <v>74</v>
      </c>
      <c r="E37" s="6"/>
      <c r="F37" s="6"/>
      <c r="G37" s="6"/>
      <c r="H37" s="6"/>
      <c r="I37" s="6" t="s">
        <v>13</v>
      </c>
      <c r="J37" s="591">
        <v>0</v>
      </c>
      <c r="K37" s="591"/>
      <c r="L37" s="6" t="s">
        <v>67</v>
      </c>
      <c r="M37" s="411">
        <f ca="1">P32</f>
      </c>
      <c r="N37" s="411" t="s">
        <v>13</v>
      </c>
      <c r="O37" s="411"/>
      <c r="P37" s="414">
        <f ca="1">ROUND(J37*M37,0)</f>
      </c>
      <c r="Q37" s="6"/>
      <c r="R37" s="4"/>
    </row>
    <row r="38" spans="2:18">
      <c r="B38" s="2"/>
      <c r="C38" s="6"/>
      <c r="D38" s="6"/>
      <c r="E38" s="6"/>
      <c r="F38" s="6"/>
      <c r="G38" s="6"/>
      <c r="H38" s="6"/>
      <c r="I38" s="6"/>
      <c r="J38" s="12"/>
      <c r="K38" s="6"/>
      <c r="L38" s="6"/>
      <c r="M38" s="6"/>
      <c r="N38" s="6"/>
      <c r="O38" s="6"/>
      <c r="P38" s="6"/>
      <c r="Q38" s="412">
        <f ca="1">P37</f>
      </c>
      <c r="R38" s="4"/>
    </row>
    <row r="39" spans="2:18">
      <c r="B39" s="2"/>
      <c r="C39" s="6" t="s">
        <v>75</v>
      </c>
      <c r="D39" s="25" t="s">
        <v>76</v>
      </c>
      <c r="E39" s="6"/>
      <c r="F39" s="6"/>
      <c r="G39" s="6"/>
      <c r="H39" s="6"/>
      <c r="I39" s="6"/>
      <c r="J39" s="12"/>
      <c r="K39" s="6"/>
      <c r="L39" s="6"/>
      <c r="M39" s="6"/>
      <c r="N39" s="6"/>
      <c r="O39" s="6"/>
      <c r="P39" s="6"/>
      <c r="Q39" s="6"/>
      <c r="R39" s="4"/>
    </row>
    <row r="40" spans="2:18">
      <c r="B40" s="2"/>
      <c r="C40" s="6"/>
      <c r="D40" s="6" t="s">
        <v>77</v>
      </c>
      <c r="E40" s="6"/>
      <c r="F40" s="6"/>
      <c r="G40" s="6"/>
      <c r="H40" s="6"/>
      <c r="I40" s="6" t="s">
        <v>13</v>
      </c>
      <c r="J40" s="591">
        <f>$K$26</f>
      </c>
      <c r="K40" s="591"/>
      <c r="L40" s="6" t="s">
        <v>67</v>
      </c>
      <c r="M40" s="411">
        <f ca="1">M42+M41</f>
      </c>
      <c r="N40" s="411" t="s">
        <v>13</v>
      </c>
      <c r="O40" s="411"/>
      <c r="P40" s="411">
        <f ca="1">ROUND(J40*M40,0)</f>
      </c>
      <c r="Q40" s="6"/>
      <c r="R40" s="4"/>
    </row>
    <row r="41" spans="2:18">
      <c r="B41" s="2"/>
      <c r="C41" s="6"/>
      <c r="D41" s="6" t="s">
        <v>78</v>
      </c>
      <c r="E41" s="6"/>
      <c r="F41" s="6"/>
      <c r="G41" s="6"/>
      <c r="H41" s="6"/>
      <c r="I41" s="6" t="s">
        <v>13</v>
      </c>
      <c r="J41" s="591">
        <v>0</v>
      </c>
      <c r="K41" s="591"/>
      <c r="L41" s="6" t="s">
        <v>67</v>
      </c>
      <c r="M41" s="411">
        <v>0</v>
      </c>
      <c r="N41" s="411" t="s">
        <v>13</v>
      </c>
      <c r="O41" s="411"/>
      <c r="P41" s="411">
        <f t="shared" ref="P41" si="0">J41*M41</f>
      </c>
      <c r="Q41" s="6"/>
      <c r="R41" s="4"/>
    </row>
    <row r="42" spans="2:18" ht="16.8">
      <c r="B42" s="2"/>
      <c r="C42" s="6"/>
      <c r="D42" s="6" t="s">
        <v>79</v>
      </c>
      <c r="E42" s="6"/>
      <c r="F42" s="6"/>
      <c r="G42" s="6"/>
      <c r="H42" s="6"/>
      <c r="I42" s="6" t="s">
        <v>13</v>
      </c>
      <c r="J42" s="591">
        <v>0</v>
      </c>
      <c r="K42" s="591"/>
      <c r="L42" s="6" t="s">
        <v>67</v>
      </c>
      <c r="M42" s="411">
        <f ca="1">Q33</f>
      </c>
      <c r="N42" s="411" t="s">
        <v>13</v>
      </c>
      <c r="O42" s="411"/>
      <c r="P42" s="415">
        <f ca="1">ROUND(J42*M42,0)</f>
      </c>
      <c r="Q42" s="6"/>
      <c r="R42" s="4"/>
    </row>
    <row r="43" spans="2:18">
      <c r="B43" s="2"/>
      <c r="C43" s="6"/>
      <c r="D43" s="6"/>
      <c r="E43" s="6"/>
      <c r="F43" s="6"/>
      <c r="G43" s="6"/>
      <c r="H43" s="6"/>
      <c r="I43" s="6"/>
      <c r="J43" s="12"/>
      <c r="K43" s="6"/>
      <c r="L43" s="6"/>
      <c r="M43" s="6"/>
      <c r="N43" s="6"/>
      <c r="O43" s="6"/>
      <c r="P43" s="6"/>
      <c r="Q43" s="412">
        <f ca="1">P42</f>
      </c>
      <c r="R43" s="4"/>
    </row>
    <row r="44" spans="2:18">
      <c r="B44" s="2"/>
      <c r="C44" s="6"/>
      <c r="D44" s="6"/>
      <c r="E44" s="6"/>
      <c r="F44" s="6"/>
      <c r="G44" s="6"/>
      <c r="H44" s="6"/>
      <c r="I44" s="6"/>
      <c r="J44" s="12"/>
      <c r="K44" s="6"/>
      <c r="L44" s="6"/>
      <c r="M44" s="6"/>
      <c r="N44" s="6"/>
      <c r="O44" s="6"/>
      <c r="P44" s="6"/>
      <c r="Q44" s="412"/>
      <c r="R44" s="4"/>
    </row>
    <row r="45" spans="2:18">
      <c r="B45" s="2"/>
      <c r="C45" s="6" t="s">
        <v>80</v>
      </c>
      <c r="D45" s="25" t="s">
        <v>81</v>
      </c>
      <c r="E45" s="6"/>
      <c r="F45" s="6"/>
      <c r="G45" s="6"/>
      <c r="H45" s="6"/>
      <c r="I45" s="6"/>
      <c r="J45" s="12"/>
      <c r="K45" s="6"/>
      <c r="L45" s="6"/>
      <c r="M45" s="6"/>
      <c r="N45" s="6"/>
      <c r="P45" s="6"/>
      <c r="Q45" s="6"/>
      <c r="R45" s="4"/>
    </row>
    <row r="46" spans="2:18">
      <c r="B46" s="2"/>
      <c r="C46" s="6"/>
      <c r="D46" s="214"/>
      <c r="E46" s="6"/>
      <c r="F46" s="6"/>
      <c r="G46" s="6"/>
      <c r="H46" s="6"/>
      <c r="I46" s="6"/>
      <c r="J46" s="72"/>
      <c r="K46" s="72"/>
      <c r="L46" s="6"/>
      <c r="M46" s="411"/>
      <c r="N46" s="411"/>
      <c r="P46" s="411"/>
      <c r="Q46" s="6"/>
      <c r="R46" s="4"/>
    </row>
    <row r="47" spans="2:18" ht="16.2" thickBot="1">
      <c r="B47" s="2"/>
      <c r="C47" s="6"/>
      <c r="D47" s="6"/>
      <c r="E47" s="6"/>
      <c r="F47" s="6"/>
      <c r="G47" s="6"/>
      <c r="H47" s="6"/>
      <c r="I47" s="6"/>
      <c r="J47" s="12"/>
      <c r="K47" s="6"/>
      <c r="L47" s="6"/>
      <c r="M47" s="6"/>
      <c r="N47" s="6"/>
      <c r="O47" s="6"/>
      <c r="P47" s="6"/>
      <c r="Q47" s="412">
        <f>SUM(P46)</f>
      </c>
      <c r="R47" s="4"/>
    </row>
    <row r="48" spans="2:18">
      <c r="B48" s="2"/>
      <c r="C48" s="6"/>
      <c r="D48" s="18" t="s">
        <v>82</v>
      </c>
      <c r="E48" s="18"/>
      <c r="F48" s="18"/>
      <c r="G48" s="18"/>
      <c r="H48" s="18"/>
      <c r="I48" s="18"/>
      <c r="J48" s="416"/>
      <c r="K48" s="18"/>
      <c r="L48" s="18"/>
      <c r="M48" s="18"/>
      <c r="N48" s="18"/>
      <c r="O48" s="18"/>
      <c r="P48" s="18"/>
      <c r="Q48" s="417">
        <f ca="1">ROUND((Q33-Q38-Q43-Q47),0)</f>
      </c>
      <c r="R48" s="4"/>
    </row>
    <row r="49" spans="2:18" ht="16.2" thickBot="1">
      <c r="B49" s="2"/>
      <c r="C49" s="6"/>
      <c r="D49" s="267" t="s">
        <v>83</v>
      </c>
      <c r="E49" s="267"/>
      <c r="F49" s="267"/>
      <c r="G49" s="267"/>
      <c r="H49" s="267"/>
      <c r="I49" s="267"/>
      <c r="J49" s="418"/>
      <c r="K49" s="267"/>
      <c r="L49" s="267"/>
      <c r="M49" s="267"/>
      <c r="N49" s="267"/>
      <c r="O49" s="267"/>
      <c r="P49" s="267"/>
      <c r="Q49" s="419">
        <f ca="1">ROUND($Q$48*DATA!$B$11,0)</f>
      </c>
      <c r="R49" s="4"/>
    </row>
    <row r="50" spans="2:18" ht="16.2" thickBot="1">
      <c r="B50" s="2"/>
      <c r="C50" s="6"/>
      <c r="D50" s="18" t="s">
        <v>84</v>
      </c>
      <c r="E50" s="18"/>
      <c r="F50" s="18"/>
      <c r="G50" s="18"/>
      <c r="H50" s="18"/>
      <c r="I50" s="18"/>
      <c r="J50" s="416"/>
      <c r="K50" s="18"/>
      <c r="L50" s="18"/>
      <c r="M50" s="18"/>
      <c r="N50" s="18"/>
      <c r="O50" s="18"/>
      <c r="P50" s="18"/>
      <c r="Q50" s="420">
        <f ca="1">Q48+Q49</f>
      </c>
      <c r="R50" s="4"/>
    </row>
    <row r="51" spans="2:18" ht="16.2" thickBot="1">
      <c r="B51" s="2"/>
      <c r="C51" s="6"/>
      <c r="D51" s="194" t="s">
        <v>85</v>
      </c>
      <c r="E51" s="195"/>
      <c r="F51" s="195"/>
      <c r="G51" s="195"/>
      <c r="H51" s="195"/>
      <c r="I51" s="195"/>
      <c r="J51" s="421"/>
      <c r="K51" s="195"/>
      <c r="L51" s="195"/>
      <c r="M51" s="195"/>
      <c r="N51" s="195"/>
      <c r="O51" s="195"/>
      <c r="P51" s="195"/>
      <c r="Q51" s="422">
        <f ca="1">Q50</f>
      </c>
      <c r="R51" s="4"/>
    </row>
    <row r="52" spans="2:18" ht="16.2" thickTop="1">
      <c r="B52" s="2"/>
      <c r="C52" s="6"/>
      <c r="D52" s="6"/>
      <c r="E52" s="6"/>
      <c r="F52" s="6"/>
      <c r="G52" s="6"/>
      <c r="H52" s="6"/>
      <c r="I52" s="6"/>
      <c r="J52" s="12"/>
      <c r="K52" s="6"/>
      <c r="L52" s="6"/>
      <c r="M52" s="6"/>
      <c r="N52" s="6"/>
      <c r="O52" s="6"/>
      <c r="P52" s="6"/>
      <c r="Q52" s="423"/>
      <c r="R52" s="4"/>
    </row>
    <row r="53" spans="2:18" ht="30.75" customHeight="1">
      <c r="B53" s="2"/>
      <c r="C53" s="592" t="s">
        <v>37</v>
      </c>
      <c r="D53" s="592"/>
      <c r="E53" s="19" t="s">
        <v>2</v>
      </c>
      <c r="F53" s="593">
        <f ca="1">" ==  "&amp;PROPER(IF(Q51=0,"nol",IF(Q51&lt;0,"minus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IF(--MID(TEXT(ABS(Q51),"000000000000000"),1,3)=0,"",MID(TEXT(ABS(Q51),"000000000000000"),1,1)&amp;" ratus "&amp;MID(TEXT(ABS(Q51),"000000000000000"),2,1)&amp;" puluh "&amp;MID(TEXT(ABS(Q51),"000000000000000"),3,1)&amp;" trilyun ")&amp; IF(--MID(TEXT(ABS(Q51),"000000000000000"),4,3)=0,"",MID(TEXT(ABS(Q51),"000000000000000"),4,1)&amp;" ratus "&amp;MID(TEXT(ABS(Q51),"000000000000000"),5,1)&amp;" puluh "&amp;MID(TEXT(ABS(Q51),"000000000000000"),6,1)&amp;" milyar ")&amp; IF(--MID(TEXT(ABS(Q51),"000000000000000"),7,3)=0,"",MID(TEXT(ABS(Q51),"000000000000000"),7,1)&amp;" ratus "&amp;MID(TEXT(ABS(Q51),"000000000000000"),8,1)&amp;" puluh "&amp;MID(TEXT(ABS(Q51),"000000000000000"),9,1)&amp;" juta ")&amp; IF(--MID(TEXT(ABS(Q51),"000000000000000"),10,3)=0,"",IF(--MID(TEXT(ABS(Q51),"000000000000000"),10,3)=1,"*",MID(TEXT(ABS(Q51),"000000000000000"),10,1)&amp;" ratus "&amp;MID(TEXT(ABS(Q51),"000000000000000"),11,1)&amp;" puluh ")&amp;MID(TEXT(ABS(Q51),"000000000000000"),12,1)&amp;" ribu ")&amp; IF(--MID(TEXT(ABS(Q51),"000000000000000"),13,3)=0,"",MID(TEXT(ABS(Q51),"000000000000000"),13,1)&amp;" ratus "&amp;MID(TEXT(ABS(Q51),"000000000000000"),14,1)&amp;" puluh "&amp;MID(TEXT(ABS(Q51),"000000000000000"),15,1)),1,"satu"),2,"dua"),3,"tiga"),4,"empat"),5,"lima"),6,"enam"),7,"tujuh"),8,"delapan"),9,"sembilan"),"0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 =="</f>
      </c>
      <c r="G53" s="594"/>
      <c r="H53" s="594"/>
      <c r="I53" s="594"/>
      <c r="J53" s="594"/>
      <c r="K53" s="594"/>
      <c r="L53" s="594"/>
      <c r="M53" s="594"/>
      <c r="N53" s="594"/>
      <c r="O53" s="594"/>
      <c r="P53" s="594"/>
      <c r="Q53" s="594"/>
      <c r="R53" s="7"/>
    </row>
    <row r="54" spans="2:18">
      <c r="B54" s="2"/>
      <c r="C54" s="6" t="s">
        <v>86</v>
      </c>
      <c r="D54" s="6"/>
      <c r="E54" s="6"/>
      <c r="F54" s="6"/>
      <c r="G54" s="6"/>
      <c r="H54" s="6"/>
      <c r="I54" s="6"/>
      <c r="J54" s="12"/>
      <c r="K54" s="6"/>
      <c r="L54" s="6"/>
      <c r="M54" s="6"/>
      <c r="N54" s="6"/>
      <c r="O54" s="6"/>
      <c r="P54" s="6"/>
      <c r="Q54" s="6"/>
      <c r="R54" s="4"/>
    </row>
    <row r="55" spans="2:18">
      <c r="B55" s="2"/>
      <c r="C55" s="6"/>
      <c r="D55" s="6"/>
      <c r="E55" s="6"/>
      <c r="F55" s="75"/>
      <c r="G55" s="6"/>
      <c r="H55" s="6"/>
      <c r="I55" s="6"/>
      <c r="J55" s="12"/>
      <c r="K55" s="6"/>
      <c r="L55" s="6"/>
      <c r="M55" s="6"/>
      <c r="N55" s="6"/>
      <c r="O55" s="6"/>
      <c r="P55" s="6"/>
      <c r="Q55" s="6"/>
      <c r="R55" s="4"/>
    </row>
    <row r="56" spans="2:18">
      <c r="B56" s="2"/>
      <c r="C56" s="6"/>
      <c r="D56" s="6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4"/>
    </row>
    <row r="57" spans="2:18">
      <c r="B57" s="2"/>
      <c r="C57" s="588" t="s">
        <v>39</v>
      </c>
      <c r="D57" s="588"/>
      <c r="E57" s="588"/>
      <c r="F57" s="588"/>
      <c r="G57" s="588"/>
      <c r="H57" s="588"/>
      <c r="I57" s="6"/>
      <c r="J57" s="6"/>
      <c r="K57" s="6"/>
      <c r="L57" s="6"/>
      <c r="M57" s="6"/>
      <c r="N57" s="6"/>
      <c r="O57" s="6"/>
      <c r="P57" s="588" t="s">
        <v>40</v>
      </c>
      <c r="Q57" s="588"/>
      <c r="R57" s="4"/>
    </row>
    <row r="58" spans="2:18">
      <c r="B58" s="2"/>
      <c r="C58" s="588">
        <f>UPPER(DATA!$B$24)</f>
      </c>
      <c r="D58" s="588"/>
      <c r="E58" s="588"/>
      <c r="F58" s="588"/>
      <c r="G58" s="588"/>
      <c r="H58" s="588"/>
      <c r="I58" s="6"/>
      <c r="J58" s="6"/>
      <c r="K58" s="6"/>
      <c r="L58" s="6"/>
      <c r="M58" s="6"/>
      <c r="N58" s="6"/>
      <c r="O58" s="6"/>
      <c r="P58" s="588">
        <f>UPPER(DATA!$B$17)</f>
      </c>
      <c r="Q58" s="588"/>
      <c r="R58" s="4"/>
    </row>
    <row r="59" spans="2:18">
      <c r="B59" s="2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588"/>
      <c r="Q59" s="588"/>
      <c r="R59" s="4"/>
    </row>
    <row r="60" spans="2:18">
      <c r="B60" s="2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5"/>
      <c r="Q60" s="5"/>
      <c r="R60" s="4"/>
    </row>
    <row r="61" spans="2:18">
      <c r="B61" s="2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5"/>
      <c r="Q61" s="5"/>
      <c r="R61" s="4"/>
    </row>
    <row r="62" spans="2:18">
      <c r="B62" s="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5"/>
      <c r="Q62" s="5"/>
      <c r="R62" s="4"/>
    </row>
    <row r="63" spans="2:18">
      <c r="B63" s="2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4"/>
    </row>
    <row r="64" spans="2:18">
      <c r="B64" s="2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4"/>
    </row>
    <row r="65" spans="2:18">
      <c r="B65" s="2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4"/>
    </row>
    <row r="66" spans="2:18">
      <c r="B66" s="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4"/>
    </row>
    <row r="67" spans="2:18">
      <c r="B67" s="2"/>
      <c r="C67" s="589">
        <f>DATA!$B$22</f>
      </c>
      <c r="D67" s="589"/>
      <c r="E67" s="589"/>
      <c r="F67" s="589"/>
      <c r="G67" s="589"/>
      <c r="H67" s="589"/>
      <c r="I67" s="6"/>
      <c r="J67" s="590"/>
      <c r="K67" s="590"/>
      <c r="L67" s="590"/>
      <c r="M67" s="590"/>
      <c r="N67" s="21"/>
      <c r="O67" s="21"/>
      <c r="P67" s="589">
        <f>DATA!$B$69</f>
      </c>
      <c r="Q67" s="589"/>
      <c r="R67" s="4"/>
    </row>
    <row r="68" spans="2:18">
      <c r="B68" s="2"/>
      <c r="C68" s="588">
        <f>DATA!$B$23</f>
      </c>
      <c r="D68" s="588"/>
      <c r="E68" s="588"/>
      <c r="F68" s="588"/>
      <c r="G68" s="588"/>
      <c r="H68" s="588"/>
      <c r="I68" s="6"/>
      <c r="J68" s="21"/>
      <c r="K68" s="21"/>
      <c r="L68" s="21"/>
      <c r="M68" s="21"/>
      <c r="N68" s="21"/>
      <c r="O68" s="21"/>
      <c r="P68" s="588">
        <f>DATA!$B$70</f>
      </c>
      <c r="Q68" s="588"/>
      <c r="R68" s="4"/>
    </row>
    <row r="69" spans="2:18" ht="9" customHeight="1" thickBot="1"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4"/>
    </row>
    <row r="70" spans="2:18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2:18">
      <c r="C71" s="6"/>
      <c r="D71" s="6"/>
      <c r="E71" s="6"/>
      <c r="F71" s="245">
        <f ca="1">""&amp;PROPER(IF(Q51=0,"nol",IF(Q51&lt;0,"minus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IF(--MID(TEXT(ABS(Q51),"000000000000000"),1,3)=0,"",MID(TEXT(ABS(Q51),"000000000000000"),1,1)&amp;" ratus "&amp;MID(TEXT(ABS(Q51),"000000000000000"),2,1)&amp;" puluh "&amp;MID(TEXT(ABS(Q51),"000000000000000"),3,1)&amp;" trilyun ")&amp; IF(--MID(TEXT(ABS(Q51),"000000000000000"),4,3)=0,"",MID(TEXT(ABS(Q51),"000000000000000"),4,1)&amp;" ratus "&amp;MID(TEXT(ABS(Q51),"000000000000000"),5,1)&amp;" puluh "&amp;MID(TEXT(ABS(Q51),"000000000000000"),6,1)&amp;" milyar ")&amp; IF(--MID(TEXT(ABS(Q51),"000000000000000"),7,3)=0,"",MID(TEXT(ABS(Q51),"000000000000000"),7,1)&amp;" ratus "&amp;MID(TEXT(ABS(Q51),"000000000000000"),8,1)&amp;" puluh "&amp;MID(TEXT(ABS(Q51),"000000000000000"),9,1)&amp;" juta ")&amp; IF(--MID(TEXT(ABS(Q51),"000000000000000"),10,3)=0,"",IF(--MID(TEXT(ABS(Q51),"000000000000000"),10,3)=1,"*",MID(TEXT(ABS(Q51),"000000000000000"),10,1)&amp;" ratus "&amp;MID(TEXT(ABS(Q51),"000000000000000"),11,1)&amp;" puluh ")&amp;MID(TEXT(ABS(Q51),"000000000000000"),12,1)&amp;" ribu ")&amp; IF(--MID(TEXT(ABS(Q51),"000000000000000"),13,3)=0,"",MID(TEXT(ABS(Q51),"000000000000000"),13,1)&amp;" ratus "&amp;MID(TEXT(ABS(Q51),"000000000000000"),14,1)&amp;" puluh "&amp;MID(TEXT(ABS(Q51),"000000000000000"),15,1)),1,"satu"),2,"dua"),3,"tiga"),4,"empat"),5,"lima"),6,"enam"),7,"tujuh"),8,"delapan"),9,"sembilan"),"0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Rupiah"</f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2:18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2:18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</sheetData>
  <mergeCells count="39">
    <mergeCell ref="C68:H68"/>
    <mergeCell ref="P68:Q68"/>
    <mergeCell ref="C58:H58"/>
    <mergeCell ref="P58:Q58"/>
    <mergeCell ref="P59:Q59"/>
    <mergeCell ref="C67:H67"/>
    <mergeCell ref="J67:M67"/>
    <mergeCell ref="P67:Q67"/>
    <mergeCell ref="J41:K41"/>
    <mergeCell ref="J42:K42"/>
    <mergeCell ref="C53:D53"/>
    <mergeCell ref="F53:Q53"/>
    <mergeCell ref="C57:H57"/>
    <mergeCell ref="P57:Q57"/>
    <mergeCell ref="T15:AB15"/>
    <mergeCell ref="J16:Q16"/>
    <mergeCell ref="C18:Q18"/>
    <mergeCell ref="K22:R22"/>
    <mergeCell ref="J40:K40"/>
    <mergeCell ref="K24:M24"/>
    <mergeCell ref="K25:M25"/>
    <mergeCell ref="C28:Q28"/>
    <mergeCell ref="T28:W28"/>
    <mergeCell ref="J29:K29"/>
    <mergeCell ref="J30:K30"/>
    <mergeCell ref="J31:K31"/>
    <mergeCell ref="J32:K32"/>
    <mergeCell ref="J35:K35"/>
    <mergeCell ref="J36:K36"/>
    <mergeCell ref="J37:K37"/>
    <mergeCell ref="K23:L23"/>
    <mergeCell ref="N23:P23"/>
    <mergeCell ref="C4:Q4"/>
    <mergeCell ref="C6:Q6"/>
    <mergeCell ref="C7:Q7"/>
    <mergeCell ref="C10:Q10"/>
    <mergeCell ref="C11:Q11"/>
    <mergeCell ref="C13:Q13"/>
    <mergeCell ref="J15:Q15"/>
  </mergeCells>
  <pageMargins left="0.34" right="0.25" top="0.75" bottom="0.38" header="0.3" footer="0.3"/>
  <pageSetup paperSize="9" scale="62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D98E-A0D2-40B1-935C-F00E67D6F922}">
  <sheetPr>
    <tabColor rgb="FF92D050"/>
  </sheetPr>
  <dimension ref="B1:AB73"/>
  <sheetViews>
    <sheetView showGridLines="0" topLeftCell="A42" zoomScale="70" zoomScaleNormal="70" zoomScaleSheetLayoutView="70" workbookViewId="0">
      <selection activeCell="M75" sqref="M75"/>
    </sheetView>
  </sheetViews>
  <sheetFormatPr defaultColWidth="8.81640625" defaultRowHeight="15.6"/>
  <cols>
    <col min="1" max="1" width="10.81640625" style="1" customWidth="1"/>
    <col min="2" max="2" width="3.08984375" style="1" customWidth="1"/>
    <col min="3" max="3" width="2.453125" style="1" customWidth="1"/>
    <col min="4" max="4" width="6.81640625" style="1" customWidth="1"/>
    <col min="5" max="5" width="3.81640625" style="1" customWidth="1"/>
    <col min="6" max="7" width="5.81640625" style="1" customWidth="1"/>
    <col min="8" max="8" width="9.453125" style="1" customWidth="1"/>
    <col min="9" max="9" width="3.54296875" style="1" bestFit="1" customWidth="1"/>
    <col min="10" max="10" width="3" style="1" customWidth="1"/>
    <col min="11" max="11" width="9" style="1" customWidth="1"/>
    <col min="12" max="12" width="8.08984375" style="1" customWidth="1"/>
    <col min="13" max="13" width="20.81640625" style="1" customWidth="1"/>
    <col min="14" max="14" width="2.81640625" style="1" bestFit="1" customWidth="1"/>
    <col min="15" max="15" width="5" style="1" customWidth="1"/>
    <col min="16" max="16" width="19" style="1" customWidth="1"/>
    <col min="17" max="17" width="22.36328125" style="1" customWidth="1"/>
    <col min="18" max="18" width="0.81640625" style="1" customWidth="1"/>
    <col min="19" max="19" width="4.54296875" style="1" customWidth="1"/>
    <col min="20" max="22" width="8.81640625" style="1"/>
    <col min="23" max="23" width="25.08984375" style="1" customWidth="1"/>
    <col min="24" max="16384" width="8.81640625" style="1"/>
  </cols>
  <sheetData>
    <row r="1" spans="2:28" ht="16.2" thickBot="1"/>
    <row r="2" spans="2:28" ht="9" customHeight="1">
      <c r="B2" s="262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4"/>
    </row>
    <row r="3" spans="2:28" ht="24" customHeight="1">
      <c r="B3" s="2"/>
      <c r="E3" s="3"/>
      <c r="R3" s="4"/>
      <c r="T3" s="265" cm="1">
        <f t="array" ref="T3">INDEX(DATA!$B$99:$B$104,$T$9)</f>
      </c>
      <c r="U3" s="265"/>
      <c r="V3" s="265">
        <f>TEXT($T$3,"[$-21]dd mmmm yyyy")</f>
      </c>
      <c r="W3" s="58">
        <f>TEXT($T3,"[$-21]dd mmmm yyyy")</f>
      </c>
    </row>
    <row r="4" spans="2:28" ht="24" customHeight="1">
      <c r="B4" s="2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604"/>
      <c r="O4" s="604"/>
      <c r="P4" s="604"/>
      <c r="Q4" s="604"/>
      <c r="R4" s="4"/>
      <c r="T4" s="265">
        <f>TEXT($T$3,"[$-21]dddd")</f>
      </c>
    </row>
    <row r="5" spans="2:28" ht="24" customHeight="1">
      <c r="B5" s="2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4"/>
      <c r="T5" s="265">
        <f>VLOOKUP(DAY($T$3),HELPER!$A$2:$B$100,2,0)</f>
      </c>
    </row>
    <row r="6" spans="2:28" ht="24" customHeight="1">
      <c r="B6" s="2"/>
      <c r="C6" s="604"/>
      <c r="D6" s="604"/>
      <c r="E6" s="604"/>
      <c r="F6" s="604"/>
      <c r="G6" s="604"/>
      <c r="H6" s="604"/>
      <c r="I6" s="604"/>
      <c r="J6" s="604"/>
      <c r="K6" s="604"/>
      <c r="L6" s="604"/>
      <c r="M6" s="604"/>
      <c r="N6" s="604"/>
      <c r="O6" s="604"/>
      <c r="P6" s="604"/>
      <c r="Q6" s="604"/>
      <c r="R6" s="4"/>
      <c r="T6" s="265">
        <f>TEXT($T$3,"[$-21]mmmm")</f>
      </c>
    </row>
    <row r="7" spans="2:28" ht="24" hidden="1" customHeight="1">
      <c r="B7" s="2"/>
      <c r="C7" s="605"/>
      <c r="D7" s="605"/>
      <c r="E7" s="605"/>
      <c r="F7" s="605"/>
      <c r="G7" s="605"/>
      <c r="H7" s="605"/>
      <c r="I7" s="605"/>
      <c r="J7" s="605"/>
      <c r="K7" s="605"/>
      <c r="L7" s="605"/>
      <c r="M7" s="605"/>
      <c r="N7" s="605"/>
      <c r="O7" s="605"/>
      <c r="P7" s="605"/>
      <c r="Q7" s="605"/>
      <c r="R7" s="4"/>
      <c r="T7" s="265">
        <f>"Dua Ribu"&amp;IF(MOD(YEAR($T$3),100)=0,""," "&amp;VLOOKUP(MOD(YEAR($T$3),100),HELPER!$A$2:$B$100,2,0))</f>
      </c>
    </row>
    <row r="8" spans="2:28" ht="16.2" hidden="1" thickBot="1">
      <c r="B8" s="2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4"/>
      <c r="T8" s="470" t="s">
        <v>51</v>
      </c>
    </row>
    <row r="9" spans="2:28">
      <c r="B9" s="2"/>
      <c r="R9" s="4"/>
      <c r="T9" s="471">
        <v>3</v>
      </c>
    </row>
    <row r="10" spans="2:28" ht="20.399999999999999">
      <c r="B10" s="2"/>
      <c r="C10" s="606" t="s">
        <v>52</v>
      </c>
      <c r="D10" s="606"/>
      <c r="E10" s="606"/>
      <c r="F10" s="606"/>
      <c r="G10" s="606"/>
      <c r="H10" s="606"/>
      <c r="I10" s="606"/>
      <c r="J10" s="606"/>
      <c r="K10" s="606"/>
      <c r="L10" s="606"/>
      <c r="M10" s="606"/>
      <c r="N10" s="606"/>
      <c r="O10" s="606"/>
      <c r="P10" s="606"/>
      <c r="Q10" s="606"/>
      <c r="R10" s="4"/>
    </row>
    <row r="11" spans="2:28">
      <c r="B11" s="2"/>
      <c r="C11" s="588">
        <f>TEXT($T$9,"00")&amp;"/BAP/"&amp;DATA!$B$4</f>
      </c>
      <c r="D11" s="588"/>
      <c r="E11" s="588"/>
      <c r="F11" s="588"/>
      <c r="G11" s="588"/>
      <c r="H11" s="588"/>
      <c r="I11" s="588"/>
      <c r="J11" s="588"/>
      <c r="K11" s="588"/>
      <c r="L11" s="588"/>
      <c r="M11" s="588"/>
      <c r="N11" s="588"/>
      <c r="O11" s="588"/>
      <c r="P11" s="588"/>
      <c r="Q11" s="588"/>
      <c r="R11" s="4"/>
    </row>
    <row r="12" spans="2:28">
      <c r="B12" s="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4"/>
    </row>
    <row r="13" spans="2:28">
      <c r="B13" s="2"/>
      <c r="C13" s="597">
        <f>"Pada hari ini "&amp;T4&amp;" tanggal "&amp;T5&amp;" bulan "&amp;T6&amp;" tahun "&amp;T7&amp;" ("&amp;V3&amp;"), kami yang bertandatangan di bawah ini:"</f>
      </c>
      <c r="D13" s="597"/>
      <c r="E13" s="597"/>
      <c r="F13" s="597"/>
      <c r="G13" s="597"/>
      <c r="H13" s="597"/>
      <c r="I13" s="597"/>
      <c r="J13" s="597"/>
      <c r="K13" s="597"/>
      <c r="L13" s="597"/>
      <c r="M13" s="597"/>
      <c r="N13" s="597"/>
      <c r="O13" s="597"/>
      <c r="P13" s="597"/>
      <c r="Q13" s="597"/>
      <c r="R13" s="7"/>
      <c r="S13" s="8"/>
    </row>
    <row r="14" spans="2:28">
      <c r="B14" s="2"/>
      <c r="C14" s="6"/>
      <c r="D14" s="7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4"/>
    </row>
    <row r="15" spans="2:28" ht="66.45" customHeight="1">
      <c r="B15" s="2"/>
      <c r="C15" s="9">
        <v>1</v>
      </c>
      <c r="D15" s="67">
        <f>DATA!$B$69</f>
      </c>
      <c r="E15" s="10"/>
      <c r="F15" s="10"/>
      <c r="G15" s="10"/>
      <c r="H15" s="10"/>
      <c r="I15" s="11" t="s">
        <v>2</v>
      </c>
      <c r="J15" s="597">
        <f>"Selaku "&amp;DATA!$B$70&amp;", "&amp;DATA!$B$7&amp;", dalam hal ini bertindak untuk dan atas nama "&amp;DATA!$B$17&amp;" yang berkedudukan di "&amp;DATA!$B$18&amp;" (selanjutnya disebut sebagai PIHAK PERTAMA)."</f>
      </c>
      <c r="K15" s="597"/>
      <c r="L15" s="597"/>
      <c r="M15" s="597"/>
      <c r="N15" s="597"/>
      <c r="O15" s="597"/>
      <c r="P15" s="597"/>
      <c r="Q15" s="597"/>
      <c r="R15" s="4"/>
      <c r="T15" s="595"/>
      <c r="U15" s="595"/>
      <c r="V15" s="595"/>
      <c r="W15" s="595"/>
      <c r="X15" s="595"/>
      <c r="Y15" s="595"/>
      <c r="Z15" s="595"/>
      <c r="AA15" s="595"/>
      <c r="AB15" s="595"/>
    </row>
    <row r="16" spans="2:28" ht="58.2" customHeight="1">
      <c r="B16" s="2"/>
      <c r="C16" s="9">
        <v>2</v>
      </c>
      <c r="D16" s="67">
        <f>DATA!$B$22</f>
      </c>
      <c r="E16" s="10"/>
      <c r="F16" s="10"/>
      <c r="G16" s="10"/>
      <c r="H16" s="10"/>
      <c r="I16" s="11" t="s">
        <v>2</v>
      </c>
      <c r="J16" s="596">
        <f>"Selaku "&amp;DATA!$B$23&amp;" "&amp;DATA!$B$24&amp;", dalam hal ini bertindak untuk dan atas nama "&amp;DATA!$B$24&amp;" yang berkedudukan di "&amp;DATA!$B$25&amp;" (selanjutnya disebut sebagai PIHAK KEDUA)."</f>
      </c>
      <c r="K16" s="597"/>
      <c r="L16" s="597"/>
      <c r="M16" s="597"/>
      <c r="N16" s="597"/>
      <c r="O16" s="597"/>
      <c r="P16" s="597"/>
      <c r="Q16" s="597"/>
      <c r="R16" s="4"/>
    </row>
    <row r="17" spans="2:23" ht="8.25" customHeight="1">
      <c r="B17" s="2"/>
      <c r="C17" s="6"/>
      <c r="D17" s="6"/>
      <c r="E17" s="6"/>
      <c r="F17" s="6"/>
      <c r="G17" s="6"/>
      <c r="H17" s="6"/>
      <c r="I17" s="6"/>
      <c r="J17" s="12"/>
      <c r="K17" s="6"/>
      <c r="L17" s="6"/>
      <c r="M17" s="6"/>
      <c r="N17" s="6"/>
      <c r="O17" s="6"/>
      <c r="P17" s="6"/>
      <c r="Q17" s="6"/>
      <c r="R17" s="4"/>
    </row>
    <row r="18" spans="2:23" ht="40.5" customHeight="1">
      <c r="B18" s="2"/>
      <c r="C18" s="598">
        <f>"Menerangkan bahwa kedua belah pihak, telah melakukan pemeriksaan atas "&amp;DATA!$B$6&amp;" pada "&amp;DATA!$B$7&amp;", dan berdasarkan :"</f>
      </c>
      <c r="D18" s="598"/>
      <c r="E18" s="598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598"/>
      <c r="Q18" s="598"/>
      <c r="R18" s="4"/>
    </row>
    <row r="19" spans="2:23" ht="7.5" customHeight="1">
      <c r="B19" s="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4"/>
    </row>
    <row r="20" spans="2:23">
      <c r="B20" s="2"/>
      <c r="C20" s="6"/>
      <c r="D20" s="6" t="s">
        <v>53</v>
      </c>
      <c r="E20" s="6"/>
      <c r="F20" s="6"/>
      <c r="G20" s="6"/>
      <c r="H20" s="6"/>
      <c r="I20" s="6"/>
      <c r="J20" s="12" t="s">
        <v>2</v>
      </c>
      <c r="K20" s="68">
        <f>DATA!$B$4</f>
      </c>
      <c r="L20" s="14"/>
      <c r="M20" s="14"/>
      <c r="N20" s="6" t="s">
        <v>54</v>
      </c>
      <c r="O20" s="6"/>
      <c r="P20" s="76">
        <f>TEXT(DATA!$B$5,"[$-21]dd mmmm yyyy")</f>
      </c>
      <c r="Q20" s="6"/>
      <c r="R20" s="4"/>
    </row>
    <row r="21" spans="2:23" hidden="1">
      <c r="B21" s="2"/>
      <c r="C21" s="6"/>
      <c r="D21" s="6" t="s">
        <v>55</v>
      </c>
      <c r="E21" s="6"/>
      <c r="F21" s="6"/>
      <c r="G21" s="6"/>
      <c r="H21" s="6"/>
      <c r="I21" s="6"/>
      <c r="J21" s="12" t="s">
        <v>2</v>
      </c>
      <c r="K21" s="6" t="s">
        <v>4</v>
      </c>
      <c r="L21" s="6"/>
      <c r="M21" s="6"/>
      <c r="N21" s="6"/>
      <c r="O21" s="6"/>
      <c r="P21" s="15"/>
      <c r="Q21" s="6"/>
      <c r="R21" s="4"/>
    </row>
    <row r="22" spans="2:23" hidden="1">
      <c r="B22" s="2"/>
      <c r="C22" s="6"/>
      <c r="D22" s="11" t="s">
        <v>56</v>
      </c>
      <c r="E22" s="11"/>
      <c r="F22" s="11"/>
      <c r="G22" s="11"/>
      <c r="H22" s="11"/>
      <c r="I22" s="11"/>
      <c r="J22" s="70" t="s">
        <v>2</v>
      </c>
      <c r="K22" s="599">
        <f>DATA!$B$6</f>
      </c>
      <c r="L22" s="599"/>
      <c r="M22" s="599"/>
      <c r="N22" s="599"/>
      <c r="O22" s="599"/>
      <c r="P22" s="599"/>
      <c r="Q22" s="599"/>
      <c r="R22" s="600"/>
    </row>
    <row r="23" spans="2:23" ht="19.2" customHeight="1">
      <c r="B23" s="2"/>
      <c r="C23" s="6"/>
      <c r="D23" s="6" t="s">
        <v>57</v>
      </c>
      <c r="E23" s="6"/>
      <c r="F23" s="6"/>
      <c r="G23" s="6"/>
      <c r="H23" s="6"/>
      <c r="I23" s="6"/>
      <c r="J23" s="12" t="s">
        <v>2</v>
      </c>
      <c r="K23" s="603">
        <f>TEXT(DATA!$B$8,"[$-21]dd mmmm yyyy")</f>
      </c>
      <c r="L23" s="603"/>
      <c r="M23" s="5" t="s">
        <v>58</v>
      </c>
      <c r="N23" s="603">
        <f>TEXT(DATA!$B$9,"[$-21]dd mmmm yyyy")</f>
      </c>
      <c r="O23" s="603"/>
      <c r="P23" s="603"/>
      <c r="Q23" s="6"/>
      <c r="R23" s="4"/>
    </row>
    <row r="24" spans="2:23" ht="21.6" customHeight="1">
      <c r="B24" s="2"/>
      <c r="C24" s="6"/>
      <c r="D24" s="6" t="s">
        <v>59</v>
      </c>
      <c r="E24" s="6"/>
      <c r="F24" s="6"/>
      <c r="G24" s="6"/>
      <c r="H24" s="6"/>
      <c r="I24" s="6"/>
      <c r="J24" s="12" t="s">
        <v>2</v>
      </c>
      <c r="K24" s="601">
        <f>#REF!</f>
      </c>
      <c r="L24" s="601"/>
      <c r="M24" s="601"/>
      <c r="N24" s="16"/>
      <c r="O24" s="16"/>
      <c r="P24" s="17" t="s">
        <v>60</v>
      </c>
      <c r="Q24" s="6"/>
      <c r="R24" s="4"/>
    </row>
    <row r="25" spans="2:23" hidden="1">
      <c r="B25" s="2"/>
      <c r="C25" s="6"/>
      <c r="D25" s="6" t="s">
        <v>61</v>
      </c>
      <c r="E25" s="6"/>
      <c r="F25" s="6"/>
      <c r="G25" s="6"/>
      <c r="H25" s="6"/>
      <c r="I25" s="6"/>
      <c r="J25" s="12" t="s">
        <v>2</v>
      </c>
      <c r="K25" s="601">
        <v>0</v>
      </c>
      <c r="L25" s="601"/>
      <c r="M25" s="601"/>
      <c r="N25" s="16"/>
      <c r="O25" s="16"/>
      <c r="P25" s="17" t="s">
        <v>62</v>
      </c>
      <c r="Q25" s="6"/>
      <c r="R25" s="4"/>
    </row>
    <row r="26" spans="2:23" hidden="1">
      <c r="B26" s="2"/>
      <c r="C26" s="6"/>
      <c r="D26" s="6" t="s">
        <v>11</v>
      </c>
      <c r="E26" s="6"/>
      <c r="F26" s="6"/>
      <c r="G26" s="6"/>
      <c r="H26" s="6"/>
      <c r="I26" s="6"/>
      <c r="J26" s="12" t="s">
        <v>2</v>
      </c>
      <c r="K26" s="217">
        <f>DATA!$B$46</f>
      </c>
      <c r="L26" s="6"/>
      <c r="M26" s="26"/>
      <c r="N26" s="6"/>
      <c r="O26" s="6"/>
      <c r="P26" s="6"/>
      <c r="Q26" s="6"/>
      <c r="R26" s="4"/>
    </row>
    <row r="27" spans="2:23" hidden="1">
      <c r="B27" s="2"/>
      <c r="C27" s="6"/>
      <c r="D27" s="6" t="s">
        <v>14</v>
      </c>
      <c r="E27" s="6"/>
      <c r="F27" s="6"/>
      <c r="G27" s="6"/>
      <c r="H27" s="6"/>
      <c r="I27" s="6"/>
      <c r="J27" s="12" t="s">
        <v>2</v>
      </c>
      <c r="K27" s="217">
        <f>DATA!$B$47</f>
      </c>
      <c r="L27" s="6"/>
      <c r="M27" s="26"/>
      <c r="N27" s="6"/>
      <c r="O27" s="6"/>
      <c r="P27" s="6"/>
      <c r="Q27" s="6"/>
      <c r="R27" s="4"/>
    </row>
    <row r="28" spans="2:23" ht="49.5" customHeight="1">
      <c r="B28" s="2"/>
      <c r="C28" s="602">
        <f ca="1">"Menyatakan bahwa prestasi pekerjaan yang dicapai oleh PIHAK KEDUA sampai dengan tanggal "&amp;TEXT($T$3,"[$-21]dd mmmm yyyy")&amp;" adalah "&amp;TEXT('BAPP 3'!$K$194,"0.00%")&amp;" sesuai dengan Berita Acara Pemeriksaan Pekerjaan No. "&amp;'BAPP 3'!$B$10&amp;", dengan rincian sebagai berikut :"</f>
      </c>
      <c r="D28" s="598"/>
      <c r="E28" s="598"/>
      <c r="F28" s="598"/>
      <c r="G28" s="598"/>
      <c r="H28" s="598"/>
      <c r="I28" s="598"/>
      <c r="J28" s="598"/>
      <c r="K28" s="598"/>
      <c r="L28" s="598"/>
      <c r="M28" s="598"/>
      <c r="N28" s="598"/>
      <c r="O28" s="598"/>
      <c r="P28" s="598"/>
      <c r="Q28" s="598"/>
      <c r="R28" s="4"/>
      <c r="T28" s="598"/>
      <c r="U28" s="598"/>
      <c r="V28" s="598"/>
      <c r="W28" s="598"/>
    </row>
    <row r="29" spans="2:23">
      <c r="B29" s="2"/>
      <c r="C29" s="6" t="s">
        <v>63</v>
      </c>
      <c r="D29" s="25" t="s">
        <v>64</v>
      </c>
      <c r="E29" s="6"/>
      <c r="F29" s="6"/>
      <c r="G29" s="6"/>
      <c r="H29" s="6"/>
      <c r="I29" s="6"/>
      <c r="J29" s="591"/>
      <c r="K29" s="591"/>
      <c r="L29" s="6"/>
      <c r="M29" s="6" t="s">
        <v>65</v>
      </c>
      <c r="N29" s="6"/>
      <c r="O29" s="6"/>
      <c r="P29" s="6"/>
      <c r="Q29" s="6"/>
      <c r="R29" s="4"/>
    </row>
    <row r="30" spans="2:23">
      <c r="B30" s="2"/>
      <c r="C30" s="12" t="s">
        <v>4</v>
      </c>
      <c r="D30" s="6" t="s">
        <v>66</v>
      </c>
      <c r="E30" s="6"/>
      <c r="F30" s="6"/>
      <c r="G30" s="6"/>
      <c r="H30" s="6"/>
      <c r="I30" s="6" t="s">
        <v>13</v>
      </c>
      <c r="J30" s="591">
        <f ca="1">J32+J31</f>
      </c>
      <c r="K30" s="591"/>
      <c r="L30" s="6" t="s">
        <v>67</v>
      </c>
      <c r="M30" s="411">
        <f>$K$24</f>
      </c>
      <c r="N30" s="411" t="s">
        <v>13</v>
      </c>
      <c r="O30" s="411"/>
      <c r="P30" s="411">
        <f ca="1">J30*M30</f>
      </c>
      <c r="Q30" s="6"/>
      <c r="R30" s="4"/>
    </row>
    <row r="31" spans="2:23">
      <c r="B31" s="2"/>
      <c r="C31" s="12" t="s">
        <v>4</v>
      </c>
      <c r="D31" s="6" t="s">
        <v>68</v>
      </c>
      <c r="E31" s="6"/>
      <c r="F31" s="6"/>
      <c r="G31" s="6"/>
      <c r="H31" s="6"/>
      <c r="I31" s="6" t="s">
        <v>13</v>
      </c>
      <c r="J31" s="591">
        <f ca="1">'rincian 3'!T166</f>
      </c>
      <c r="K31" s="591"/>
      <c r="L31" s="6" t="s">
        <v>67</v>
      </c>
      <c r="M31" s="411">
        <f>$K$24</f>
      </c>
      <c r="N31" s="411" t="s">
        <v>13</v>
      </c>
      <c r="O31" s="411"/>
      <c r="P31" s="411">
        <f ca="1">J31*M31</f>
      </c>
      <c r="Q31" s="6"/>
      <c r="R31" s="4"/>
      <c r="W31" s="266"/>
    </row>
    <row r="32" spans="2:23">
      <c r="B32" s="2"/>
      <c r="C32" s="12" t="s">
        <v>4</v>
      </c>
      <c r="D32" s="6" t="s">
        <v>69</v>
      </c>
      <c r="E32" s="6"/>
      <c r="F32" s="6"/>
      <c r="G32" s="6"/>
      <c r="H32" s="6"/>
      <c r="I32" s="6" t="s">
        <v>13</v>
      </c>
      <c r="J32" s="591">
        <f ca="1">'BAPP 3'!K194</f>
      </c>
      <c r="K32" s="591"/>
      <c r="L32" s="6" t="s">
        <v>67</v>
      </c>
      <c r="M32" s="411">
        <f>$K$24</f>
      </c>
      <c r="N32" s="411" t="s">
        <v>13</v>
      </c>
      <c r="O32" s="411"/>
      <c r="P32" s="411">
        <f ca="1">J32*M32</f>
      </c>
      <c r="Q32" s="6"/>
      <c r="R32" s="4"/>
      <c r="W32" s="266"/>
    </row>
    <row r="33" spans="2:18">
      <c r="B33" s="2"/>
      <c r="C33" s="6"/>
      <c r="D33" s="6"/>
      <c r="E33" s="6"/>
      <c r="F33" s="6"/>
      <c r="G33" s="6"/>
      <c r="H33" s="6"/>
      <c r="I33" s="6"/>
      <c r="J33" s="12"/>
      <c r="K33" s="6"/>
      <c r="L33" s="6"/>
      <c r="M33" s="6"/>
      <c r="N33" s="6"/>
      <c r="O33" s="6"/>
      <c r="P33" s="6"/>
      <c r="Q33" s="412">
        <f ca="1">P32</f>
      </c>
      <c r="R33" s="4"/>
    </row>
    <row r="34" spans="2:18">
      <c r="B34" s="2"/>
      <c r="C34" s="6" t="s">
        <v>70</v>
      </c>
      <c r="D34" s="25" t="s">
        <v>71</v>
      </c>
      <c r="E34" s="6"/>
      <c r="F34" s="6"/>
      <c r="G34" s="6"/>
      <c r="H34" s="6"/>
      <c r="I34" s="6"/>
      <c r="J34" s="12"/>
      <c r="K34" s="6"/>
      <c r="L34" s="6"/>
      <c r="M34" s="6"/>
      <c r="N34" s="6"/>
      <c r="O34" s="6"/>
      <c r="P34" s="6"/>
      <c r="Q34" s="6"/>
      <c r="R34" s="4"/>
    </row>
    <row r="35" spans="2:18">
      <c r="B35" s="2"/>
      <c r="C35" s="6"/>
      <c r="D35" s="6" t="s">
        <v>72</v>
      </c>
      <c r="E35" s="6"/>
      <c r="F35" s="6"/>
      <c r="G35" s="6"/>
      <c r="H35" s="6"/>
      <c r="I35" s="6" t="s">
        <v>13</v>
      </c>
      <c r="J35" s="591">
        <f>$K$27</f>
      </c>
      <c r="K35" s="591"/>
      <c r="L35" s="6" t="s">
        <v>67</v>
      </c>
      <c r="M35" s="411">
        <f ca="1">M36+M37</f>
      </c>
      <c r="N35" s="411" t="s">
        <v>13</v>
      </c>
      <c r="O35" s="411"/>
      <c r="P35" s="413">
        <f ca="1">ROUND(J35*M35,0)</f>
      </c>
      <c r="Q35" s="6"/>
      <c r="R35" s="4"/>
    </row>
    <row r="36" spans="2:18">
      <c r="B36" s="2"/>
      <c r="C36" s="6"/>
      <c r="D36" s="6" t="s">
        <v>73</v>
      </c>
      <c r="E36" s="6"/>
      <c r="F36" s="6"/>
      <c r="G36" s="6"/>
      <c r="H36" s="6"/>
      <c r="I36" s="6" t="s">
        <v>13</v>
      </c>
      <c r="J36" s="591">
        <v>0</v>
      </c>
      <c r="K36" s="591"/>
      <c r="L36" s="6" t="s">
        <v>67</v>
      </c>
      <c r="M36" s="411">
        <v>0</v>
      </c>
      <c r="N36" s="411" t="s">
        <v>13</v>
      </c>
      <c r="O36" s="411"/>
      <c r="P36" s="411">
        <f>J36*M36</f>
      </c>
      <c r="Q36" s="6"/>
      <c r="R36" s="4"/>
    </row>
    <row r="37" spans="2:18">
      <c r="B37" s="2"/>
      <c r="C37" s="6"/>
      <c r="D37" s="6" t="s">
        <v>74</v>
      </c>
      <c r="E37" s="6"/>
      <c r="F37" s="6"/>
      <c r="G37" s="6"/>
      <c r="H37" s="6"/>
      <c r="I37" s="6" t="s">
        <v>13</v>
      </c>
      <c r="J37" s="591">
        <v>0</v>
      </c>
      <c r="K37" s="591"/>
      <c r="L37" s="6" t="s">
        <v>67</v>
      </c>
      <c r="M37" s="411">
        <f ca="1">P32</f>
      </c>
      <c r="N37" s="411" t="s">
        <v>13</v>
      </c>
      <c r="O37" s="411"/>
      <c r="P37" s="414">
        <f ca="1">ROUND(J37*M37,0)</f>
      </c>
      <c r="Q37" s="6"/>
      <c r="R37" s="4"/>
    </row>
    <row r="38" spans="2:18">
      <c r="B38" s="2"/>
      <c r="C38" s="6"/>
      <c r="D38" s="6"/>
      <c r="E38" s="6"/>
      <c r="F38" s="6"/>
      <c r="G38" s="6"/>
      <c r="H38" s="6"/>
      <c r="I38" s="6"/>
      <c r="J38" s="12"/>
      <c r="K38" s="6"/>
      <c r="L38" s="6"/>
      <c r="M38" s="6"/>
      <c r="N38" s="6"/>
      <c r="O38" s="6"/>
      <c r="P38" s="6"/>
      <c r="Q38" s="412">
        <f ca="1">P37</f>
      </c>
      <c r="R38" s="4"/>
    </row>
    <row r="39" spans="2:18">
      <c r="B39" s="2"/>
      <c r="C39" s="6" t="s">
        <v>75</v>
      </c>
      <c r="D39" s="25" t="s">
        <v>76</v>
      </c>
      <c r="E39" s="6"/>
      <c r="F39" s="6"/>
      <c r="G39" s="6"/>
      <c r="H39" s="6"/>
      <c r="I39" s="6"/>
      <c r="J39" s="12"/>
      <c r="K39" s="6"/>
      <c r="L39" s="6"/>
      <c r="M39" s="6"/>
      <c r="N39" s="6"/>
      <c r="O39" s="6"/>
      <c r="P39" s="6"/>
      <c r="Q39" s="6"/>
      <c r="R39" s="4"/>
    </row>
    <row r="40" spans="2:18">
      <c r="B40" s="2"/>
      <c r="C40" s="6"/>
      <c r="D40" s="6" t="s">
        <v>77</v>
      </c>
      <c r="E40" s="6"/>
      <c r="F40" s="6"/>
      <c r="G40" s="6"/>
      <c r="H40" s="6"/>
      <c r="I40" s="6" t="s">
        <v>13</v>
      </c>
      <c r="J40" s="591">
        <f>$K$26</f>
      </c>
      <c r="K40" s="591"/>
      <c r="L40" s="6" t="s">
        <v>67</v>
      </c>
      <c r="M40" s="411">
        <f ca="1">M42+M41</f>
      </c>
      <c r="N40" s="411" t="s">
        <v>13</v>
      </c>
      <c r="O40" s="411"/>
      <c r="P40" s="411">
        <f ca="1">ROUND(J40*M40,0)</f>
      </c>
      <c r="Q40" s="6"/>
      <c r="R40" s="4"/>
    </row>
    <row r="41" spans="2:18">
      <c r="B41" s="2"/>
      <c r="C41" s="6"/>
      <c r="D41" s="6" t="s">
        <v>78</v>
      </c>
      <c r="E41" s="6"/>
      <c r="F41" s="6"/>
      <c r="G41" s="6"/>
      <c r="H41" s="6"/>
      <c r="I41" s="6" t="s">
        <v>13</v>
      </c>
      <c r="J41" s="591">
        <v>0</v>
      </c>
      <c r="K41" s="591"/>
      <c r="L41" s="6" t="s">
        <v>67</v>
      </c>
      <c r="M41" s="411">
        <v>0</v>
      </c>
      <c r="N41" s="411" t="s">
        <v>13</v>
      </c>
      <c r="O41" s="411"/>
      <c r="P41" s="411">
        <f t="shared" ref="P41" si="0">J41*M41</f>
      </c>
      <c r="Q41" s="6"/>
      <c r="R41" s="4"/>
    </row>
    <row r="42" spans="2:18" ht="16.8">
      <c r="B42" s="2"/>
      <c r="C42" s="6"/>
      <c r="D42" s="6" t="s">
        <v>79</v>
      </c>
      <c r="E42" s="6"/>
      <c r="F42" s="6"/>
      <c r="G42" s="6"/>
      <c r="H42" s="6"/>
      <c r="I42" s="6" t="s">
        <v>13</v>
      </c>
      <c r="J42" s="591">
        <v>0</v>
      </c>
      <c r="K42" s="591"/>
      <c r="L42" s="6" t="s">
        <v>67</v>
      </c>
      <c r="M42" s="411">
        <f ca="1">Q33</f>
      </c>
      <c r="N42" s="411" t="s">
        <v>13</v>
      </c>
      <c r="O42" s="411"/>
      <c r="P42" s="415">
        <f ca="1">ROUND(J42*M42,0)</f>
      </c>
      <c r="Q42" s="6"/>
      <c r="R42" s="4"/>
    </row>
    <row r="43" spans="2:18">
      <c r="B43" s="2"/>
      <c r="C43" s="6"/>
      <c r="D43" s="6"/>
      <c r="E43" s="6"/>
      <c r="F43" s="6"/>
      <c r="G43" s="6"/>
      <c r="H43" s="6"/>
      <c r="I43" s="6"/>
      <c r="J43" s="12"/>
      <c r="K43" s="6"/>
      <c r="L43" s="6"/>
      <c r="M43" s="6"/>
      <c r="N43" s="6"/>
      <c r="O43" s="6"/>
      <c r="P43" s="6"/>
      <c r="Q43" s="412">
        <f ca="1">P42</f>
      </c>
      <c r="R43" s="4"/>
    </row>
    <row r="44" spans="2:18">
      <c r="B44" s="2"/>
      <c r="C44" s="6"/>
      <c r="D44" s="6"/>
      <c r="E44" s="6"/>
      <c r="F44" s="6"/>
      <c r="G44" s="6"/>
      <c r="H44" s="6"/>
      <c r="I44" s="6"/>
      <c r="J44" s="12"/>
      <c r="K44" s="6"/>
      <c r="L44" s="6"/>
      <c r="M44" s="6"/>
      <c r="N44" s="6"/>
      <c r="O44" s="6"/>
      <c r="P44" s="6"/>
      <c r="Q44" s="412"/>
      <c r="R44" s="4"/>
    </row>
    <row r="45" spans="2:18">
      <c r="B45" s="2"/>
      <c r="C45" s="6" t="s">
        <v>80</v>
      </c>
      <c r="D45" s="25" t="s">
        <v>81</v>
      </c>
      <c r="E45" s="6"/>
      <c r="F45" s="6"/>
      <c r="G45" s="6"/>
      <c r="H45" s="6"/>
      <c r="I45" s="6"/>
      <c r="J45" s="12"/>
      <c r="K45" s="6"/>
      <c r="L45" s="6"/>
      <c r="M45" s="6"/>
      <c r="N45" s="6"/>
      <c r="P45" s="6"/>
      <c r="Q45" s="6"/>
      <c r="R45" s="4"/>
    </row>
    <row r="46" spans="2:18">
      <c r="B46" s="2"/>
      <c r="C46" s="6"/>
      <c r="D46" s="214"/>
      <c r="E46" s="6"/>
      <c r="F46" s="6"/>
      <c r="G46" s="6"/>
      <c r="H46" s="6"/>
      <c r="I46" s="6"/>
      <c r="J46" s="72"/>
      <c r="K46" s="72"/>
      <c r="L46" s="6"/>
      <c r="M46" s="411"/>
      <c r="N46" s="411"/>
      <c r="P46" s="411"/>
      <c r="Q46" s="6"/>
      <c r="R46" s="4"/>
    </row>
    <row r="47" spans="2:18" ht="16.2" thickBot="1">
      <c r="B47" s="2"/>
      <c r="C47" s="6"/>
      <c r="D47" s="6"/>
      <c r="E47" s="6"/>
      <c r="F47" s="6"/>
      <c r="G47" s="6"/>
      <c r="H47" s="6"/>
      <c r="I47" s="6"/>
      <c r="J47" s="12"/>
      <c r="K47" s="6"/>
      <c r="L47" s="6"/>
      <c r="M47" s="6"/>
      <c r="N47" s="6"/>
      <c r="O47" s="6"/>
      <c r="P47" s="6"/>
      <c r="Q47" s="412">
        <f>SUM(P46)</f>
      </c>
      <c r="R47" s="4"/>
    </row>
    <row r="48" spans="2:18">
      <c r="B48" s="2"/>
      <c r="C48" s="6"/>
      <c r="D48" s="18" t="s">
        <v>82</v>
      </c>
      <c r="E48" s="18"/>
      <c r="F48" s="18"/>
      <c r="G48" s="18"/>
      <c r="H48" s="18"/>
      <c r="I48" s="18"/>
      <c r="J48" s="416"/>
      <c r="K48" s="18"/>
      <c r="L48" s="18"/>
      <c r="M48" s="18"/>
      <c r="N48" s="18"/>
      <c r="O48" s="18"/>
      <c r="P48" s="18"/>
      <c r="Q48" s="417">
        <f ca="1">ROUND((Q33-Q38-Q43-Q47),0)</f>
      </c>
      <c r="R48" s="4"/>
    </row>
    <row r="49" spans="2:18" ht="16.2" thickBot="1">
      <c r="B49" s="2"/>
      <c r="C49" s="6"/>
      <c r="D49" s="267" t="s">
        <v>83</v>
      </c>
      <c r="E49" s="267"/>
      <c r="F49" s="267"/>
      <c r="G49" s="267"/>
      <c r="H49" s="267"/>
      <c r="I49" s="267"/>
      <c r="J49" s="418"/>
      <c r="K49" s="267"/>
      <c r="L49" s="267"/>
      <c r="M49" s="267"/>
      <c r="N49" s="267"/>
      <c r="O49" s="267"/>
      <c r="P49" s="267"/>
      <c r="Q49" s="419">
        <f ca="1">ROUND($Q$48*DATA!$B$11,0)</f>
      </c>
      <c r="R49" s="4"/>
    </row>
    <row r="50" spans="2:18" ht="16.2" thickBot="1">
      <c r="B50" s="2"/>
      <c r="C50" s="6"/>
      <c r="D50" s="18" t="s">
        <v>84</v>
      </c>
      <c r="E50" s="18"/>
      <c r="F50" s="18"/>
      <c r="G50" s="18"/>
      <c r="H50" s="18"/>
      <c r="I50" s="18"/>
      <c r="J50" s="416"/>
      <c r="K50" s="18"/>
      <c r="L50" s="18"/>
      <c r="M50" s="18"/>
      <c r="N50" s="18"/>
      <c r="O50" s="18"/>
      <c r="P50" s="18"/>
      <c r="Q50" s="420">
        <f ca="1">Q48+Q49</f>
      </c>
      <c r="R50" s="4"/>
    </row>
    <row r="51" spans="2:18" ht="16.2" thickBot="1">
      <c r="B51" s="2"/>
      <c r="C51" s="6"/>
      <c r="D51" s="194" t="s">
        <v>85</v>
      </c>
      <c r="E51" s="195"/>
      <c r="F51" s="195"/>
      <c r="G51" s="195"/>
      <c r="H51" s="195"/>
      <c r="I51" s="195"/>
      <c r="J51" s="421"/>
      <c r="K51" s="195"/>
      <c r="L51" s="195"/>
      <c r="M51" s="195"/>
      <c r="N51" s="195"/>
      <c r="O51" s="195"/>
      <c r="P51" s="195"/>
      <c r="Q51" s="422">
        <f ca="1">Q50</f>
      </c>
      <c r="R51" s="4"/>
    </row>
    <row r="52" spans="2:18" ht="16.2" thickTop="1">
      <c r="B52" s="2"/>
      <c r="C52" s="6"/>
      <c r="D52" s="6"/>
      <c r="E52" s="6"/>
      <c r="F52" s="6"/>
      <c r="G52" s="6"/>
      <c r="H52" s="6"/>
      <c r="I52" s="6"/>
      <c r="J52" s="12"/>
      <c r="K52" s="6"/>
      <c r="L52" s="6"/>
      <c r="M52" s="6"/>
      <c r="N52" s="6"/>
      <c r="O52" s="6"/>
      <c r="P52" s="6"/>
      <c r="Q52" s="423"/>
      <c r="R52" s="4"/>
    </row>
    <row r="53" spans="2:18" ht="30.75" customHeight="1">
      <c r="B53" s="2"/>
      <c r="C53" s="592" t="s">
        <v>37</v>
      </c>
      <c r="D53" s="592"/>
      <c r="E53" s="19" t="s">
        <v>2</v>
      </c>
      <c r="F53" s="593">
        <f ca="1">" ==  "&amp;PROPER(IF(Q51=0,"nol",IF(Q51&lt;0,"minus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IF(--MID(TEXT(ABS(Q51),"000000000000000"),1,3)=0,"",MID(TEXT(ABS(Q51),"000000000000000"),1,1)&amp;" ratus "&amp;MID(TEXT(ABS(Q51),"000000000000000"),2,1)&amp;" puluh "&amp;MID(TEXT(ABS(Q51),"000000000000000"),3,1)&amp;" trilyun ")&amp; IF(--MID(TEXT(ABS(Q51),"000000000000000"),4,3)=0,"",MID(TEXT(ABS(Q51),"000000000000000"),4,1)&amp;" ratus "&amp;MID(TEXT(ABS(Q51),"000000000000000"),5,1)&amp;" puluh "&amp;MID(TEXT(ABS(Q51),"000000000000000"),6,1)&amp;" milyar ")&amp; IF(--MID(TEXT(ABS(Q51),"000000000000000"),7,3)=0,"",MID(TEXT(ABS(Q51),"000000000000000"),7,1)&amp;" ratus "&amp;MID(TEXT(ABS(Q51),"000000000000000"),8,1)&amp;" puluh "&amp;MID(TEXT(ABS(Q51),"000000000000000"),9,1)&amp;" juta ")&amp; IF(--MID(TEXT(ABS(Q51),"000000000000000"),10,3)=0,"",IF(--MID(TEXT(ABS(Q51),"000000000000000"),10,3)=1,"*",MID(TEXT(ABS(Q51),"000000000000000"),10,1)&amp;" ratus "&amp;MID(TEXT(ABS(Q51),"000000000000000"),11,1)&amp;" puluh ")&amp;MID(TEXT(ABS(Q51),"000000000000000"),12,1)&amp;" ribu ")&amp; IF(--MID(TEXT(ABS(Q51),"000000000000000"),13,3)=0,"",MID(TEXT(ABS(Q51),"000000000000000"),13,1)&amp;" ratus "&amp;MID(TEXT(ABS(Q51),"000000000000000"),14,1)&amp;" puluh "&amp;MID(TEXT(ABS(Q51),"000000000000000"),15,1)),1,"satu"),2,"dua"),3,"tiga"),4,"empat"),5,"lima"),6,"enam"),7,"tujuh"),8,"delapan"),9,"sembilan"),"0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 =="</f>
      </c>
      <c r="G53" s="594"/>
      <c r="H53" s="594"/>
      <c r="I53" s="594"/>
      <c r="J53" s="594"/>
      <c r="K53" s="594"/>
      <c r="L53" s="594"/>
      <c r="M53" s="594"/>
      <c r="N53" s="594"/>
      <c r="O53" s="594"/>
      <c r="P53" s="594"/>
      <c r="Q53" s="594"/>
      <c r="R53" s="7"/>
    </row>
    <row r="54" spans="2:18">
      <c r="B54" s="2"/>
      <c r="C54" s="6" t="s">
        <v>86</v>
      </c>
      <c r="D54" s="6"/>
      <c r="E54" s="6"/>
      <c r="F54" s="6"/>
      <c r="G54" s="6"/>
      <c r="H54" s="6"/>
      <c r="I54" s="6"/>
      <c r="J54" s="12"/>
      <c r="K54" s="6"/>
      <c r="L54" s="6"/>
      <c r="M54" s="6"/>
      <c r="N54" s="6"/>
      <c r="O54" s="6"/>
      <c r="P54" s="6"/>
      <c r="Q54" s="6"/>
      <c r="R54" s="4"/>
    </row>
    <row r="55" spans="2:18">
      <c r="B55" s="2"/>
      <c r="C55" s="6"/>
      <c r="D55" s="6"/>
      <c r="E55" s="6"/>
      <c r="F55" s="75"/>
      <c r="G55" s="6"/>
      <c r="H55" s="6"/>
      <c r="I55" s="6"/>
      <c r="J55" s="12"/>
      <c r="K55" s="6"/>
      <c r="L55" s="6"/>
      <c r="M55" s="6"/>
      <c r="N55" s="6"/>
      <c r="O55" s="6"/>
      <c r="P55" s="6"/>
      <c r="Q55" s="6"/>
      <c r="R55" s="4"/>
    </row>
    <row r="56" spans="2:18">
      <c r="B56" s="2"/>
      <c r="C56" s="6"/>
      <c r="D56" s="6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4"/>
    </row>
    <row r="57" spans="2:18">
      <c r="B57" s="2"/>
      <c r="C57" s="588" t="s">
        <v>39</v>
      </c>
      <c r="D57" s="588"/>
      <c r="E57" s="588"/>
      <c r="F57" s="588"/>
      <c r="G57" s="588"/>
      <c r="H57" s="588"/>
      <c r="I57" s="6"/>
      <c r="J57" s="6"/>
      <c r="K57" s="6"/>
      <c r="L57" s="6"/>
      <c r="M57" s="6"/>
      <c r="N57" s="6"/>
      <c r="O57" s="6"/>
      <c r="P57" s="588" t="s">
        <v>40</v>
      </c>
      <c r="Q57" s="588"/>
      <c r="R57" s="4"/>
    </row>
    <row r="58" spans="2:18">
      <c r="B58" s="2"/>
      <c r="C58" s="588">
        <f>UPPER(DATA!$B$24)</f>
      </c>
      <c r="D58" s="588"/>
      <c r="E58" s="588"/>
      <c r="F58" s="588"/>
      <c r="G58" s="588"/>
      <c r="H58" s="588"/>
      <c r="I58" s="6"/>
      <c r="J58" s="6"/>
      <c r="K58" s="6"/>
      <c r="L58" s="6"/>
      <c r="M58" s="6"/>
      <c r="N58" s="6"/>
      <c r="O58" s="6"/>
      <c r="P58" s="588">
        <f>UPPER(DATA!$B$17)</f>
      </c>
      <c r="Q58" s="588"/>
      <c r="R58" s="4"/>
    </row>
    <row r="59" spans="2:18">
      <c r="B59" s="2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588"/>
      <c r="Q59" s="588"/>
      <c r="R59" s="4"/>
    </row>
    <row r="60" spans="2:18">
      <c r="B60" s="2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5"/>
      <c r="Q60" s="5"/>
      <c r="R60" s="4"/>
    </row>
    <row r="61" spans="2:18">
      <c r="B61" s="2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5"/>
      <c r="Q61" s="5"/>
      <c r="R61" s="4"/>
    </row>
    <row r="62" spans="2:18">
      <c r="B62" s="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5"/>
      <c r="Q62" s="5"/>
      <c r="R62" s="4"/>
    </row>
    <row r="63" spans="2:18">
      <c r="B63" s="2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4"/>
    </row>
    <row r="64" spans="2:18">
      <c r="B64" s="2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4"/>
    </row>
    <row r="65" spans="2:18">
      <c r="B65" s="2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4"/>
    </row>
    <row r="66" spans="2:18">
      <c r="B66" s="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4"/>
    </row>
    <row r="67" spans="2:18">
      <c r="B67" s="2"/>
      <c r="C67" s="589">
        <f>DATA!$B$22</f>
      </c>
      <c r="D67" s="589"/>
      <c r="E67" s="589"/>
      <c r="F67" s="589"/>
      <c r="G67" s="589"/>
      <c r="H67" s="589"/>
      <c r="I67" s="6"/>
      <c r="J67" s="590"/>
      <c r="K67" s="590"/>
      <c r="L67" s="590"/>
      <c r="M67" s="590"/>
      <c r="N67" s="21"/>
      <c r="O67" s="21"/>
      <c r="P67" s="589">
        <f>DATA!$B$69</f>
      </c>
      <c r="Q67" s="589"/>
      <c r="R67" s="4"/>
    </row>
    <row r="68" spans="2:18">
      <c r="B68" s="2"/>
      <c r="C68" s="588">
        <f>DATA!$B$23</f>
      </c>
      <c r="D68" s="588"/>
      <c r="E68" s="588"/>
      <c r="F68" s="588"/>
      <c r="G68" s="588"/>
      <c r="H68" s="588"/>
      <c r="I68" s="6"/>
      <c r="J68" s="21"/>
      <c r="K68" s="21"/>
      <c r="L68" s="21"/>
      <c r="M68" s="21"/>
      <c r="N68" s="21"/>
      <c r="O68" s="21"/>
      <c r="P68" s="588">
        <f>DATA!$B$70</f>
      </c>
      <c r="Q68" s="588"/>
      <c r="R68" s="4"/>
    </row>
    <row r="69" spans="2:18" ht="9" customHeight="1" thickBot="1"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4"/>
    </row>
    <row r="70" spans="2:18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2:18">
      <c r="C71" s="6"/>
      <c r="D71" s="6"/>
      <c r="E71" s="6"/>
      <c r="F71" s="245">
        <f ca="1">""&amp;PROPER(IF(Q51=0,"nol",IF(Q51&lt;0,"minus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IF(--MID(TEXT(ABS(Q51),"000000000000000"),1,3)=0,"",MID(TEXT(ABS(Q51),"000000000000000"),1,1)&amp;" ratus "&amp;MID(TEXT(ABS(Q51),"000000000000000"),2,1)&amp;" puluh "&amp;MID(TEXT(ABS(Q51),"000000000000000"),3,1)&amp;" trilyun ")&amp; IF(--MID(TEXT(ABS(Q51),"000000000000000"),4,3)=0,"",MID(TEXT(ABS(Q51),"000000000000000"),4,1)&amp;" ratus "&amp;MID(TEXT(ABS(Q51),"000000000000000"),5,1)&amp;" puluh "&amp;MID(TEXT(ABS(Q51),"000000000000000"),6,1)&amp;" milyar ")&amp; IF(--MID(TEXT(ABS(Q51),"000000000000000"),7,3)=0,"",MID(TEXT(ABS(Q51),"000000000000000"),7,1)&amp;" ratus "&amp;MID(TEXT(ABS(Q51),"000000000000000"),8,1)&amp;" puluh "&amp;MID(TEXT(ABS(Q51),"000000000000000"),9,1)&amp;" juta ")&amp; IF(--MID(TEXT(ABS(Q51),"000000000000000"),10,3)=0,"",IF(--MID(TEXT(ABS(Q51),"000000000000000"),10,3)=1,"*",MID(TEXT(ABS(Q51),"000000000000000"),10,1)&amp;" ratus "&amp;MID(TEXT(ABS(Q51),"000000000000000"),11,1)&amp;" puluh ")&amp;MID(TEXT(ABS(Q51),"000000000000000"),12,1)&amp;" ribu ")&amp; IF(--MID(TEXT(ABS(Q51),"000000000000000"),13,3)=0,"",MID(TEXT(ABS(Q51),"000000000000000"),13,1)&amp;" ratus "&amp;MID(TEXT(ABS(Q51),"000000000000000"),14,1)&amp;" puluh "&amp;MID(TEXT(ABS(Q51),"000000000000000"),15,1)),1,"satu"),2,"dua"),3,"tiga"),4,"empat"),5,"lima"),6,"enam"),7,"tujuh"),8,"delapan"),9,"sembilan"),"0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Rupiah"</f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2:18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2:18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</sheetData>
  <mergeCells count="39">
    <mergeCell ref="C68:H68"/>
    <mergeCell ref="P68:Q68"/>
    <mergeCell ref="C58:H58"/>
    <mergeCell ref="P58:Q58"/>
    <mergeCell ref="P59:Q59"/>
    <mergeCell ref="C67:H67"/>
    <mergeCell ref="J67:M67"/>
    <mergeCell ref="P67:Q67"/>
    <mergeCell ref="J41:K41"/>
    <mergeCell ref="J42:K42"/>
    <mergeCell ref="C53:D53"/>
    <mergeCell ref="F53:Q53"/>
    <mergeCell ref="C57:H57"/>
    <mergeCell ref="P57:Q57"/>
    <mergeCell ref="T15:AB15"/>
    <mergeCell ref="J16:Q16"/>
    <mergeCell ref="C18:Q18"/>
    <mergeCell ref="K22:R22"/>
    <mergeCell ref="J40:K40"/>
    <mergeCell ref="K24:M24"/>
    <mergeCell ref="K25:M25"/>
    <mergeCell ref="C28:Q28"/>
    <mergeCell ref="T28:W28"/>
    <mergeCell ref="J29:K29"/>
    <mergeCell ref="J30:K30"/>
    <mergeCell ref="J31:K31"/>
    <mergeCell ref="J32:K32"/>
    <mergeCell ref="J35:K35"/>
    <mergeCell ref="J36:K36"/>
    <mergeCell ref="J37:K37"/>
    <mergeCell ref="K23:L23"/>
    <mergeCell ref="N23:P23"/>
    <mergeCell ref="C4:Q4"/>
    <mergeCell ref="C6:Q6"/>
    <mergeCell ref="C7:Q7"/>
    <mergeCell ref="C10:Q10"/>
    <mergeCell ref="C11:Q11"/>
    <mergeCell ref="C13:Q13"/>
    <mergeCell ref="J15:Q15"/>
  </mergeCells>
  <pageMargins left="0.34" right="0.25" top="0.75" bottom="0.38" header="0.3" footer="0.3"/>
  <pageSetup paperSize="9" scale="62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972B-750D-4AFE-8C90-DF1FA19FB27F}">
  <sheetPr>
    <tabColor rgb="FF92D050"/>
  </sheetPr>
  <dimension ref="B1:AB73"/>
  <sheetViews>
    <sheetView showGridLines="0" topLeftCell="A42" zoomScale="70" zoomScaleNormal="70" zoomScaleSheetLayoutView="70" workbookViewId="0">
      <selection activeCell="M75" sqref="M75"/>
    </sheetView>
  </sheetViews>
  <sheetFormatPr defaultColWidth="8.81640625" defaultRowHeight="15.6"/>
  <cols>
    <col min="1" max="1" width="10.81640625" style="1" customWidth="1"/>
    <col min="2" max="2" width="3.08984375" style="1" customWidth="1"/>
    <col min="3" max="3" width="2.453125" style="1" customWidth="1"/>
    <col min="4" max="4" width="6.81640625" style="1" customWidth="1"/>
    <col min="5" max="5" width="3.81640625" style="1" customWidth="1"/>
    <col min="6" max="7" width="5.81640625" style="1" customWidth="1"/>
    <col min="8" max="8" width="9.453125" style="1" customWidth="1"/>
    <col min="9" max="9" width="3.54296875" style="1" bestFit="1" customWidth="1"/>
    <col min="10" max="10" width="3" style="1" customWidth="1"/>
    <col min="11" max="11" width="9" style="1" customWidth="1"/>
    <col min="12" max="12" width="8.08984375" style="1" customWidth="1"/>
    <col min="13" max="13" width="20.81640625" style="1" customWidth="1"/>
    <col min="14" max="14" width="2.81640625" style="1" bestFit="1" customWidth="1"/>
    <col min="15" max="15" width="5" style="1" customWidth="1"/>
    <col min="16" max="16" width="19" style="1" customWidth="1"/>
    <col min="17" max="17" width="22.36328125" style="1" customWidth="1"/>
    <col min="18" max="18" width="0.81640625" style="1" customWidth="1"/>
    <col min="19" max="19" width="4.54296875" style="1" customWidth="1"/>
    <col min="20" max="22" width="8.81640625" style="1"/>
    <col min="23" max="23" width="25.08984375" style="1" customWidth="1"/>
    <col min="24" max="16384" width="8.81640625" style="1"/>
  </cols>
  <sheetData>
    <row r="1" spans="2:28" ht="16.2" thickBot="1"/>
    <row r="2" spans="2:28" ht="9" customHeight="1">
      <c r="B2" s="262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4"/>
    </row>
    <row r="3" spans="2:28" ht="24" customHeight="1">
      <c r="B3" s="2"/>
      <c r="E3" s="3"/>
      <c r="R3" s="4"/>
      <c r="T3" s="265" cm="1">
        <f t="array" ref="T3">INDEX(DATA!$B$99:$B$104,$T$9)</f>
      </c>
      <c r="U3" s="265"/>
      <c r="V3" s="265">
        <f>TEXT($T$3,"[$-21]dd mmmm yyyy")</f>
      </c>
      <c r="W3" s="58">
        <f>TEXT($T3,"[$-21]dd mmmm yyyy")</f>
      </c>
    </row>
    <row r="4" spans="2:28" ht="24" customHeight="1">
      <c r="B4" s="2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604"/>
      <c r="O4" s="604"/>
      <c r="P4" s="604"/>
      <c r="Q4" s="604"/>
      <c r="R4" s="4"/>
      <c r="T4" s="265">
        <f>TEXT($T$3,"[$-21]dddd")</f>
      </c>
    </row>
    <row r="5" spans="2:28" ht="24" customHeight="1">
      <c r="B5" s="2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4"/>
      <c r="T5" s="265">
        <f>VLOOKUP(DAY($T$3),HELPER!$A$2:$B$100,2,0)</f>
      </c>
    </row>
    <row r="6" spans="2:28" ht="24" customHeight="1">
      <c r="B6" s="2"/>
      <c r="C6" s="604"/>
      <c r="D6" s="604"/>
      <c r="E6" s="604"/>
      <c r="F6" s="604"/>
      <c r="G6" s="604"/>
      <c r="H6" s="604"/>
      <c r="I6" s="604"/>
      <c r="J6" s="604"/>
      <c r="K6" s="604"/>
      <c r="L6" s="604"/>
      <c r="M6" s="604"/>
      <c r="N6" s="604"/>
      <c r="O6" s="604"/>
      <c r="P6" s="604"/>
      <c r="Q6" s="604"/>
      <c r="R6" s="4"/>
      <c r="T6" s="265">
        <f>TEXT($T$3,"[$-21]mmmm")</f>
      </c>
    </row>
    <row r="7" spans="2:28" ht="24" hidden="1" customHeight="1">
      <c r="B7" s="2"/>
      <c r="C7" s="605"/>
      <c r="D7" s="605"/>
      <c r="E7" s="605"/>
      <c r="F7" s="605"/>
      <c r="G7" s="605"/>
      <c r="H7" s="605"/>
      <c r="I7" s="605"/>
      <c r="J7" s="605"/>
      <c r="K7" s="605"/>
      <c r="L7" s="605"/>
      <c r="M7" s="605"/>
      <c r="N7" s="605"/>
      <c r="O7" s="605"/>
      <c r="P7" s="605"/>
      <c r="Q7" s="605"/>
      <c r="R7" s="4"/>
      <c r="T7" s="265">
        <f>"Dua Ribu"&amp;IF(MOD(YEAR($T$3),100)=0,""," "&amp;VLOOKUP(MOD(YEAR($T$3),100),HELPER!$A$2:$B$100,2,0))</f>
      </c>
    </row>
    <row r="8" spans="2:28" ht="16.2" hidden="1" thickBot="1">
      <c r="B8" s="2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4"/>
      <c r="T8" s="470" t="s">
        <v>51</v>
      </c>
    </row>
    <row r="9" spans="2:28">
      <c r="B9" s="2"/>
      <c r="R9" s="4"/>
      <c r="T9" s="471">
        <v>4</v>
      </c>
    </row>
    <row r="10" spans="2:28" ht="20.399999999999999">
      <c r="B10" s="2"/>
      <c r="C10" s="606" t="s">
        <v>52</v>
      </c>
      <c r="D10" s="606"/>
      <c r="E10" s="606"/>
      <c r="F10" s="606"/>
      <c r="G10" s="606"/>
      <c r="H10" s="606"/>
      <c r="I10" s="606"/>
      <c r="J10" s="606"/>
      <c r="K10" s="606"/>
      <c r="L10" s="606"/>
      <c r="M10" s="606"/>
      <c r="N10" s="606"/>
      <c r="O10" s="606"/>
      <c r="P10" s="606"/>
      <c r="Q10" s="606"/>
      <c r="R10" s="4"/>
    </row>
    <row r="11" spans="2:28">
      <c r="B11" s="2"/>
      <c r="C11" s="588">
        <f>TEXT($T$9,"00")&amp;"/BAP/"&amp;DATA!$B$4</f>
      </c>
      <c r="D11" s="588"/>
      <c r="E11" s="588"/>
      <c r="F11" s="588"/>
      <c r="G11" s="588"/>
      <c r="H11" s="588"/>
      <c r="I11" s="588"/>
      <c r="J11" s="588"/>
      <c r="K11" s="588"/>
      <c r="L11" s="588"/>
      <c r="M11" s="588"/>
      <c r="N11" s="588"/>
      <c r="O11" s="588"/>
      <c r="P11" s="588"/>
      <c r="Q11" s="588"/>
      <c r="R11" s="4"/>
    </row>
    <row r="12" spans="2:28">
      <c r="B12" s="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4"/>
    </row>
    <row r="13" spans="2:28">
      <c r="B13" s="2"/>
      <c r="C13" s="597">
        <f>"Pada hari ini "&amp;T4&amp;" tanggal "&amp;T5&amp;" bulan "&amp;T6&amp;" tahun "&amp;T7&amp;" ("&amp;V3&amp;"), kami yang bertandatangan di bawah ini:"</f>
      </c>
      <c r="D13" s="597"/>
      <c r="E13" s="597"/>
      <c r="F13" s="597"/>
      <c r="G13" s="597"/>
      <c r="H13" s="597"/>
      <c r="I13" s="597"/>
      <c r="J13" s="597"/>
      <c r="K13" s="597"/>
      <c r="L13" s="597"/>
      <c r="M13" s="597"/>
      <c r="N13" s="597"/>
      <c r="O13" s="597"/>
      <c r="P13" s="597"/>
      <c r="Q13" s="597"/>
      <c r="R13" s="7"/>
      <c r="S13" s="8"/>
    </row>
    <row r="14" spans="2:28">
      <c r="B14" s="2"/>
      <c r="C14" s="6"/>
      <c r="D14" s="7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4"/>
    </row>
    <row r="15" spans="2:28" ht="66.45" customHeight="1">
      <c r="B15" s="2"/>
      <c r="C15" s="9">
        <v>1</v>
      </c>
      <c r="D15" s="67">
        <f>DATA!$B$69</f>
      </c>
      <c r="E15" s="10"/>
      <c r="F15" s="10"/>
      <c r="G15" s="10"/>
      <c r="H15" s="10"/>
      <c r="I15" s="11" t="s">
        <v>2</v>
      </c>
      <c r="J15" s="597">
        <f>"Selaku "&amp;DATA!$B$70&amp;", "&amp;DATA!$B$7&amp;", dalam hal ini bertindak untuk dan atas nama "&amp;DATA!$B$17&amp;" yang berkedudukan di "&amp;DATA!$B$18&amp;" (selanjutnya disebut sebagai PIHAK PERTAMA)."</f>
      </c>
      <c r="K15" s="597"/>
      <c r="L15" s="597"/>
      <c r="M15" s="597"/>
      <c r="N15" s="597"/>
      <c r="O15" s="597"/>
      <c r="P15" s="597"/>
      <c r="Q15" s="597"/>
      <c r="R15" s="4"/>
      <c r="T15" s="595"/>
      <c r="U15" s="595"/>
      <c r="V15" s="595"/>
      <c r="W15" s="595"/>
      <c r="X15" s="595"/>
      <c r="Y15" s="595"/>
      <c r="Z15" s="595"/>
      <c r="AA15" s="595"/>
      <c r="AB15" s="595"/>
    </row>
    <row r="16" spans="2:28" ht="58.2" customHeight="1">
      <c r="B16" s="2"/>
      <c r="C16" s="9">
        <v>2</v>
      </c>
      <c r="D16" s="67">
        <f>DATA!$B$22</f>
      </c>
      <c r="E16" s="10"/>
      <c r="F16" s="10"/>
      <c r="G16" s="10"/>
      <c r="H16" s="10"/>
      <c r="I16" s="11" t="s">
        <v>2</v>
      </c>
      <c r="J16" s="596">
        <f>"Selaku "&amp;DATA!$B$23&amp;" "&amp;DATA!$B$24&amp;", dalam hal ini bertindak untuk dan atas nama "&amp;DATA!$B$24&amp;" yang berkedudukan di "&amp;DATA!$B$25&amp;" (selanjutnya disebut sebagai PIHAK KEDUA)."</f>
      </c>
      <c r="K16" s="597"/>
      <c r="L16" s="597"/>
      <c r="M16" s="597"/>
      <c r="N16" s="597"/>
      <c r="O16" s="597"/>
      <c r="P16" s="597"/>
      <c r="Q16" s="597"/>
      <c r="R16" s="4"/>
    </row>
    <row r="17" spans="2:23" ht="8.25" customHeight="1">
      <c r="B17" s="2"/>
      <c r="C17" s="6"/>
      <c r="D17" s="6"/>
      <c r="E17" s="6"/>
      <c r="F17" s="6"/>
      <c r="G17" s="6"/>
      <c r="H17" s="6"/>
      <c r="I17" s="6"/>
      <c r="J17" s="12"/>
      <c r="K17" s="6"/>
      <c r="L17" s="6"/>
      <c r="M17" s="6"/>
      <c r="N17" s="6"/>
      <c r="O17" s="6"/>
      <c r="P17" s="6"/>
      <c r="Q17" s="6"/>
      <c r="R17" s="4"/>
    </row>
    <row r="18" spans="2:23" ht="40.5" customHeight="1">
      <c r="B18" s="2"/>
      <c r="C18" s="598">
        <f>"Menerangkan bahwa kedua belah pihak, telah melakukan pemeriksaan atas "&amp;DATA!$B$6&amp;" pada "&amp;DATA!$B$7&amp;", dan berdasarkan :"</f>
      </c>
      <c r="D18" s="598"/>
      <c r="E18" s="598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598"/>
      <c r="Q18" s="598"/>
      <c r="R18" s="4"/>
    </row>
    <row r="19" spans="2:23" ht="7.5" customHeight="1">
      <c r="B19" s="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4"/>
    </row>
    <row r="20" spans="2:23">
      <c r="B20" s="2"/>
      <c r="C20" s="6"/>
      <c r="D20" s="6" t="s">
        <v>53</v>
      </c>
      <c r="E20" s="6"/>
      <c r="F20" s="6"/>
      <c r="G20" s="6"/>
      <c r="H20" s="6"/>
      <c r="I20" s="6"/>
      <c r="J20" s="12" t="s">
        <v>2</v>
      </c>
      <c r="K20" s="68">
        <f>DATA!$B$4</f>
      </c>
      <c r="L20" s="14"/>
      <c r="M20" s="14"/>
      <c r="N20" s="6" t="s">
        <v>54</v>
      </c>
      <c r="O20" s="6"/>
      <c r="P20" s="76">
        <f>TEXT(DATA!$B$5,"[$-21]dd mmmm yyyy")</f>
      </c>
      <c r="Q20" s="6"/>
      <c r="R20" s="4"/>
    </row>
    <row r="21" spans="2:23" hidden="1">
      <c r="B21" s="2"/>
      <c r="C21" s="6"/>
      <c r="D21" s="6" t="s">
        <v>55</v>
      </c>
      <c r="E21" s="6"/>
      <c r="F21" s="6"/>
      <c r="G21" s="6"/>
      <c r="H21" s="6"/>
      <c r="I21" s="6"/>
      <c r="J21" s="12" t="s">
        <v>2</v>
      </c>
      <c r="K21" s="6" t="s">
        <v>4</v>
      </c>
      <c r="L21" s="6"/>
      <c r="M21" s="6"/>
      <c r="N21" s="6"/>
      <c r="O21" s="6"/>
      <c r="P21" s="15"/>
      <c r="Q21" s="6"/>
      <c r="R21" s="4"/>
    </row>
    <row r="22" spans="2:23" hidden="1">
      <c r="B22" s="2"/>
      <c r="C22" s="6"/>
      <c r="D22" s="11" t="s">
        <v>56</v>
      </c>
      <c r="E22" s="11"/>
      <c r="F22" s="11"/>
      <c r="G22" s="11"/>
      <c r="H22" s="11"/>
      <c r="I22" s="11"/>
      <c r="J22" s="70" t="s">
        <v>2</v>
      </c>
      <c r="K22" s="599">
        <f>DATA!$B$6</f>
      </c>
      <c r="L22" s="599"/>
      <c r="M22" s="599"/>
      <c r="N22" s="599"/>
      <c r="O22" s="599"/>
      <c r="P22" s="599"/>
      <c r="Q22" s="599"/>
      <c r="R22" s="600"/>
    </row>
    <row r="23" spans="2:23" ht="19.2" customHeight="1">
      <c r="B23" s="2"/>
      <c r="C23" s="6"/>
      <c r="D23" s="6" t="s">
        <v>57</v>
      </c>
      <c r="E23" s="6"/>
      <c r="F23" s="6"/>
      <c r="G23" s="6"/>
      <c r="H23" s="6"/>
      <c r="I23" s="6"/>
      <c r="J23" s="12" t="s">
        <v>2</v>
      </c>
      <c r="K23" s="603">
        <f>TEXT(DATA!$B$8,"[$-21]dd mmmm yyyy")</f>
      </c>
      <c r="L23" s="603"/>
      <c r="M23" s="5" t="s">
        <v>58</v>
      </c>
      <c r="N23" s="603">
        <f>TEXT(DATA!$B$9,"[$-21]dd mmmm yyyy")</f>
      </c>
      <c r="O23" s="603"/>
      <c r="P23" s="603"/>
      <c r="Q23" s="6"/>
      <c r="R23" s="4"/>
    </row>
    <row r="24" spans="2:23" ht="21.6" customHeight="1">
      <c r="B24" s="2"/>
      <c r="C24" s="6"/>
      <c r="D24" s="6" t="s">
        <v>59</v>
      </c>
      <c r="E24" s="6"/>
      <c r="F24" s="6"/>
      <c r="G24" s="6"/>
      <c r="H24" s="6"/>
      <c r="I24" s="6"/>
      <c r="J24" s="12" t="s">
        <v>2</v>
      </c>
      <c r="K24" s="601">
        <f>#REF!</f>
      </c>
      <c r="L24" s="601"/>
      <c r="M24" s="601"/>
      <c r="N24" s="16"/>
      <c r="O24" s="16"/>
      <c r="P24" s="17" t="s">
        <v>60</v>
      </c>
      <c r="Q24" s="6"/>
      <c r="R24" s="4"/>
    </row>
    <row r="25" spans="2:23" hidden="1">
      <c r="B25" s="2"/>
      <c r="C25" s="6"/>
      <c r="D25" s="6" t="s">
        <v>61</v>
      </c>
      <c r="E25" s="6"/>
      <c r="F25" s="6"/>
      <c r="G25" s="6"/>
      <c r="H25" s="6"/>
      <c r="I25" s="6"/>
      <c r="J25" s="12" t="s">
        <v>2</v>
      </c>
      <c r="K25" s="601">
        <v>0</v>
      </c>
      <c r="L25" s="601"/>
      <c r="M25" s="601"/>
      <c r="N25" s="16"/>
      <c r="O25" s="16"/>
      <c r="P25" s="17" t="s">
        <v>62</v>
      </c>
      <c r="Q25" s="6"/>
      <c r="R25" s="4"/>
    </row>
    <row r="26" spans="2:23" hidden="1">
      <c r="B26" s="2"/>
      <c r="C26" s="6"/>
      <c r="D26" s="6" t="s">
        <v>11</v>
      </c>
      <c r="E26" s="6"/>
      <c r="F26" s="6"/>
      <c r="G26" s="6"/>
      <c r="H26" s="6"/>
      <c r="I26" s="6"/>
      <c r="J26" s="12" t="s">
        <v>2</v>
      </c>
      <c r="K26" s="217">
        <f>DATA!$B$46</f>
      </c>
      <c r="L26" s="6"/>
      <c r="M26" s="26"/>
      <c r="N26" s="6"/>
      <c r="O26" s="6"/>
      <c r="P26" s="6"/>
      <c r="Q26" s="6"/>
      <c r="R26" s="4"/>
    </row>
    <row r="27" spans="2:23" hidden="1">
      <c r="B27" s="2"/>
      <c r="C27" s="6"/>
      <c r="D27" s="6" t="s">
        <v>14</v>
      </c>
      <c r="E27" s="6"/>
      <c r="F27" s="6"/>
      <c r="G27" s="6"/>
      <c r="H27" s="6"/>
      <c r="I27" s="6"/>
      <c r="J27" s="12" t="s">
        <v>2</v>
      </c>
      <c r="K27" s="217">
        <f>DATA!$B$47</f>
      </c>
      <c r="L27" s="6"/>
      <c r="M27" s="26"/>
      <c r="N27" s="6"/>
      <c r="O27" s="6"/>
      <c r="P27" s="6"/>
      <c r="Q27" s="6"/>
      <c r="R27" s="4"/>
    </row>
    <row r="28" spans="2:23" ht="49.5" customHeight="1">
      <c r="B28" s="2"/>
      <c r="C28" s="602">
        <f ca="1">"Menyatakan bahwa prestasi pekerjaan yang dicapai oleh PIHAK KEDUA sampai dengan tanggal "&amp;TEXT($T$3,"[$-21]dd mmmm yyyy")&amp;" adalah "&amp;TEXT('BAPP 4'!$K$194,"0.00%")&amp;" sesuai dengan Berita Acara Pemeriksaan Pekerjaan No. "&amp;'BAPP 4'!$B$10&amp;", dengan rincian sebagai berikut :"</f>
      </c>
      <c r="D28" s="598"/>
      <c r="E28" s="598"/>
      <c r="F28" s="598"/>
      <c r="G28" s="598"/>
      <c r="H28" s="598"/>
      <c r="I28" s="598"/>
      <c r="J28" s="598"/>
      <c r="K28" s="598"/>
      <c r="L28" s="598"/>
      <c r="M28" s="598"/>
      <c r="N28" s="598"/>
      <c r="O28" s="598"/>
      <c r="P28" s="598"/>
      <c r="Q28" s="598"/>
      <c r="R28" s="4"/>
      <c r="T28" s="598"/>
      <c r="U28" s="598"/>
      <c r="V28" s="598"/>
      <c r="W28" s="598"/>
    </row>
    <row r="29" spans="2:23">
      <c r="B29" s="2"/>
      <c r="C29" s="6" t="s">
        <v>63</v>
      </c>
      <c r="D29" s="25" t="s">
        <v>64</v>
      </c>
      <c r="E29" s="6"/>
      <c r="F29" s="6"/>
      <c r="G29" s="6"/>
      <c r="H29" s="6"/>
      <c r="I29" s="6"/>
      <c r="J29" s="591"/>
      <c r="K29" s="591"/>
      <c r="L29" s="6"/>
      <c r="M29" s="6" t="s">
        <v>65</v>
      </c>
      <c r="N29" s="6"/>
      <c r="O29" s="6"/>
      <c r="P29" s="6"/>
      <c r="Q29" s="6"/>
      <c r="R29" s="4"/>
    </row>
    <row r="30" spans="2:23">
      <c r="B30" s="2"/>
      <c r="C30" s="12" t="s">
        <v>4</v>
      </c>
      <c r="D30" s="6" t="s">
        <v>66</v>
      </c>
      <c r="E30" s="6"/>
      <c r="F30" s="6"/>
      <c r="G30" s="6"/>
      <c r="H30" s="6"/>
      <c r="I30" s="6" t="s">
        <v>13</v>
      </c>
      <c r="J30" s="591">
        <f ca="1">J32+J31</f>
      </c>
      <c r="K30" s="591"/>
      <c r="L30" s="6" t="s">
        <v>67</v>
      </c>
      <c r="M30" s="411">
        <f>$K$24</f>
      </c>
      <c r="N30" s="411" t="s">
        <v>13</v>
      </c>
      <c r="O30" s="411"/>
      <c r="P30" s="411">
        <f ca="1">J30*M30</f>
      </c>
      <c r="Q30" s="6"/>
      <c r="R30" s="4"/>
    </row>
    <row r="31" spans="2:23">
      <c r="B31" s="2"/>
      <c r="C31" s="12" t="s">
        <v>4</v>
      </c>
      <c r="D31" s="6" t="s">
        <v>68</v>
      </c>
      <c r="E31" s="6"/>
      <c r="F31" s="6"/>
      <c r="G31" s="6"/>
      <c r="H31" s="6"/>
      <c r="I31" s="6" t="s">
        <v>13</v>
      </c>
      <c r="J31" s="591">
        <f ca="1">'rincian 4'!T166</f>
      </c>
      <c r="K31" s="591"/>
      <c r="L31" s="6" t="s">
        <v>67</v>
      </c>
      <c r="M31" s="411">
        <f>$K$24</f>
      </c>
      <c r="N31" s="411" t="s">
        <v>13</v>
      </c>
      <c r="O31" s="411"/>
      <c r="P31" s="411">
        <f ca="1">J31*M31</f>
      </c>
      <c r="Q31" s="6"/>
      <c r="R31" s="4"/>
      <c r="W31" s="266"/>
    </row>
    <row r="32" spans="2:23">
      <c r="B32" s="2"/>
      <c r="C32" s="12" t="s">
        <v>4</v>
      </c>
      <c r="D32" s="6" t="s">
        <v>69</v>
      </c>
      <c r="E32" s="6"/>
      <c r="F32" s="6"/>
      <c r="G32" s="6"/>
      <c r="H32" s="6"/>
      <c r="I32" s="6" t="s">
        <v>13</v>
      </c>
      <c r="J32" s="591">
        <f ca="1">'BAPP 4'!K194</f>
      </c>
      <c r="K32" s="591"/>
      <c r="L32" s="6" t="s">
        <v>67</v>
      </c>
      <c r="M32" s="411">
        <f>$K$24</f>
      </c>
      <c r="N32" s="411" t="s">
        <v>13</v>
      </c>
      <c r="O32" s="411"/>
      <c r="P32" s="411">
        <f ca="1">J32*M32</f>
      </c>
      <c r="Q32" s="6"/>
      <c r="R32" s="4"/>
      <c r="W32" s="266"/>
    </row>
    <row r="33" spans="2:18">
      <c r="B33" s="2"/>
      <c r="C33" s="6"/>
      <c r="D33" s="6"/>
      <c r="E33" s="6"/>
      <c r="F33" s="6"/>
      <c r="G33" s="6"/>
      <c r="H33" s="6"/>
      <c r="I33" s="6"/>
      <c r="J33" s="12"/>
      <c r="K33" s="6"/>
      <c r="L33" s="6"/>
      <c r="M33" s="6"/>
      <c r="N33" s="6"/>
      <c r="O33" s="6"/>
      <c r="P33" s="6"/>
      <c r="Q33" s="412">
        <f ca="1">P32</f>
      </c>
      <c r="R33" s="4"/>
    </row>
    <row r="34" spans="2:18">
      <c r="B34" s="2"/>
      <c r="C34" s="6" t="s">
        <v>70</v>
      </c>
      <c r="D34" s="25" t="s">
        <v>71</v>
      </c>
      <c r="E34" s="6"/>
      <c r="F34" s="6"/>
      <c r="G34" s="6"/>
      <c r="H34" s="6"/>
      <c r="I34" s="6"/>
      <c r="J34" s="12"/>
      <c r="K34" s="6"/>
      <c r="L34" s="6"/>
      <c r="M34" s="6"/>
      <c r="N34" s="6"/>
      <c r="O34" s="6"/>
      <c r="P34" s="6"/>
      <c r="Q34" s="6"/>
      <c r="R34" s="4"/>
    </row>
    <row r="35" spans="2:18">
      <c r="B35" s="2"/>
      <c r="C35" s="6"/>
      <c r="D35" s="6" t="s">
        <v>72</v>
      </c>
      <c r="E35" s="6"/>
      <c r="F35" s="6"/>
      <c r="G35" s="6"/>
      <c r="H35" s="6"/>
      <c r="I35" s="6" t="s">
        <v>13</v>
      </c>
      <c r="J35" s="591">
        <f>$K$27</f>
      </c>
      <c r="K35" s="591"/>
      <c r="L35" s="6" t="s">
        <v>67</v>
      </c>
      <c r="M35" s="411">
        <f ca="1">M36+M37</f>
      </c>
      <c r="N35" s="411" t="s">
        <v>13</v>
      </c>
      <c r="O35" s="411"/>
      <c r="P35" s="413">
        <f ca="1">ROUND(J35*M35,0)</f>
      </c>
      <c r="Q35" s="6"/>
      <c r="R35" s="4"/>
    </row>
    <row r="36" spans="2:18">
      <c r="B36" s="2"/>
      <c r="C36" s="6"/>
      <c r="D36" s="6" t="s">
        <v>73</v>
      </c>
      <c r="E36" s="6"/>
      <c r="F36" s="6"/>
      <c r="G36" s="6"/>
      <c r="H36" s="6"/>
      <c r="I36" s="6" t="s">
        <v>13</v>
      </c>
      <c r="J36" s="591">
        <v>0</v>
      </c>
      <c r="K36" s="591"/>
      <c r="L36" s="6" t="s">
        <v>67</v>
      </c>
      <c r="M36" s="411">
        <v>0</v>
      </c>
      <c r="N36" s="411" t="s">
        <v>13</v>
      </c>
      <c r="O36" s="411"/>
      <c r="P36" s="411">
        <f>J36*M36</f>
      </c>
      <c r="Q36" s="6"/>
      <c r="R36" s="4"/>
    </row>
    <row r="37" spans="2:18">
      <c r="B37" s="2"/>
      <c r="C37" s="6"/>
      <c r="D37" s="6" t="s">
        <v>74</v>
      </c>
      <c r="E37" s="6"/>
      <c r="F37" s="6"/>
      <c r="G37" s="6"/>
      <c r="H37" s="6"/>
      <c r="I37" s="6" t="s">
        <v>13</v>
      </c>
      <c r="J37" s="591">
        <v>0</v>
      </c>
      <c r="K37" s="591"/>
      <c r="L37" s="6" t="s">
        <v>67</v>
      </c>
      <c r="M37" s="411">
        <f ca="1">P32</f>
      </c>
      <c r="N37" s="411" t="s">
        <v>13</v>
      </c>
      <c r="O37" s="411"/>
      <c r="P37" s="414">
        <f ca="1">ROUND(J37*M37,0)</f>
      </c>
      <c r="Q37" s="6"/>
      <c r="R37" s="4"/>
    </row>
    <row r="38" spans="2:18">
      <c r="B38" s="2"/>
      <c r="C38" s="6"/>
      <c r="D38" s="6"/>
      <c r="E38" s="6"/>
      <c r="F38" s="6"/>
      <c r="G38" s="6"/>
      <c r="H38" s="6"/>
      <c r="I38" s="6"/>
      <c r="J38" s="12"/>
      <c r="K38" s="6"/>
      <c r="L38" s="6"/>
      <c r="M38" s="6"/>
      <c r="N38" s="6"/>
      <c r="O38" s="6"/>
      <c r="P38" s="6"/>
      <c r="Q38" s="412">
        <f ca="1">P37</f>
      </c>
      <c r="R38" s="4"/>
    </row>
    <row r="39" spans="2:18">
      <c r="B39" s="2"/>
      <c r="C39" s="6" t="s">
        <v>75</v>
      </c>
      <c r="D39" s="25" t="s">
        <v>76</v>
      </c>
      <c r="E39" s="6"/>
      <c r="F39" s="6"/>
      <c r="G39" s="6"/>
      <c r="H39" s="6"/>
      <c r="I39" s="6"/>
      <c r="J39" s="12"/>
      <c r="K39" s="6"/>
      <c r="L39" s="6"/>
      <c r="M39" s="6"/>
      <c r="N39" s="6"/>
      <c r="O39" s="6"/>
      <c r="P39" s="6"/>
      <c r="Q39" s="6"/>
      <c r="R39" s="4"/>
    </row>
    <row r="40" spans="2:18">
      <c r="B40" s="2"/>
      <c r="C40" s="6"/>
      <c r="D40" s="6" t="s">
        <v>77</v>
      </c>
      <c r="E40" s="6"/>
      <c r="F40" s="6"/>
      <c r="G40" s="6"/>
      <c r="H40" s="6"/>
      <c r="I40" s="6" t="s">
        <v>13</v>
      </c>
      <c r="J40" s="591">
        <f>$K$26</f>
      </c>
      <c r="K40" s="591"/>
      <c r="L40" s="6" t="s">
        <v>67</v>
      </c>
      <c r="M40" s="411">
        <f ca="1">M42+M41</f>
      </c>
      <c r="N40" s="411" t="s">
        <v>13</v>
      </c>
      <c r="O40" s="411"/>
      <c r="P40" s="411">
        <f ca="1">ROUND(J40*M40,0)</f>
      </c>
      <c r="Q40" s="6"/>
      <c r="R40" s="4"/>
    </row>
    <row r="41" spans="2:18">
      <c r="B41" s="2"/>
      <c r="C41" s="6"/>
      <c r="D41" s="6" t="s">
        <v>78</v>
      </c>
      <c r="E41" s="6"/>
      <c r="F41" s="6"/>
      <c r="G41" s="6"/>
      <c r="H41" s="6"/>
      <c r="I41" s="6" t="s">
        <v>13</v>
      </c>
      <c r="J41" s="591">
        <v>0</v>
      </c>
      <c r="K41" s="591"/>
      <c r="L41" s="6" t="s">
        <v>67</v>
      </c>
      <c r="M41" s="411">
        <v>0</v>
      </c>
      <c r="N41" s="411" t="s">
        <v>13</v>
      </c>
      <c r="O41" s="411"/>
      <c r="P41" s="411">
        <f t="shared" ref="P41" si="0">J41*M41</f>
      </c>
      <c r="Q41" s="6"/>
      <c r="R41" s="4"/>
    </row>
    <row r="42" spans="2:18" ht="16.8">
      <c r="B42" s="2"/>
      <c r="C42" s="6"/>
      <c r="D42" s="6" t="s">
        <v>79</v>
      </c>
      <c r="E42" s="6"/>
      <c r="F42" s="6"/>
      <c r="G42" s="6"/>
      <c r="H42" s="6"/>
      <c r="I42" s="6" t="s">
        <v>13</v>
      </c>
      <c r="J42" s="591">
        <v>0</v>
      </c>
      <c r="K42" s="591"/>
      <c r="L42" s="6" t="s">
        <v>67</v>
      </c>
      <c r="M42" s="411">
        <f ca="1">Q33</f>
      </c>
      <c r="N42" s="411" t="s">
        <v>13</v>
      </c>
      <c r="O42" s="411"/>
      <c r="P42" s="415">
        <f ca="1">ROUND(J42*M42,0)</f>
      </c>
      <c r="Q42" s="6"/>
      <c r="R42" s="4"/>
    </row>
    <row r="43" spans="2:18">
      <c r="B43" s="2"/>
      <c r="C43" s="6"/>
      <c r="D43" s="6"/>
      <c r="E43" s="6"/>
      <c r="F43" s="6"/>
      <c r="G43" s="6"/>
      <c r="H43" s="6"/>
      <c r="I43" s="6"/>
      <c r="J43" s="12"/>
      <c r="K43" s="6"/>
      <c r="L43" s="6"/>
      <c r="M43" s="6"/>
      <c r="N43" s="6"/>
      <c r="O43" s="6"/>
      <c r="P43" s="6"/>
      <c r="Q43" s="412">
        <f ca="1">P42</f>
      </c>
      <c r="R43" s="4"/>
    </row>
    <row r="44" spans="2:18">
      <c r="B44" s="2"/>
      <c r="C44" s="6"/>
      <c r="D44" s="6"/>
      <c r="E44" s="6"/>
      <c r="F44" s="6"/>
      <c r="G44" s="6"/>
      <c r="H44" s="6"/>
      <c r="I44" s="6"/>
      <c r="J44" s="12"/>
      <c r="K44" s="6"/>
      <c r="L44" s="6"/>
      <c r="M44" s="6"/>
      <c r="N44" s="6"/>
      <c r="O44" s="6"/>
      <c r="P44" s="6"/>
      <c r="Q44" s="412"/>
      <c r="R44" s="4"/>
    </row>
    <row r="45" spans="2:18">
      <c r="B45" s="2"/>
      <c r="C45" s="6" t="s">
        <v>80</v>
      </c>
      <c r="D45" s="25" t="s">
        <v>81</v>
      </c>
      <c r="E45" s="6"/>
      <c r="F45" s="6"/>
      <c r="G45" s="6"/>
      <c r="H45" s="6"/>
      <c r="I45" s="6"/>
      <c r="J45" s="12"/>
      <c r="K45" s="6"/>
      <c r="L45" s="6"/>
      <c r="M45" s="6"/>
      <c r="N45" s="6"/>
      <c r="P45" s="6"/>
      <c r="Q45" s="6"/>
      <c r="R45" s="4"/>
    </row>
    <row r="46" spans="2:18">
      <c r="B46" s="2"/>
      <c r="C46" s="6"/>
      <c r="D46" s="214"/>
      <c r="E46" s="6"/>
      <c r="F46" s="6"/>
      <c r="G46" s="6"/>
      <c r="H46" s="6"/>
      <c r="I46" s="6"/>
      <c r="J46" s="72"/>
      <c r="K46" s="72"/>
      <c r="L46" s="6"/>
      <c r="M46" s="411"/>
      <c r="N46" s="411"/>
      <c r="P46" s="411"/>
      <c r="Q46" s="6"/>
      <c r="R46" s="4"/>
    </row>
    <row r="47" spans="2:18" ht="16.2" thickBot="1">
      <c r="B47" s="2"/>
      <c r="C47" s="6"/>
      <c r="D47" s="6"/>
      <c r="E47" s="6"/>
      <c r="F47" s="6"/>
      <c r="G47" s="6"/>
      <c r="H47" s="6"/>
      <c r="I47" s="6"/>
      <c r="J47" s="12"/>
      <c r="K47" s="6"/>
      <c r="L47" s="6"/>
      <c r="M47" s="6"/>
      <c r="N47" s="6"/>
      <c r="O47" s="6"/>
      <c r="P47" s="6"/>
      <c r="Q47" s="412">
        <f>SUM(P46)</f>
      </c>
      <c r="R47" s="4"/>
    </row>
    <row r="48" spans="2:18">
      <c r="B48" s="2"/>
      <c r="C48" s="6"/>
      <c r="D48" s="18" t="s">
        <v>82</v>
      </c>
      <c r="E48" s="18"/>
      <c r="F48" s="18"/>
      <c r="G48" s="18"/>
      <c r="H48" s="18"/>
      <c r="I48" s="18"/>
      <c r="J48" s="416"/>
      <c r="K48" s="18"/>
      <c r="L48" s="18"/>
      <c r="M48" s="18"/>
      <c r="N48" s="18"/>
      <c r="O48" s="18"/>
      <c r="P48" s="18"/>
      <c r="Q48" s="417">
        <f ca="1">ROUND((Q33-Q38-Q43-Q47),0)</f>
      </c>
      <c r="R48" s="4"/>
    </row>
    <row r="49" spans="2:18" ht="16.2" thickBot="1">
      <c r="B49" s="2"/>
      <c r="C49" s="6"/>
      <c r="D49" s="267" t="s">
        <v>83</v>
      </c>
      <c r="E49" s="267"/>
      <c r="F49" s="267"/>
      <c r="G49" s="267"/>
      <c r="H49" s="267"/>
      <c r="I49" s="267"/>
      <c r="J49" s="418"/>
      <c r="K49" s="267"/>
      <c r="L49" s="267"/>
      <c r="M49" s="267"/>
      <c r="N49" s="267"/>
      <c r="O49" s="267"/>
      <c r="P49" s="267"/>
      <c r="Q49" s="419">
        <f ca="1">ROUND($Q$48*DATA!$B$11,0)</f>
      </c>
      <c r="R49" s="4"/>
    </row>
    <row r="50" spans="2:18" ht="16.2" thickBot="1">
      <c r="B50" s="2"/>
      <c r="C50" s="6"/>
      <c r="D50" s="18" t="s">
        <v>84</v>
      </c>
      <c r="E50" s="18"/>
      <c r="F50" s="18"/>
      <c r="G50" s="18"/>
      <c r="H50" s="18"/>
      <c r="I50" s="18"/>
      <c r="J50" s="416"/>
      <c r="K50" s="18"/>
      <c r="L50" s="18"/>
      <c r="M50" s="18"/>
      <c r="N50" s="18"/>
      <c r="O50" s="18"/>
      <c r="P50" s="18"/>
      <c r="Q50" s="420">
        <f ca="1">Q48+Q49</f>
      </c>
      <c r="R50" s="4"/>
    </row>
    <row r="51" spans="2:18" ht="16.2" thickBot="1">
      <c r="B51" s="2"/>
      <c r="C51" s="6"/>
      <c r="D51" s="194" t="s">
        <v>85</v>
      </c>
      <c r="E51" s="195"/>
      <c r="F51" s="195"/>
      <c r="G51" s="195"/>
      <c r="H51" s="195"/>
      <c r="I51" s="195"/>
      <c r="J51" s="421"/>
      <c r="K51" s="195"/>
      <c r="L51" s="195"/>
      <c r="M51" s="195"/>
      <c r="N51" s="195"/>
      <c r="O51" s="195"/>
      <c r="P51" s="195"/>
      <c r="Q51" s="422">
        <f ca="1">Q50</f>
      </c>
      <c r="R51" s="4"/>
    </row>
    <row r="52" spans="2:18" ht="16.2" thickTop="1">
      <c r="B52" s="2"/>
      <c r="C52" s="6"/>
      <c r="D52" s="6"/>
      <c r="E52" s="6"/>
      <c r="F52" s="6"/>
      <c r="G52" s="6"/>
      <c r="H52" s="6"/>
      <c r="I52" s="6"/>
      <c r="J52" s="12"/>
      <c r="K52" s="6"/>
      <c r="L52" s="6"/>
      <c r="M52" s="6"/>
      <c r="N52" s="6"/>
      <c r="O52" s="6"/>
      <c r="P52" s="6"/>
      <c r="Q52" s="423"/>
      <c r="R52" s="4"/>
    </row>
    <row r="53" spans="2:18" ht="30.75" customHeight="1">
      <c r="B53" s="2"/>
      <c r="C53" s="592" t="s">
        <v>37</v>
      </c>
      <c r="D53" s="592"/>
      <c r="E53" s="19" t="s">
        <v>2</v>
      </c>
      <c r="F53" s="593">
        <f ca="1">" ==  "&amp;PROPER(IF(Q51=0,"nol",IF(Q51&lt;0,"minus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IF(--MID(TEXT(ABS(Q51),"000000000000000"),1,3)=0,"",MID(TEXT(ABS(Q51),"000000000000000"),1,1)&amp;" ratus "&amp;MID(TEXT(ABS(Q51),"000000000000000"),2,1)&amp;" puluh "&amp;MID(TEXT(ABS(Q51),"000000000000000"),3,1)&amp;" trilyun ")&amp; IF(--MID(TEXT(ABS(Q51),"000000000000000"),4,3)=0,"",MID(TEXT(ABS(Q51),"000000000000000"),4,1)&amp;" ratus "&amp;MID(TEXT(ABS(Q51),"000000000000000"),5,1)&amp;" puluh "&amp;MID(TEXT(ABS(Q51),"000000000000000"),6,1)&amp;" milyar ")&amp; IF(--MID(TEXT(ABS(Q51),"000000000000000"),7,3)=0,"",MID(TEXT(ABS(Q51),"000000000000000"),7,1)&amp;" ratus "&amp;MID(TEXT(ABS(Q51),"000000000000000"),8,1)&amp;" puluh "&amp;MID(TEXT(ABS(Q51),"000000000000000"),9,1)&amp;" juta ")&amp; IF(--MID(TEXT(ABS(Q51),"000000000000000"),10,3)=0,"",IF(--MID(TEXT(ABS(Q51),"000000000000000"),10,3)=1,"*",MID(TEXT(ABS(Q51),"000000000000000"),10,1)&amp;" ratus "&amp;MID(TEXT(ABS(Q51),"000000000000000"),11,1)&amp;" puluh ")&amp;MID(TEXT(ABS(Q51),"000000000000000"),12,1)&amp;" ribu ")&amp; IF(--MID(TEXT(ABS(Q51),"000000000000000"),13,3)=0,"",MID(TEXT(ABS(Q51),"000000000000000"),13,1)&amp;" ratus "&amp;MID(TEXT(ABS(Q51),"000000000000000"),14,1)&amp;" puluh "&amp;MID(TEXT(ABS(Q51),"000000000000000"),15,1)),1,"satu"),2,"dua"),3,"tiga"),4,"empat"),5,"lima"),6,"enam"),7,"tujuh"),8,"delapan"),9,"sembilan"),"0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 =="</f>
      </c>
      <c r="G53" s="594"/>
      <c r="H53" s="594"/>
      <c r="I53" s="594"/>
      <c r="J53" s="594"/>
      <c r="K53" s="594"/>
      <c r="L53" s="594"/>
      <c r="M53" s="594"/>
      <c r="N53" s="594"/>
      <c r="O53" s="594"/>
      <c r="P53" s="594"/>
      <c r="Q53" s="594"/>
      <c r="R53" s="7"/>
    </row>
    <row r="54" spans="2:18">
      <c r="B54" s="2"/>
      <c r="C54" s="6" t="s">
        <v>86</v>
      </c>
      <c r="D54" s="6"/>
      <c r="E54" s="6"/>
      <c r="F54" s="6"/>
      <c r="G54" s="6"/>
      <c r="H54" s="6"/>
      <c r="I54" s="6"/>
      <c r="J54" s="12"/>
      <c r="K54" s="6"/>
      <c r="L54" s="6"/>
      <c r="M54" s="6"/>
      <c r="N54" s="6"/>
      <c r="O54" s="6"/>
      <c r="P54" s="6"/>
      <c r="Q54" s="6"/>
      <c r="R54" s="4"/>
    </row>
    <row r="55" spans="2:18">
      <c r="B55" s="2"/>
      <c r="C55" s="6"/>
      <c r="D55" s="6"/>
      <c r="E55" s="6"/>
      <c r="F55" s="75"/>
      <c r="G55" s="6"/>
      <c r="H55" s="6"/>
      <c r="I55" s="6"/>
      <c r="J55" s="12"/>
      <c r="K55" s="6"/>
      <c r="L55" s="6"/>
      <c r="M55" s="6"/>
      <c r="N55" s="6"/>
      <c r="O55" s="6"/>
      <c r="P55" s="6"/>
      <c r="Q55" s="6"/>
      <c r="R55" s="4"/>
    </row>
    <row r="56" spans="2:18">
      <c r="B56" s="2"/>
      <c r="C56" s="6"/>
      <c r="D56" s="6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4"/>
    </row>
    <row r="57" spans="2:18">
      <c r="B57" s="2"/>
      <c r="C57" s="588" t="s">
        <v>39</v>
      </c>
      <c r="D57" s="588"/>
      <c r="E57" s="588"/>
      <c r="F57" s="588"/>
      <c r="G57" s="588"/>
      <c r="H57" s="588"/>
      <c r="I57" s="6"/>
      <c r="J57" s="6"/>
      <c r="K57" s="6"/>
      <c r="L57" s="6"/>
      <c r="M57" s="6"/>
      <c r="N57" s="6"/>
      <c r="O57" s="6"/>
      <c r="P57" s="588" t="s">
        <v>40</v>
      </c>
      <c r="Q57" s="588"/>
      <c r="R57" s="4"/>
    </row>
    <row r="58" spans="2:18">
      <c r="B58" s="2"/>
      <c r="C58" s="588">
        <f>UPPER(DATA!$B$24)</f>
      </c>
      <c r="D58" s="588"/>
      <c r="E58" s="588"/>
      <c r="F58" s="588"/>
      <c r="G58" s="588"/>
      <c r="H58" s="588"/>
      <c r="I58" s="6"/>
      <c r="J58" s="6"/>
      <c r="K58" s="6"/>
      <c r="L58" s="6"/>
      <c r="M58" s="6"/>
      <c r="N58" s="6"/>
      <c r="O58" s="6"/>
      <c r="P58" s="588">
        <f>UPPER(DATA!$B$17)</f>
      </c>
      <c r="Q58" s="588"/>
      <c r="R58" s="4"/>
    </row>
    <row r="59" spans="2:18">
      <c r="B59" s="2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588"/>
      <c r="Q59" s="588"/>
      <c r="R59" s="4"/>
    </row>
    <row r="60" spans="2:18">
      <c r="B60" s="2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5"/>
      <c r="Q60" s="5"/>
      <c r="R60" s="4"/>
    </row>
    <row r="61" spans="2:18">
      <c r="B61" s="2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5"/>
      <c r="Q61" s="5"/>
      <c r="R61" s="4"/>
    </row>
    <row r="62" spans="2:18">
      <c r="B62" s="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5"/>
      <c r="Q62" s="5"/>
      <c r="R62" s="4"/>
    </row>
    <row r="63" spans="2:18">
      <c r="B63" s="2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4"/>
    </row>
    <row r="64" spans="2:18">
      <c r="B64" s="2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4"/>
    </row>
    <row r="65" spans="2:18">
      <c r="B65" s="2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4"/>
    </row>
    <row r="66" spans="2:18">
      <c r="B66" s="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4"/>
    </row>
    <row r="67" spans="2:18">
      <c r="B67" s="2"/>
      <c r="C67" s="589">
        <f>DATA!$B$22</f>
      </c>
      <c r="D67" s="589"/>
      <c r="E67" s="589"/>
      <c r="F67" s="589"/>
      <c r="G67" s="589"/>
      <c r="H67" s="589"/>
      <c r="I67" s="6"/>
      <c r="J67" s="590"/>
      <c r="K67" s="590"/>
      <c r="L67" s="590"/>
      <c r="M67" s="590"/>
      <c r="N67" s="21"/>
      <c r="O67" s="21"/>
      <c r="P67" s="589">
        <f>DATA!$B$69</f>
      </c>
      <c r="Q67" s="589"/>
      <c r="R67" s="4"/>
    </row>
    <row r="68" spans="2:18">
      <c r="B68" s="2"/>
      <c r="C68" s="588">
        <f>DATA!$B$23</f>
      </c>
      <c r="D68" s="588"/>
      <c r="E68" s="588"/>
      <c r="F68" s="588"/>
      <c r="G68" s="588"/>
      <c r="H68" s="588"/>
      <c r="I68" s="6"/>
      <c r="J68" s="21"/>
      <c r="K68" s="21"/>
      <c r="L68" s="21"/>
      <c r="M68" s="21"/>
      <c r="N68" s="21"/>
      <c r="O68" s="21"/>
      <c r="P68" s="588">
        <f>DATA!$B$70</f>
      </c>
      <c r="Q68" s="588"/>
      <c r="R68" s="4"/>
    </row>
    <row r="69" spans="2:18" ht="9" customHeight="1" thickBot="1"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4"/>
    </row>
    <row r="70" spans="2:18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2:18">
      <c r="C71" s="6"/>
      <c r="D71" s="6"/>
      <c r="E71" s="6"/>
      <c r="F71" s="245">
        <f ca="1">""&amp;PROPER(IF(Q51=0,"nol",IF(Q51&lt;0,"minus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IF(--MID(TEXT(ABS(Q51),"000000000000000"),1,3)=0,"",MID(TEXT(ABS(Q51),"000000000000000"),1,1)&amp;" ratus "&amp;MID(TEXT(ABS(Q51),"000000000000000"),2,1)&amp;" puluh "&amp;MID(TEXT(ABS(Q51),"000000000000000"),3,1)&amp;" trilyun ")&amp; IF(--MID(TEXT(ABS(Q51),"000000000000000"),4,3)=0,"",MID(TEXT(ABS(Q51),"000000000000000"),4,1)&amp;" ratus "&amp;MID(TEXT(ABS(Q51),"000000000000000"),5,1)&amp;" puluh "&amp;MID(TEXT(ABS(Q51),"000000000000000"),6,1)&amp;" milyar ")&amp; IF(--MID(TEXT(ABS(Q51),"000000000000000"),7,3)=0,"",MID(TEXT(ABS(Q51),"000000000000000"),7,1)&amp;" ratus "&amp;MID(TEXT(ABS(Q51),"000000000000000"),8,1)&amp;" puluh "&amp;MID(TEXT(ABS(Q51),"000000000000000"),9,1)&amp;" juta ")&amp; IF(--MID(TEXT(ABS(Q51),"000000000000000"),10,3)=0,"",IF(--MID(TEXT(ABS(Q51),"000000000000000"),10,3)=1,"*",MID(TEXT(ABS(Q51),"000000000000000"),10,1)&amp;" ratus "&amp;MID(TEXT(ABS(Q51),"000000000000000"),11,1)&amp;" puluh ")&amp;MID(TEXT(ABS(Q51),"000000000000000"),12,1)&amp;" ribu ")&amp; IF(--MID(TEXT(ABS(Q51),"000000000000000"),13,3)=0,"",MID(TEXT(ABS(Q51),"000000000000000"),13,1)&amp;" ratus "&amp;MID(TEXT(ABS(Q51),"000000000000000"),14,1)&amp;" puluh "&amp;MID(TEXT(ABS(Q51),"000000000000000"),15,1)),1,"satu"),2,"dua"),3,"tiga"),4,"empat"),5,"lima"),6,"enam"),7,"tujuh"),8,"delapan"),9,"sembilan"),"0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Rupiah"</f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2:18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2:18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</sheetData>
  <mergeCells count="39">
    <mergeCell ref="C68:H68"/>
    <mergeCell ref="P68:Q68"/>
    <mergeCell ref="C58:H58"/>
    <mergeCell ref="P58:Q58"/>
    <mergeCell ref="P59:Q59"/>
    <mergeCell ref="C67:H67"/>
    <mergeCell ref="J67:M67"/>
    <mergeCell ref="P67:Q67"/>
    <mergeCell ref="J41:K41"/>
    <mergeCell ref="J42:K42"/>
    <mergeCell ref="C53:D53"/>
    <mergeCell ref="F53:Q53"/>
    <mergeCell ref="C57:H57"/>
    <mergeCell ref="P57:Q57"/>
    <mergeCell ref="T15:AB15"/>
    <mergeCell ref="J16:Q16"/>
    <mergeCell ref="C18:Q18"/>
    <mergeCell ref="K22:R22"/>
    <mergeCell ref="J40:K40"/>
    <mergeCell ref="K24:M24"/>
    <mergeCell ref="K25:M25"/>
    <mergeCell ref="C28:Q28"/>
    <mergeCell ref="T28:W28"/>
    <mergeCell ref="J29:K29"/>
    <mergeCell ref="J30:K30"/>
    <mergeCell ref="J31:K31"/>
    <mergeCell ref="J32:K32"/>
    <mergeCell ref="J35:K35"/>
    <mergeCell ref="J36:K36"/>
    <mergeCell ref="J37:K37"/>
    <mergeCell ref="K23:L23"/>
    <mergeCell ref="N23:P23"/>
    <mergeCell ref="C4:Q4"/>
    <mergeCell ref="C6:Q6"/>
    <mergeCell ref="C7:Q7"/>
    <mergeCell ref="C10:Q10"/>
    <mergeCell ref="C11:Q11"/>
    <mergeCell ref="C13:Q13"/>
    <mergeCell ref="J15:Q15"/>
  </mergeCells>
  <pageMargins left="0.34" right="0.25" top="0.75" bottom="0.38" header="0.3" footer="0.3"/>
  <pageSetup paperSize="9" scale="62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C37A-5885-4DCE-A026-541CBD837A3A}">
  <sheetPr>
    <tabColor rgb="FF92D050"/>
  </sheetPr>
  <dimension ref="B1:AB73"/>
  <sheetViews>
    <sheetView showGridLines="0" topLeftCell="A51" zoomScale="70" zoomScaleNormal="70" zoomScaleSheetLayoutView="70" workbookViewId="0">
      <selection activeCell="M75" sqref="M75"/>
    </sheetView>
  </sheetViews>
  <sheetFormatPr defaultColWidth="8.81640625" defaultRowHeight="15.6"/>
  <cols>
    <col min="1" max="1" width="10.81640625" style="1" customWidth="1"/>
    <col min="2" max="2" width="3.08984375" style="1" customWidth="1"/>
    <col min="3" max="3" width="2.453125" style="1" customWidth="1"/>
    <col min="4" max="4" width="6.81640625" style="1" customWidth="1"/>
    <col min="5" max="5" width="3.81640625" style="1" customWidth="1"/>
    <col min="6" max="7" width="5.81640625" style="1" customWidth="1"/>
    <col min="8" max="8" width="9.453125" style="1" customWidth="1"/>
    <col min="9" max="9" width="3.54296875" style="1" bestFit="1" customWidth="1"/>
    <col min="10" max="10" width="3" style="1" customWidth="1"/>
    <col min="11" max="11" width="9" style="1" customWidth="1"/>
    <col min="12" max="12" width="8.08984375" style="1" customWidth="1"/>
    <col min="13" max="13" width="20.81640625" style="1" customWidth="1"/>
    <col min="14" max="14" width="2.81640625" style="1" bestFit="1" customWidth="1"/>
    <col min="15" max="15" width="5" style="1" customWidth="1"/>
    <col min="16" max="16" width="19" style="1" customWidth="1"/>
    <col min="17" max="17" width="22.36328125" style="1" customWidth="1"/>
    <col min="18" max="18" width="0.81640625" style="1" customWidth="1"/>
    <col min="19" max="19" width="4.54296875" style="1" customWidth="1"/>
    <col min="20" max="22" width="8.81640625" style="1"/>
    <col min="23" max="23" width="25.08984375" style="1" customWidth="1"/>
    <col min="24" max="16384" width="8.81640625" style="1"/>
  </cols>
  <sheetData>
    <row r="1" spans="2:28" ht="16.2" thickBot="1"/>
    <row r="2" spans="2:28" ht="9" customHeight="1">
      <c r="B2" s="262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4"/>
    </row>
    <row r="3" spans="2:28" ht="24" customHeight="1">
      <c r="B3" s="2"/>
      <c r="E3" s="3"/>
      <c r="R3" s="4"/>
      <c r="T3" s="265" cm="1">
        <f t="array" ref="T3">INDEX(DATA!$B$99:$B$104,$T$9)</f>
      </c>
      <c r="U3" s="265"/>
      <c r="V3" s="265">
        <f>TEXT($T$3,"[$-21]dd mmmm yyyy")</f>
      </c>
      <c r="W3" s="58">
        <f>TEXT($T3,"[$-21]dd mmmm yyyy")</f>
      </c>
    </row>
    <row r="4" spans="2:28" ht="24" customHeight="1">
      <c r="B4" s="2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604"/>
      <c r="O4" s="604"/>
      <c r="P4" s="604"/>
      <c r="Q4" s="604"/>
      <c r="R4" s="4"/>
      <c r="T4" s="265">
        <f>TEXT($T$3,"[$-21]dddd")</f>
      </c>
    </row>
    <row r="5" spans="2:28" ht="24" customHeight="1">
      <c r="B5" s="2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4"/>
      <c r="T5" s="265">
        <f>VLOOKUP(DAY($T$3),HELPER!$A$2:$B$100,2,0)</f>
      </c>
    </row>
    <row r="6" spans="2:28" ht="24" customHeight="1">
      <c r="B6" s="2"/>
      <c r="C6" s="604"/>
      <c r="D6" s="604"/>
      <c r="E6" s="604"/>
      <c r="F6" s="604"/>
      <c r="G6" s="604"/>
      <c r="H6" s="604"/>
      <c r="I6" s="604"/>
      <c r="J6" s="604"/>
      <c r="K6" s="604"/>
      <c r="L6" s="604"/>
      <c r="M6" s="604"/>
      <c r="N6" s="604"/>
      <c r="O6" s="604"/>
      <c r="P6" s="604"/>
      <c r="Q6" s="604"/>
      <c r="R6" s="4"/>
      <c r="T6" s="265">
        <f>TEXT($T$3,"[$-21]mmmm")</f>
      </c>
    </row>
    <row r="7" spans="2:28" ht="24" hidden="1" customHeight="1">
      <c r="B7" s="2"/>
      <c r="C7" s="605"/>
      <c r="D7" s="605"/>
      <c r="E7" s="605"/>
      <c r="F7" s="605"/>
      <c r="G7" s="605"/>
      <c r="H7" s="605"/>
      <c r="I7" s="605"/>
      <c r="J7" s="605"/>
      <c r="K7" s="605"/>
      <c r="L7" s="605"/>
      <c r="M7" s="605"/>
      <c r="N7" s="605"/>
      <c r="O7" s="605"/>
      <c r="P7" s="605"/>
      <c r="Q7" s="605"/>
      <c r="R7" s="4"/>
      <c r="T7" s="265">
        <f>"Dua Ribu"&amp;IF(MOD(YEAR($T$3),100)=0,""," "&amp;VLOOKUP(MOD(YEAR($T$3),100),HELPER!$A$2:$B$100,2,0))</f>
      </c>
    </row>
    <row r="8" spans="2:28" ht="16.2" hidden="1" thickBot="1">
      <c r="B8" s="2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4"/>
      <c r="T8" s="470" t="s">
        <v>51</v>
      </c>
    </row>
    <row r="9" spans="2:28">
      <c r="B9" s="2"/>
      <c r="R9" s="4"/>
      <c r="T9" s="471">
        <v>5</v>
      </c>
    </row>
    <row r="10" spans="2:28" ht="20.399999999999999">
      <c r="B10" s="2"/>
      <c r="C10" s="606" t="s">
        <v>52</v>
      </c>
      <c r="D10" s="606"/>
      <c r="E10" s="606"/>
      <c r="F10" s="606"/>
      <c r="G10" s="606"/>
      <c r="H10" s="606"/>
      <c r="I10" s="606"/>
      <c r="J10" s="606"/>
      <c r="K10" s="606"/>
      <c r="L10" s="606"/>
      <c r="M10" s="606"/>
      <c r="N10" s="606"/>
      <c r="O10" s="606"/>
      <c r="P10" s="606"/>
      <c r="Q10" s="606"/>
      <c r="R10" s="4"/>
    </row>
    <row r="11" spans="2:28">
      <c r="B11" s="2"/>
      <c r="C11" s="588">
        <f>TEXT($T$9,"00")&amp;"/BAP/"&amp;DATA!$B$4</f>
      </c>
      <c r="D11" s="588"/>
      <c r="E11" s="588"/>
      <c r="F11" s="588"/>
      <c r="G11" s="588"/>
      <c r="H11" s="588"/>
      <c r="I11" s="588"/>
      <c r="J11" s="588"/>
      <c r="K11" s="588"/>
      <c r="L11" s="588"/>
      <c r="M11" s="588"/>
      <c r="N11" s="588"/>
      <c r="O11" s="588"/>
      <c r="P11" s="588"/>
      <c r="Q11" s="588"/>
      <c r="R11" s="4"/>
    </row>
    <row r="12" spans="2:28">
      <c r="B12" s="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4"/>
    </row>
    <row r="13" spans="2:28">
      <c r="B13" s="2"/>
      <c r="C13" s="597">
        <f>"Pada hari ini "&amp;T4&amp;" tanggal "&amp;T5&amp;" bulan "&amp;T6&amp;" tahun "&amp;T7&amp;" ("&amp;V3&amp;"), kami yang bertandatangan di bawah ini:"</f>
      </c>
      <c r="D13" s="597"/>
      <c r="E13" s="597"/>
      <c r="F13" s="597"/>
      <c r="G13" s="597"/>
      <c r="H13" s="597"/>
      <c r="I13" s="597"/>
      <c r="J13" s="597"/>
      <c r="K13" s="597"/>
      <c r="L13" s="597"/>
      <c r="M13" s="597"/>
      <c r="N13" s="597"/>
      <c r="O13" s="597"/>
      <c r="P13" s="597"/>
      <c r="Q13" s="597"/>
      <c r="R13" s="7"/>
      <c r="S13" s="8"/>
    </row>
    <row r="14" spans="2:28">
      <c r="B14" s="2"/>
      <c r="C14" s="6"/>
      <c r="D14" s="7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4"/>
    </row>
    <row r="15" spans="2:28" ht="66.45" customHeight="1">
      <c r="B15" s="2"/>
      <c r="C15" s="9">
        <v>1</v>
      </c>
      <c r="D15" s="67">
        <f>DATA!$B$69</f>
      </c>
      <c r="E15" s="10"/>
      <c r="F15" s="10"/>
      <c r="G15" s="10"/>
      <c r="H15" s="10"/>
      <c r="I15" s="11" t="s">
        <v>2</v>
      </c>
      <c r="J15" s="597">
        <f>"Selaku "&amp;DATA!$B$70&amp;", "&amp;DATA!$B$7&amp;", dalam hal ini bertindak untuk dan atas nama "&amp;DATA!$B$17&amp;" yang berkedudukan di "&amp;DATA!$B$18&amp;" (selanjutnya disebut sebagai PIHAK PERTAMA)."</f>
      </c>
      <c r="K15" s="597"/>
      <c r="L15" s="597"/>
      <c r="M15" s="597"/>
      <c r="N15" s="597"/>
      <c r="O15" s="597"/>
      <c r="P15" s="597"/>
      <c r="Q15" s="597"/>
      <c r="R15" s="4"/>
      <c r="T15" s="595"/>
      <c r="U15" s="595"/>
      <c r="V15" s="595"/>
      <c r="W15" s="595"/>
      <c r="X15" s="595"/>
      <c r="Y15" s="595"/>
      <c r="Z15" s="595"/>
      <c r="AA15" s="595"/>
      <c r="AB15" s="595"/>
    </row>
    <row r="16" spans="2:28" ht="58.2" customHeight="1">
      <c r="B16" s="2"/>
      <c r="C16" s="9">
        <v>2</v>
      </c>
      <c r="D16" s="67">
        <f>DATA!$B$22</f>
      </c>
      <c r="E16" s="10"/>
      <c r="F16" s="10"/>
      <c r="G16" s="10"/>
      <c r="H16" s="10"/>
      <c r="I16" s="11" t="s">
        <v>2</v>
      </c>
      <c r="J16" s="596">
        <f>"Selaku "&amp;DATA!$B$23&amp;" "&amp;DATA!$B$24&amp;", dalam hal ini bertindak untuk dan atas nama "&amp;DATA!$B$24&amp;" yang berkedudukan di "&amp;DATA!$B$25&amp;" (selanjutnya disebut sebagai PIHAK KEDUA)."</f>
      </c>
      <c r="K16" s="597"/>
      <c r="L16" s="597"/>
      <c r="M16" s="597"/>
      <c r="N16" s="597"/>
      <c r="O16" s="597"/>
      <c r="P16" s="597"/>
      <c r="Q16" s="597"/>
      <c r="R16" s="4"/>
    </row>
    <row r="17" spans="2:23" ht="8.25" customHeight="1">
      <c r="B17" s="2"/>
      <c r="C17" s="6"/>
      <c r="D17" s="6"/>
      <c r="E17" s="6"/>
      <c r="F17" s="6"/>
      <c r="G17" s="6"/>
      <c r="H17" s="6"/>
      <c r="I17" s="6"/>
      <c r="J17" s="12"/>
      <c r="K17" s="6"/>
      <c r="L17" s="6"/>
      <c r="M17" s="6"/>
      <c r="N17" s="6"/>
      <c r="O17" s="6"/>
      <c r="P17" s="6"/>
      <c r="Q17" s="6"/>
      <c r="R17" s="4"/>
    </row>
    <row r="18" spans="2:23" ht="40.5" customHeight="1">
      <c r="B18" s="2"/>
      <c r="C18" s="598">
        <f>"Menerangkan bahwa kedua belah pihak, telah melakukan pemeriksaan atas "&amp;DATA!$B$6&amp;" pada "&amp;DATA!$B$7&amp;", dan berdasarkan :"</f>
      </c>
      <c r="D18" s="598"/>
      <c r="E18" s="598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598"/>
      <c r="Q18" s="598"/>
      <c r="R18" s="4"/>
    </row>
    <row r="19" spans="2:23" ht="7.5" customHeight="1">
      <c r="B19" s="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4"/>
    </row>
    <row r="20" spans="2:23">
      <c r="B20" s="2"/>
      <c r="C20" s="6"/>
      <c r="D20" s="6" t="s">
        <v>53</v>
      </c>
      <c r="E20" s="6"/>
      <c r="F20" s="6"/>
      <c r="G20" s="6"/>
      <c r="H20" s="6"/>
      <c r="I20" s="6"/>
      <c r="J20" s="12" t="s">
        <v>2</v>
      </c>
      <c r="K20" s="68">
        <f>DATA!$B$4</f>
      </c>
      <c r="L20" s="14"/>
      <c r="M20" s="14"/>
      <c r="N20" s="6" t="s">
        <v>54</v>
      </c>
      <c r="O20" s="6"/>
      <c r="P20" s="76">
        <f>TEXT(DATA!$B$5,"[$-21]dd mmmm yyyy")</f>
      </c>
      <c r="Q20" s="6"/>
      <c r="R20" s="4"/>
    </row>
    <row r="21" spans="2:23" hidden="1">
      <c r="B21" s="2"/>
      <c r="C21" s="6"/>
      <c r="D21" s="6" t="s">
        <v>55</v>
      </c>
      <c r="E21" s="6"/>
      <c r="F21" s="6"/>
      <c r="G21" s="6"/>
      <c r="H21" s="6"/>
      <c r="I21" s="6"/>
      <c r="J21" s="12" t="s">
        <v>2</v>
      </c>
      <c r="K21" s="6" t="s">
        <v>4</v>
      </c>
      <c r="L21" s="6"/>
      <c r="M21" s="6"/>
      <c r="N21" s="6"/>
      <c r="O21" s="6"/>
      <c r="P21" s="15"/>
      <c r="Q21" s="6"/>
      <c r="R21" s="4"/>
    </row>
    <row r="22" spans="2:23" hidden="1">
      <c r="B22" s="2"/>
      <c r="C22" s="6"/>
      <c r="D22" s="11" t="s">
        <v>56</v>
      </c>
      <c r="E22" s="11"/>
      <c r="F22" s="11"/>
      <c r="G22" s="11"/>
      <c r="H22" s="11"/>
      <c r="I22" s="11"/>
      <c r="J22" s="70" t="s">
        <v>2</v>
      </c>
      <c r="K22" s="599">
        <f>DATA!$B$6</f>
      </c>
      <c r="L22" s="599"/>
      <c r="M22" s="599"/>
      <c r="N22" s="599"/>
      <c r="O22" s="599"/>
      <c r="P22" s="599"/>
      <c r="Q22" s="599"/>
      <c r="R22" s="600"/>
    </row>
    <row r="23" spans="2:23" ht="19.2" customHeight="1">
      <c r="B23" s="2"/>
      <c r="C23" s="6"/>
      <c r="D23" s="6" t="s">
        <v>57</v>
      </c>
      <c r="E23" s="6"/>
      <c r="F23" s="6"/>
      <c r="G23" s="6"/>
      <c r="H23" s="6"/>
      <c r="I23" s="6"/>
      <c r="J23" s="12" t="s">
        <v>2</v>
      </c>
      <c r="K23" s="603">
        <f>TEXT(DATA!$B$8,"[$-21]dd mmmm yyyy")</f>
      </c>
      <c r="L23" s="603"/>
      <c r="M23" s="5" t="s">
        <v>58</v>
      </c>
      <c r="N23" s="603">
        <f>TEXT(DATA!$B$9,"[$-21]dd mmmm yyyy")</f>
      </c>
      <c r="O23" s="603"/>
      <c r="P23" s="603"/>
      <c r="Q23" s="6"/>
      <c r="R23" s="4"/>
    </row>
    <row r="24" spans="2:23" ht="21.6" customHeight="1">
      <c r="B24" s="2"/>
      <c r="C24" s="6"/>
      <c r="D24" s="6" t="s">
        <v>59</v>
      </c>
      <c r="E24" s="6"/>
      <c r="F24" s="6"/>
      <c r="G24" s="6"/>
      <c r="H24" s="6"/>
      <c r="I24" s="6"/>
      <c r="J24" s="12" t="s">
        <v>2</v>
      </c>
      <c r="K24" s="601">
        <f>#REF!</f>
      </c>
      <c r="L24" s="601"/>
      <c r="M24" s="601"/>
      <c r="N24" s="16"/>
      <c r="O24" s="16"/>
      <c r="P24" s="17" t="s">
        <v>60</v>
      </c>
      <c r="Q24" s="6"/>
      <c r="R24" s="4"/>
    </row>
    <row r="25" spans="2:23" hidden="1">
      <c r="B25" s="2"/>
      <c r="C25" s="6"/>
      <c r="D25" s="6" t="s">
        <v>61</v>
      </c>
      <c r="E25" s="6"/>
      <c r="F25" s="6"/>
      <c r="G25" s="6"/>
      <c r="H25" s="6"/>
      <c r="I25" s="6"/>
      <c r="J25" s="12" t="s">
        <v>2</v>
      </c>
      <c r="K25" s="601">
        <v>0</v>
      </c>
      <c r="L25" s="601"/>
      <c r="M25" s="601"/>
      <c r="N25" s="16"/>
      <c r="O25" s="16"/>
      <c r="P25" s="17" t="s">
        <v>62</v>
      </c>
      <c r="Q25" s="6"/>
      <c r="R25" s="4"/>
    </row>
    <row r="26" spans="2:23" hidden="1">
      <c r="B26" s="2"/>
      <c r="C26" s="6"/>
      <c r="D26" s="6" t="s">
        <v>11</v>
      </c>
      <c r="E26" s="6"/>
      <c r="F26" s="6"/>
      <c r="G26" s="6"/>
      <c r="H26" s="6"/>
      <c r="I26" s="6"/>
      <c r="J26" s="12" t="s">
        <v>2</v>
      </c>
      <c r="K26" s="217">
        <f>DATA!$B$46</f>
      </c>
      <c r="L26" s="6"/>
      <c r="M26" s="26"/>
      <c r="N26" s="6"/>
      <c r="O26" s="6"/>
      <c r="P26" s="6"/>
      <c r="Q26" s="6"/>
      <c r="R26" s="4"/>
    </row>
    <row r="27" spans="2:23" hidden="1">
      <c r="B27" s="2"/>
      <c r="C27" s="6"/>
      <c r="D27" s="6" t="s">
        <v>14</v>
      </c>
      <c r="E27" s="6"/>
      <c r="F27" s="6"/>
      <c r="G27" s="6"/>
      <c r="H27" s="6"/>
      <c r="I27" s="6"/>
      <c r="J27" s="12" t="s">
        <v>2</v>
      </c>
      <c r="K27" s="217">
        <f>DATA!$B$47</f>
      </c>
      <c r="L27" s="6"/>
      <c r="M27" s="26"/>
      <c r="N27" s="6"/>
      <c r="O27" s="6"/>
      <c r="P27" s="6"/>
      <c r="Q27" s="6"/>
      <c r="R27" s="4"/>
    </row>
    <row r="28" spans="2:23" ht="49.5" customHeight="1">
      <c r="B28" s="2"/>
      <c r="C28" s="602">
        <f ca="1">"Menyatakan bahwa prestasi pekerjaan yang dicapai oleh PIHAK KEDUA sampai dengan tanggal "&amp;TEXT($T$3,"[$-21]dd mmmm yyyy")&amp;" adalah "&amp;TEXT('BAPP 5'!$K$194,"0.00%")&amp;" sesuai dengan Berita Acara Pemeriksaan Pekerjaan No. "&amp;'BAPP 5'!$B$10&amp;", dengan rincian sebagai berikut :"</f>
      </c>
      <c r="D28" s="598"/>
      <c r="E28" s="598"/>
      <c r="F28" s="598"/>
      <c r="G28" s="598"/>
      <c r="H28" s="598"/>
      <c r="I28" s="598"/>
      <c r="J28" s="598"/>
      <c r="K28" s="598"/>
      <c r="L28" s="598"/>
      <c r="M28" s="598"/>
      <c r="N28" s="598"/>
      <c r="O28" s="598"/>
      <c r="P28" s="598"/>
      <c r="Q28" s="598"/>
      <c r="R28" s="4"/>
      <c r="T28" s="598"/>
      <c r="U28" s="598"/>
      <c r="V28" s="598"/>
      <c r="W28" s="598"/>
    </row>
    <row r="29" spans="2:23">
      <c r="B29" s="2"/>
      <c r="C29" s="6" t="s">
        <v>63</v>
      </c>
      <c r="D29" s="25" t="s">
        <v>64</v>
      </c>
      <c r="E29" s="6"/>
      <c r="F29" s="6"/>
      <c r="G29" s="6"/>
      <c r="H29" s="6"/>
      <c r="I29" s="6"/>
      <c r="J29" s="591"/>
      <c r="K29" s="591"/>
      <c r="L29" s="6"/>
      <c r="M29" s="6" t="s">
        <v>65</v>
      </c>
      <c r="N29" s="6"/>
      <c r="O29" s="6"/>
      <c r="P29" s="6"/>
      <c r="Q29" s="6"/>
      <c r="R29" s="4"/>
    </row>
    <row r="30" spans="2:23">
      <c r="B30" s="2"/>
      <c r="C30" s="12" t="s">
        <v>4</v>
      </c>
      <c r="D30" s="6" t="s">
        <v>66</v>
      </c>
      <c r="E30" s="6"/>
      <c r="F30" s="6"/>
      <c r="G30" s="6"/>
      <c r="H30" s="6"/>
      <c r="I30" s="6" t="s">
        <v>13</v>
      </c>
      <c r="J30" s="591">
        <f ca="1">J32+J31</f>
      </c>
      <c r="K30" s="591"/>
      <c r="L30" s="6" t="s">
        <v>67</v>
      </c>
      <c r="M30" s="411">
        <f>$K$24</f>
      </c>
      <c r="N30" s="411" t="s">
        <v>13</v>
      </c>
      <c r="O30" s="411"/>
      <c r="P30" s="411">
        <f ca="1">J30*M30</f>
      </c>
      <c r="Q30" s="6"/>
      <c r="R30" s="4"/>
    </row>
    <row r="31" spans="2:23">
      <c r="B31" s="2"/>
      <c r="C31" s="12" t="s">
        <v>4</v>
      </c>
      <c r="D31" s="6" t="s">
        <v>68</v>
      </c>
      <c r="E31" s="6"/>
      <c r="F31" s="6"/>
      <c r="G31" s="6"/>
      <c r="H31" s="6"/>
      <c r="I31" s="6" t="s">
        <v>13</v>
      </c>
      <c r="J31" s="591">
        <f ca="1">'rincian 5'!T166</f>
      </c>
      <c r="K31" s="591"/>
      <c r="L31" s="6" t="s">
        <v>67</v>
      </c>
      <c r="M31" s="411">
        <f>$K$24</f>
      </c>
      <c r="N31" s="411" t="s">
        <v>13</v>
      </c>
      <c r="O31" s="411"/>
      <c r="P31" s="411">
        <f ca="1">J31*M31</f>
      </c>
      <c r="Q31" s="6"/>
      <c r="R31" s="4"/>
      <c r="W31" s="266"/>
    </row>
    <row r="32" spans="2:23">
      <c r="B32" s="2"/>
      <c r="C32" s="12" t="s">
        <v>4</v>
      </c>
      <c r="D32" s="6" t="s">
        <v>69</v>
      </c>
      <c r="E32" s="6"/>
      <c r="F32" s="6"/>
      <c r="G32" s="6"/>
      <c r="H32" s="6"/>
      <c r="I32" s="6" t="s">
        <v>13</v>
      </c>
      <c r="J32" s="591">
        <f ca="1">'BAPP 5'!K194</f>
      </c>
      <c r="K32" s="591"/>
      <c r="L32" s="6" t="s">
        <v>67</v>
      </c>
      <c r="M32" s="411">
        <f>$K$24</f>
      </c>
      <c r="N32" s="411" t="s">
        <v>13</v>
      </c>
      <c r="O32" s="411"/>
      <c r="P32" s="411">
        <f ca="1">J32*M32</f>
      </c>
      <c r="Q32" s="6"/>
      <c r="R32" s="4"/>
      <c r="W32" s="266"/>
    </row>
    <row r="33" spans="2:18">
      <c r="B33" s="2"/>
      <c r="C33" s="6"/>
      <c r="D33" s="6"/>
      <c r="E33" s="6"/>
      <c r="F33" s="6"/>
      <c r="G33" s="6"/>
      <c r="H33" s="6"/>
      <c r="I33" s="6"/>
      <c r="J33" s="12"/>
      <c r="K33" s="6"/>
      <c r="L33" s="6"/>
      <c r="M33" s="6"/>
      <c r="N33" s="6"/>
      <c r="O33" s="6"/>
      <c r="P33" s="6"/>
      <c r="Q33" s="412">
        <f ca="1">P32</f>
      </c>
      <c r="R33" s="4"/>
    </row>
    <row r="34" spans="2:18">
      <c r="B34" s="2"/>
      <c r="C34" s="6" t="s">
        <v>70</v>
      </c>
      <c r="D34" s="25" t="s">
        <v>71</v>
      </c>
      <c r="E34" s="6"/>
      <c r="F34" s="6"/>
      <c r="G34" s="6"/>
      <c r="H34" s="6"/>
      <c r="I34" s="6"/>
      <c r="J34" s="12"/>
      <c r="K34" s="6"/>
      <c r="L34" s="6"/>
      <c r="M34" s="6"/>
      <c r="N34" s="6"/>
      <c r="O34" s="6"/>
      <c r="P34" s="6"/>
      <c r="Q34" s="6"/>
      <c r="R34" s="4"/>
    </row>
    <row r="35" spans="2:18">
      <c r="B35" s="2"/>
      <c r="C35" s="6"/>
      <c r="D35" s="6" t="s">
        <v>72</v>
      </c>
      <c r="E35" s="6"/>
      <c r="F35" s="6"/>
      <c r="G35" s="6"/>
      <c r="H35" s="6"/>
      <c r="I35" s="6" t="s">
        <v>13</v>
      </c>
      <c r="J35" s="591">
        <f>$K$27</f>
      </c>
      <c r="K35" s="591"/>
      <c r="L35" s="6" t="s">
        <v>67</v>
      </c>
      <c r="M35" s="411">
        <f ca="1">M36+M37</f>
      </c>
      <c r="N35" s="411" t="s">
        <v>13</v>
      </c>
      <c r="O35" s="411"/>
      <c r="P35" s="413">
        <f ca="1">ROUND(J35*M35,0)</f>
      </c>
      <c r="Q35" s="6"/>
      <c r="R35" s="4"/>
    </row>
    <row r="36" spans="2:18">
      <c r="B36" s="2"/>
      <c r="C36" s="6"/>
      <c r="D36" s="6" t="s">
        <v>73</v>
      </c>
      <c r="E36" s="6"/>
      <c r="F36" s="6"/>
      <c r="G36" s="6"/>
      <c r="H36" s="6"/>
      <c r="I36" s="6" t="s">
        <v>13</v>
      </c>
      <c r="J36" s="591">
        <v>0</v>
      </c>
      <c r="K36" s="591"/>
      <c r="L36" s="6" t="s">
        <v>67</v>
      </c>
      <c r="M36" s="411">
        <v>0</v>
      </c>
      <c r="N36" s="411" t="s">
        <v>13</v>
      </c>
      <c r="O36" s="411"/>
      <c r="P36" s="411">
        <f>J36*M36</f>
      </c>
      <c r="Q36" s="6"/>
      <c r="R36" s="4"/>
    </row>
    <row r="37" spans="2:18">
      <c r="B37" s="2"/>
      <c r="C37" s="6"/>
      <c r="D37" s="6" t="s">
        <v>74</v>
      </c>
      <c r="E37" s="6"/>
      <c r="F37" s="6"/>
      <c r="G37" s="6"/>
      <c r="H37" s="6"/>
      <c r="I37" s="6" t="s">
        <v>13</v>
      </c>
      <c r="J37" s="591">
        <v>0</v>
      </c>
      <c r="K37" s="591"/>
      <c r="L37" s="6" t="s">
        <v>67</v>
      </c>
      <c r="M37" s="411">
        <f ca="1">P32</f>
      </c>
      <c r="N37" s="411" t="s">
        <v>13</v>
      </c>
      <c r="O37" s="411"/>
      <c r="P37" s="414">
        <f ca="1">ROUND(J37*M37,0)</f>
      </c>
      <c r="Q37" s="6"/>
      <c r="R37" s="4"/>
    </row>
    <row r="38" spans="2:18">
      <c r="B38" s="2"/>
      <c r="C38" s="6"/>
      <c r="D38" s="6"/>
      <c r="E38" s="6"/>
      <c r="F38" s="6"/>
      <c r="G38" s="6"/>
      <c r="H38" s="6"/>
      <c r="I38" s="6"/>
      <c r="J38" s="12"/>
      <c r="K38" s="6"/>
      <c r="L38" s="6"/>
      <c r="M38" s="6"/>
      <c r="N38" s="6"/>
      <c r="O38" s="6"/>
      <c r="P38" s="6"/>
      <c r="Q38" s="412">
        <f ca="1">P37</f>
      </c>
      <c r="R38" s="4"/>
    </row>
    <row r="39" spans="2:18">
      <c r="B39" s="2"/>
      <c r="C39" s="6" t="s">
        <v>75</v>
      </c>
      <c r="D39" s="25" t="s">
        <v>76</v>
      </c>
      <c r="E39" s="6"/>
      <c r="F39" s="6"/>
      <c r="G39" s="6"/>
      <c r="H39" s="6"/>
      <c r="I39" s="6"/>
      <c r="J39" s="12"/>
      <c r="K39" s="6"/>
      <c r="L39" s="6"/>
      <c r="M39" s="6"/>
      <c r="N39" s="6"/>
      <c r="O39" s="6"/>
      <c r="P39" s="6"/>
      <c r="Q39" s="6"/>
      <c r="R39" s="4"/>
    </row>
    <row r="40" spans="2:18">
      <c r="B40" s="2"/>
      <c r="C40" s="6"/>
      <c r="D40" s="6" t="s">
        <v>77</v>
      </c>
      <c r="E40" s="6"/>
      <c r="F40" s="6"/>
      <c r="G40" s="6"/>
      <c r="H40" s="6"/>
      <c r="I40" s="6" t="s">
        <v>13</v>
      </c>
      <c r="J40" s="591">
        <f>$K$26</f>
      </c>
      <c r="K40" s="591"/>
      <c r="L40" s="6" t="s">
        <v>67</v>
      </c>
      <c r="M40" s="411">
        <f ca="1">M42+M41</f>
      </c>
      <c r="N40" s="411" t="s">
        <v>13</v>
      </c>
      <c r="O40" s="411"/>
      <c r="P40" s="411">
        <f ca="1">ROUND(J40*M40,0)</f>
      </c>
      <c r="Q40" s="6"/>
      <c r="R40" s="4"/>
    </row>
    <row r="41" spans="2:18">
      <c r="B41" s="2"/>
      <c r="C41" s="6"/>
      <c r="D41" s="6" t="s">
        <v>78</v>
      </c>
      <c r="E41" s="6"/>
      <c r="F41" s="6"/>
      <c r="G41" s="6"/>
      <c r="H41" s="6"/>
      <c r="I41" s="6" t="s">
        <v>13</v>
      </c>
      <c r="J41" s="591">
        <v>0</v>
      </c>
      <c r="K41" s="591"/>
      <c r="L41" s="6" t="s">
        <v>67</v>
      </c>
      <c r="M41" s="411">
        <v>0</v>
      </c>
      <c r="N41" s="411" t="s">
        <v>13</v>
      </c>
      <c r="O41" s="411"/>
      <c r="P41" s="411">
        <f t="shared" ref="P41" si="0">J41*M41</f>
      </c>
      <c r="Q41" s="6"/>
      <c r="R41" s="4"/>
    </row>
    <row r="42" spans="2:18" ht="16.8">
      <c r="B42" s="2"/>
      <c r="C42" s="6"/>
      <c r="D42" s="6" t="s">
        <v>79</v>
      </c>
      <c r="E42" s="6"/>
      <c r="F42" s="6"/>
      <c r="G42" s="6"/>
      <c r="H42" s="6"/>
      <c r="I42" s="6" t="s">
        <v>13</v>
      </c>
      <c r="J42" s="591">
        <v>0</v>
      </c>
      <c r="K42" s="591"/>
      <c r="L42" s="6" t="s">
        <v>67</v>
      </c>
      <c r="M42" s="411">
        <f ca="1">Q33</f>
      </c>
      <c r="N42" s="411" t="s">
        <v>13</v>
      </c>
      <c r="O42" s="411"/>
      <c r="P42" s="415">
        <f ca="1">ROUND(J42*M42,0)</f>
      </c>
      <c r="Q42" s="6"/>
      <c r="R42" s="4"/>
    </row>
    <row r="43" spans="2:18">
      <c r="B43" s="2"/>
      <c r="C43" s="6"/>
      <c r="D43" s="6"/>
      <c r="E43" s="6"/>
      <c r="F43" s="6"/>
      <c r="G43" s="6"/>
      <c r="H43" s="6"/>
      <c r="I43" s="6"/>
      <c r="J43" s="12"/>
      <c r="K43" s="6"/>
      <c r="L43" s="6"/>
      <c r="M43" s="6"/>
      <c r="N43" s="6"/>
      <c r="O43" s="6"/>
      <c r="P43" s="6"/>
      <c r="Q43" s="412">
        <f ca="1">P42</f>
      </c>
      <c r="R43" s="4"/>
    </row>
    <row r="44" spans="2:18">
      <c r="B44" s="2"/>
      <c r="C44" s="6"/>
      <c r="D44" s="6"/>
      <c r="E44" s="6"/>
      <c r="F44" s="6"/>
      <c r="G44" s="6"/>
      <c r="H44" s="6"/>
      <c r="I44" s="6"/>
      <c r="J44" s="12"/>
      <c r="K44" s="6"/>
      <c r="L44" s="6"/>
      <c r="M44" s="6"/>
      <c r="N44" s="6"/>
      <c r="O44" s="6"/>
      <c r="P44" s="6"/>
      <c r="Q44" s="412"/>
      <c r="R44" s="4"/>
    </row>
    <row r="45" spans="2:18">
      <c r="B45" s="2"/>
      <c r="C45" s="6" t="s">
        <v>80</v>
      </c>
      <c r="D45" s="25" t="s">
        <v>81</v>
      </c>
      <c r="E45" s="6"/>
      <c r="F45" s="6"/>
      <c r="G45" s="6"/>
      <c r="H45" s="6"/>
      <c r="I45" s="6"/>
      <c r="J45" s="12"/>
      <c r="K45" s="6"/>
      <c r="L45" s="6"/>
      <c r="M45" s="6"/>
      <c r="N45" s="6"/>
      <c r="P45" s="6"/>
      <c r="Q45" s="6"/>
      <c r="R45" s="4"/>
    </row>
    <row r="46" spans="2:18">
      <c r="B46" s="2"/>
      <c r="C46" s="6"/>
      <c r="D46" s="214"/>
      <c r="E46" s="6"/>
      <c r="F46" s="6"/>
      <c r="G46" s="6"/>
      <c r="H46" s="6"/>
      <c r="I46" s="6"/>
      <c r="J46" s="72"/>
      <c r="K46" s="72"/>
      <c r="L46" s="6"/>
      <c r="M46" s="411"/>
      <c r="N46" s="411"/>
      <c r="P46" s="411"/>
      <c r="Q46" s="6"/>
      <c r="R46" s="4"/>
    </row>
    <row r="47" spans="2:18" ht="16.2" thickBot="1">
      <c r="B47" s="2"/>
      <c r="C47" s="6"/>
      <c r="D47" s="6"/>
      <c r="E47" s="6"/>
      <c r="F47" s="6"/>
      <c r="G47" s="6"/>
      <c r="H47" s="6"/>
      <c r="I47" s="6"/>
      <c r="J47" s="12"/>
      <c r="K47" s="6"/>
      <c r="L47" s="6"/>
      <c r="M47" s="6"/>
      <c r="N47" s="6"/>
      <c r="O47" s="6"/>
      <c r="P47" s="6"/>
      <c r="Q47" s="412">
        <f>SUM(P46)</f>
      </c>
      <c r="R47" s="4"/>
    </row>
    <row r="48" spans="2:18">
      <c r="B48" s="2"/>
      <c r="C48" s="6"/>
      <c r="D48" s="18" t="s">
        <v>82</v>
      </c>
      <c r="E48" s="18"/>
      <c r="F48" s="18"/>
      <c r="G48" s="18"/>
      <c r="H48" s="18"/>
      <c r="I48" s="18"/>
      <c r="J48" s="416"/>
      <c r="K48" s="18"/>
      <c r="L48" s="18"/>
      <c r="M48" s="18"/>
      <c r="N48" s="18"/>
      <c r="O48" s="18"/>
      <c r="P48" s="18"/>
      <c r="Q48" s="417">
        <f ca="1">ROUND((Q33-Q38-Q43-Q47),0)</f>
      </c>
      <c r="R48" s="4"/>
    </row>
    <row r="49" spans="2:18" ht="16.2" thickBot="1">
      <c r="B49" s="2"/>
      <c r="C49" s="6"/>
      <c r="D49" s="267" t="s">
        <v>83</v>
      </c>
      <c r="E49" s="267"/>
      <c r="F49" s="267"/>
      <c r="G49" s="267"/>
      <c r="H49" s="267"/>
      <c r="I49" s="267"/>
      <c r="J49" s="418"/>
      <c r="K49" s="267"/>
      <c r="L49" s="267"/>
      <c r="M49" s="267"/>
      <c r="N49" s="267"/>
      <c r="O49" s="267"/>
      <c r="P49" s="267"/>
      <c r="Q49" s="419">
        <f ca="1">ROUND($Q$48*DATA!$B$11,0)</f>
      </c>
      <c r="R49" s="4"/>
    </row>
    <row r="50" spans="2:18" ht="16.2" thickBot="1">
      <c r="B50" s="2"/>
      <c r="C50" s="6"/>
      <c r="D50" s="18" t="s">
        <v>84</v>
      </c>
      <c r="E50" s="18"/>
      <c r="F50" s="18"/>
      <c r="G50" s="18"/>
      <c r="H50" s="18"/>
      <c r="I50" s="18"/>
      <c r="J50" s="416"/>
      <c r="K50" s="18"/>
      <c r="L50" s="18"/>
      <c r="M50" s="18"/>
      <c r="N50" s="18"/>
      <c r="O50" s="18"/>
      <c r="P50" s="18"/>
      <c r="Q50" s="420">
        <f ca="1">Q48+Q49</f>
      </c>
      <c r="R50" s="4"/>
    </row>
    <row r="51" spans="2:18" ht="16.2" thickBot="1">
      <c r="B51" s="2"/>
      <c r="C51" s="6"/>
      <c r="D51" s="194" t="s">
        <v>85</v>
      </c>
      <c r="E51" s="195"/>
      <c r="F51" s="195"/>
      <c r="G51" s="195"/>
      <c r="H51" s="195"/>
      <c r="I51" s="195"/>
      <c r="J51" s="421"/>
      <c r="K51" s="195"/>
      <c r="L51" s="195"/>
      <c r="M51" s="195"/>
      <c r="N51" s="195"/>
      <c r="O51" s="195"/>
      <c r="P51" s="195"/>
      <c r="Q51" s="422">
        <f ca="1">Q50</f>
      </c>
      <c r="R51" s="4"/>
    </row>
    <row r="52" spans="2:18" ht="16.2" thickTop="1">
      <c r="B52" s="2"/>
      <c r="C52" s="6"/>
      <c r="D52" s="6"/>
      <c r="E52" s="6"/>
      <c r="F52" s="6"/>
      <c r="G52" s="6"/>
      <c r="H52" s="6"/>
      <c r="I52" s="6"/>
      <c r="J52" s="12"/>
      <c r="K52" s="6"/>
      <c r="L52" s="6"/>
      <c r="M52" s="6"/>
      <c r="N52" s="6"/>
      <c r="O52" s="6"/>
      <c r="P52" s="6"/>
      <c r="Q52" s="423"/>
      <c r="R52" s="4"/>
    </row>
    <row r="53" spans="2:18" ht="30.75" customHeight="1">
      <c r="B53" s="2"/>
      <c r="C53" s="592" t="s">
        <v>37</v>
      </c>
      <c r="D53" s="592"/>
      <c r="E53" s="19" t="s">
        <v>2</v>
      </c>
      <c r="F53" s="593">
        <f ca="1">" ==  "&amp;PROPER(IF(Q51=0,"nol",IF(Q51&lt;0,"minus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IF(--MID(TEXT(ABS(Q51),"000000000000000"),1,3)=0,"",MID(TEXT(ABS(Q51),"000000000000000"),1,1)&amp;" ratus "&amp;MID(TEXT(ABS(Q51),"000000000000000"),2,1)&amp;" puluh "&amp;MID(TEXT(ABS(Q51),"000000000000000"),3,1)&amp;" trilyun ")&amp; IF(--MID(TEXT(ABS(Q51),"000000000000000"),4,3)=0,"",MID(TEXT(ABS(Q51),"000000000000000"),4,1)&amp;" ratus "&amp;MID(TEXT(ABS(Q51),"000000000000000"),5,1)&amp;" puluh "&amp;MID(TEXT(ABS(Q51),"000000000000000"),6,1)&amp;" milyar ")&amp; IF(--MID(TEXT(ABS(Q51),"000000000000000"),7,3)=0,"",MID(TEXT(ABS(Q51),"000000000000000"),7,1)&amp;" ratus "&amp;MID(TEXT(ABS(Q51),"000000000000000"),8,1)&amp;" puluh "&amp;MID(TEXT(ABS(Q51),"000000000000000"),9,1)&amp;" juta ")&amp; IF(--MID(TEXT(ABS(Q51),"000000000000000"),10,3)=0,"",IF(--MID(TEXT(ABS(Q51),"000000000000000"),10,3)=1,"*",MID(TEXT(ABS(Q51),"000000000000000"),10,1)&amp;" ratus "&amp;MID(TEXT(ABS(Q51),"000000000000000"),11,1)&amp;" puluh ")&amp;MID(TEXT(ABS(Q51),"000000000000000"),12,1)&amp;" ribu ")&amp; IF(--MID(TEXT(ABS(Q51),"000000000000000"),13,3)=0,"",MID(TEXT(ABS(Q51),"000000000000000"),13,1)&amp;" ratus "&amp;MID(TEXT(ABS(Q51),"000000000000000"),14,1)&amp;" puluh "&amp;MID(TEXT(ABS(Q51),"000000000000000"),15,1)),1,"satu"),2,"dua"),3,"tiga"),4,"empat"),5,"lima"),6,"enam"),7,"tujuh"),8,"delapan"),9,"sembilan"),"0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 =="</f>
      </c>
      <c r="G53" s="594"/>
      <c r="H53" s="594"/>
      <c r="I53" s="594"/>
      <c r="J53" s="594"/>
      <c r="K53" s="594"/>
      <c r="L53" s="594"/>
      <c r="M53" s="594"/>
      <c r="N53" s="594"/>
      <c r="O53" s="594"/>
      <c r="P53" s="594"/>
      <c r="Q53" s="594"/>
      <c r="R53" s="7"/>
    </row>
    <row r="54" spans="2:18">
      <c r="B54" s="2"/>
      <c r="C54" s="6" t="s">
        <v>86</v>
      </c>
      <c r="D54" s="6"/>
      <c r="E54" s="6"/>
      <c r="F54" s="6"/>
      <c r="G54" s="6"/>
      <c r="H54" s="6"/>
      <c r="I54" s="6"/>
      <c r="J54" s="12"/>
      <c r="K54" s="6"/>
      <c r="L54" s="6"/>
      <c r="M54" s="6"/>
      <c r="N54" s="6"/>
      <c r="O54" s="6"/>
      <c r="P54" s="6"/>
      <c r="Q54" s="6"/>
      <c r="R54" s="4"/>
    </row>
    <row r="55" spans="2:18">
      <c r="B55" s="2"/>
      <c r="C55" s="6"/>
      <c r="D55" s="6"/>
      <c r="E55" s="6"/>
      <c r="F55" s="75"/>
      <c r="G55" s="6"/>
      <c r="H55" s="6"/>
      <c r="I55" s="6"/>
      <c r="J55" s="12"/>
      <c r="K55" s="6"/>
      <c r="L55" s="6"/>
      <c r="M55" s="6"/>
      <c r="N55" s="6"/>
      <c r="O55" s="6"/>
      <c r="P55" s="6"/>
      <c r="Q55" s="6"/>
      <c r="R55" s="4"/>
    </row>
    <row r="56" spans="2:18">
      <c r="B56" s="2"/>
      <c r="C56" s="6"/>
      <c r="D56" s="6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4"/>
    </row>
    <row r="57" spans="2:18">
      <c r="B57" s="2"/>
      <c r="C57" s="588" t="s">
        <v>39</v>
      </c>
      <c r="D57" s="588"/>
      <c r="E57" s="588"/>
      <c r="F57" s="588"/>
      <c r="G57" s="588"/>
      <c r="H57" s="588"/>
      <c r="I57" s="6"/>
      <c r="J57" s="6"/>
      <c r="K57" s="6"/>
      <c r="L57" s="6"/>
      <c r="M57" s="6"/>
      <c r="N57" s="6"/>
      <c r="O57" s="6"/>
      <c r="P57" s="588" t="s">
        <v>40</v>
      </c>
      <c r="Q57" s="588"/>
      <c r="R57" s="4"/>
    </row>
    <row r="58" spans="2:18">
      <c r="B58" s="2"/>
      <c r="C58" s="588">
        <f>UPPER(DATA!$B$24)</f>
      </c>
      <c r="D58" s="588"/>
      <c r="E58" s="588"/>
      <c r="F58" s="588"/>
      <c r="G58" s="588"/>
      <c r="H58" s="588"/>
      <c r="I58" s="6"/>
      <c r="J58" s="6"/>
      <c r="K58" s="6"/>
      <c r="L58" s="6"/>
      <c r="M58" s="6"/>
      <c r="N58" s="6"/>
      <c r="O58" s="6"/>
      <c r="P58" s="588">
        <f>UPPER(DATA!$B$17)</f>
      </c>
      <c r="Q58" s="588"/>
      <c r="R58" s="4"/>
    </row>
    <row r="59" spans="2:18">
      <c r="B59" s="2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588"/>
      <c r="Q59" s="588"/>
      <c r="R59" s="4"/>
    </row>
    <row r="60" spans="2:18">
      <c r="B60" s="2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5"/>
      <c r="Q60" s="5"/>
      <c r="R60" s="4"/>
    </row>
    <row r="61" spans="2:18">
      <c r="B61" s="2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5"/>
      <c r="Q61" s="5"/>
      <c r="R61" s="4"/>
    </row>
    <row r="62" spans="2:18">
      <c r="B62" s="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5"/>
      <c r="Q62" s="5"/>
      <c r="R62" s="4"/>
    </row>
    <row r="63" spans="2:18">
      <c r="B63" s="2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4"/>
    </row>
    <row r="64" spans="2:18">
      <c r="B64" s="2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4"/>
    </row>
    <row r="65" spans="2:18">
      <c r="B65" s="2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4"/>
    </row>
    <row r="66" spans="2:18">
      <c r="B66" s="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4"/>
    </row>
    <row r="67" spans="2:18">
      <c r="B67" s="2"/>
      <c r="C67" s="589">
        <f>DATA!$B$22</f>
      </c>
      <c r="D67" s="589"/>
      <c r="E67" s="589"/>
      <c r="F67" s="589"/>
      <c r="G67" s="589"/>
      <c r="H67" s="589"/>
      <c r="I67" s="6"/>
      <c r="J67" s="590"/>
      <c r="K67" s="590"/>
      <c r="L67" s="590"/>
      <c r="M67" s="590"/>
      <c r="N67" s="21"/>
      <c r="O67" s="21"/>
      <c r="P67" s="589">
        <f>DATA!$B$69</f>
      </c>
      <c r="Q67" s="589"/>
      <c r="R67" s="4"/>
    </row>
    <row r="68" spans="2:18">
      <c r="B68" s="2"/>
      <c r="C68" s="588">
        <f>DATA!$B$23</f>
      </c>
      <c r="D68" s="588"/>
      <c r="E68" s="588"/>
      <c r="F68" s="588"/>
      <c r="G68" s="588"/>
      <c r="H68" s="588"/>
      <c r="I68" s="6"/>
      <c r="J68" s="21"/>
      <c r="K68" s="21"/>
      <c r="L68" s="21"/>
      <c r="M68" s="21"/>
      <c r="N68" s="21"/>
      <c r="O68" s="21"/>
      <c r="P68" s="588">
        <f>DATA!$B$70</f>
      </c>
      <c r="Q68" s="588"/>
      <c r="R68" s="4"/>
    </row>
    <row r="69" spans="2:18" ht="9" customHeight="1" thickBot="1"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4"/>
    </row>
    <row r="70" spans="2:18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2:18">
      <c r="C71" s="6"/>
      <c r="D71" s="6"/>
      <c r="E71" s="6"/>
      <c r="F71" s="245">
        <f ca="1">""&amp;PROPER(IF(Q51=0,"nol",IF(Q51&lt;0,"minus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IF(--MID(TEXT(ABS(Q51),"000000000000000"),1,3)=0,"",MID(TEXT(ABS(Q51),"000000000000000"),1,1)&amp;" ratus "&amp;MID(TEXT(ABS(Q51),"000000000000000"),2,1)&amp;" puluh "&amp;MID(TEXT(ABS(Q51),"000000000000000"),3,1)&amp;" trilyun ")&amp; IF(--MID(TEXT(ABS(Q51),"000000000000000"),4,3)=0,"",MID(TEXT(ABS(Q51),"000000000000000"),4,1)&amp;" ratus "&amp;MID(TEXT(ABS(Q51),"000000000000000"),5,1)&amp;" puluh "&amp;MID(TEXT(ABS(Q51),"000000000000000"),6,1)&amp;" milyar ")&amp; IF(--MID(TEXT(ABS(Q51),"000000000000000"),7,3)=0,"",MID(TEXT(ABS(Q51),"000000000000000"),7,1)&amp;" ratus "&amp;MID(TEXT(ABS(Q51),"000000000000000"),8,1)&amp;" puluh "&amp;MID(TEXT(ABS(Q51),"000000000000000"),9,1)&amp;" juta ")&amp; IF(--MID(TEXT(ABS(Q51),"000000000000000"),10,3)=0,"",IF(--MID(TEXT(ABS(Q51),"000000000000000"),10,3)=1,"*",MID(TEXT(ABS(Q51),"000000000000000"),10,1)&amp;" ratus "&amp;MID(TEXT(ABS(Q51),"000000000000000"),11,1)&amp;" puluh ")&amp;MID(TEXT(ABS(Q51),"000000000000000"),12,1)&amp;" ribu ")&amp; IF(--MID(TEXT(ABS(Q51),"000000000000000"),13,3)=0,"",MID(TEXT(ABS(Q51),"000000000000000"),13,1)&amp;" ratus "&amp;MID(TEXT(ABS(Q51),"000000000000000"),14,1)&amp;" puluh "&amp;MID(TEXT(ABS(Q51),"000000000000000"),15,1)),1,"satu"),2,"dua"),3,"tiga"),4,"empat"),5,"lima"),6,"enam"),7,"tujuh"),8,"delapan"),9,"sembilan"),"0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Rupiah"</f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2:18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2:18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</sheetData>
  <mergeCells count="39">
    <mergeCell ref="C68:H68"/>
    <mergeCell ref="P68:Q68"/>
    <mergeCell ref="C58:H58"/>
    <mergeCell ref="P58:Q58"/>
    <mergeCell ref="P59:Q59"/>
    <mergeCell ref="C67:H67"/>
    <mergeCell ref="J67:M67"/>
    <mergeCell ref="P67:Q67"/>
    <mergeCell ref="J41:K41"/>
    <mergeCell ref="J42:K42"/>
    <mergeCell ref="C53:D53"/>
    <mergeCell ref="F53:Q53"/>
    <mergeCell ref="C57:H57"/>
    <mergeCell ref="P57:Q57"/>
    <mergeCell ref="T15:AB15"/>
    <mergeCell ref="J16:Q16"/>
    <mergeCell ref="C18:Q18"/>
    <mergeCell ref="K22:R22"/>
    <mergeCell ref="J40:K40"/>
    <mergeCell ref="K24:M24"/>
    <mergeCell ref="K25:M25"/>
    <mergeCell ref="C28:Q28"/>
    <mergeCell ref="T28:W28"/>
    <mergeCell ref="J29:K29"/>
    <mergeCell ref="J30:K30"/>
    <mergeCell ref="J31:K31"/>
    <mergeCell ref="J32:K32"/>
    <mergeCell ref="J35:K35"/>
    <mergeCell ref="J36:K36"/>
    <mergeCell ref="J37:K37"/>
    <mergeCell ref="K23:L23"/>
    <mergeCell ref="N23:P23"/>
    <mergeCell ref="C4:Q4"/>
    <mergeCell ref="C6:Q6"/>
    <mergeCell ref="C7:Q7"/>
    <mergeCell ref="C10:Q10"/>
    <mergeCell ref="C11:Q11"/>
    <mergeCell ref="C13:Q13"/>
    <mergeCell ref="J15:Q15"/>
  </mergeCells>
  <pageMargins left="0.34" right="0.25" top="0.75" bottom="0.38" header="0.3" footer="0.3"/>
  <pageSetup paperSize="9" scale="62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31A65-891A-4A28-ACC8-EA038A6E5E73}">
  <sheetPr>
    <tabColor rgb="FF92D050"/>
  </sheetPr>
  <dimension ref="B1:AB73"/>
  <sheetViews>
    <sheetView showGridLines="0" topLeftCell="A42" zoomScale="70" zoomScaleNormal="70" zoomScaleSheetLayoutView="70" workbookViewId="0">
      <selection activeCell="M75" sqref="M75"/>
    </sheetView>
  </sheetViews>
  <sheetFormatPr defaultColWidth="8.81640625" defaultRowHeight="15.6"/>
  <cols>
    <col min="1" max="1" width="10.81640625" style="1" customWidth="1"/>
    <col min="2" max="2" width="3.08984375" style="1" customWidth="1"/>
    <col min="3" max="3" width="2.453125" style="1" customWidth="1"/>
    <col min="4" max="4" width="6.81640625" style="1" customWidth="1"/>
    <col min="5" max="5" width="3.81640625" style="1" customWidth="1"/>
    <col min="6" max="7" width="5.81640625" style="1" customWidth="1"/>
    <col min="8" max="8" width="9.453125" style="1" customWidth="1"/>
    <col min="9" max="9" width="3.54296875" style="1" bestFit="1" customWidth="1"/>
    <col min="10" max="10" width="3" style="1" customWidth="1"/>
    <col min="11" max="11" width="9" style="1" customWidth="1"/>
    <col min="12" max="12" width="8.08984375" style="1" customWidth="1"/>
    <col min="13" max="13" width="20.81640625" style="1" customWidth="1"/>
    <col min="14" max="14" width="2.81640625" style="1" bestFit="1" customWidth="1"/>
    <col min="15" max="15" width="5" style="1" customWidth="1"/>
    <col min="16" max="16" width="19" style="1" customWidth="1"/>
    <col min="17" max="17" width="22.36328125" style="1" customWidth="1"/>
    <col min="18" max="18" width="0.81640625" style="1" customWidth="1"/>
    <col min="19" max="19" width="4.54296875" style="1" customWidth="1"/>
    <col min="20" max="22" width="8.81640625" style="1"/>
    <col min="23" max="23" width="25.08984375" style="1" customWidth="1"/>
    <col min="24" max="16384" width="8.81640625" style="1"/>
  </cols>
  <sheetData>
    <row r="1" spans="2:28" ht="16.2" thickBot="1"/>
    <row r="2" spans="2:28" ht="9" customHeight="1">
      <c r="B2" s="262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4"/>
    </row>
    <row r="3" spans="2:28" ht="24" customHeight="1">
      <c r="B3" s="2"/>
      <c r="E3" s="3"/>
      <c r="R3" s="4"/>
      <c r="T3" s="265" cm="1">
        <f t="array" ref="T3">INDEX(DATA!$B$99:$B$104,$T$9)</f>
      </c>
      <c r="U3" s="265"/>
      <c r="V3" s="265">
        <f>TEXT($T$3,"[$-21]dd mmmm yyyy")</f>
      </c>
      <c r="W3" s="58">
        <f>TEXT($T3,"[$-21]dd mmmm yyyy")</f>
      </c>
    </row>
    <row r="4" spans="2:28" ht="24" customHeight="1">
      <c r="B4" s="2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604"/>
      <c r="O4" s="604"/>
      <c r="P4" s="604"/>
      <c r="Q4" s="604"/>
      <c r="R4" s="4"/>
      <c r="T4" s="265">
        <f>TEXT($T$3,"[$-21]dddd")</f>
      </c>
    </row>
    <row r="5" spans="2:28" ht="24" customHeight="1">
      <c r="B5" s="2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4"/>
      <c r="T5" s="265">
        <f>VLOOKUP(DAY($T$3),HELPER!$A$2:$B$100,2,0)</f>
      </c>
    </row>
    <row r="6" spans="2:28" ht="24" customHeight="1">
      <c r="B6" s="2"/>
      <c r="C6" s="604"/>
      <c r="D6" s="604"/>
      <c r="E6" s="604"/>
      <c r="F6" s="604"/>
      <c r="G6" s="604"/>
      <c r="H6" s="604"/>
      <c r="I6" s="604"/>
      <c r="J6" s="604"/>
      <c r="K6" s="604"/>
      <c r="L6" s="604"/>
      <c r="M6" s="604"/>
      <c r="N6" s="604"/>
      <c r="O6" s="604"/>
      <c r="P6" s="604"/>
      <c r="Q6" s="604"/>
      <c r="R6" s="4"/>
      <c r="T6" s="265">
        <f>TEXT($T$3,"[$-21]mmmm")</f>
      </c>
    </row>
    <row r="7" spans="2:28" ht="24" hidden="1" customHeight="1">
      <c r="B7" s="2"/>
      <c r="C7" s="605"/>
      <c r="D7" s="605"/>
      <c r="E7" s="605"/>
      <c r="F7" s="605"/>
      <c r="G7" s="605"/>
      <c r="H7" s="605"/>
      <c r="I7" s="605"/>
      <c r="J7" s="605"/>
      <c r="K7" s="605"/>
      <c r="L7" s="605"/>
      <c r="M7" s="605"/>
      <c r="N7" s="605"/>
      <c r="O7" s="605"/>
      <c r="P7" s="605"/>
      <c r="Q7" s="605"/>
      <c r="R7" s="4"/>
      <c r="T7" s="265">
        <f>"Dua Ribu"&amp;IF(MOD(YEAR($T$3),100)=0,""," "&amp;VLOOKUP(MOD(YEAR($T$3),100),HELPER!$A$2:$B$100,2,0))</f>
      </c>
    </row>
    <row r="8" spans="2:28" ht="16.2" hidden="1" thickBot="1">
      <c r="B8" s="2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4"/>
      <c r="T8" s="470" t="s">
        <v>51</v>
      </c>
    </row>
    <row r="9" spans="2:28">
      <c r="B9" s="2"/>
      <c r="R9" s="4"/>
      <c r="T9" s="471">
        <v>6</v>
      </c>
    </row>
    <row r="10" spans="2:28" ht="20.399999999999999">
      <c r="B10" s="2"/>
      <c r="C10" s="606" t="s">
        <v>52</v>
      </c>
      <c r="D10" s="606"/>
      <c r="E10" s="606"/>
      <c r="F10" s="606"/>
      <c r="G10" s="606"/>
      <c r="H10" s="606"/>
      <c r="I10" s="606"/>
      <c r="J10" s="606"/>
      <c r="K10" s="606"/>
      <c r="L10" s="606"/>
      <c r="M10" s="606"/>
      <c r="N10" s="606"/>
      <c r="O10" s="606"/>
      <c r="P10" s="606"/>
      <c r="Q10" s="606"/>
      <c r="R10" s="4"/>
    </row>
    <row r="11" spans="2:28">
      <c r="B11" s="2"/>
      <c r="C11" s="588">
        <f>TEXT($T$9,"00")&amp;"/BAP/"&amp;DATA!$B$4</f>
      </c>
      <c r="D11" s="588"/>
      <c r="E11" s="588"/>
      <c r="F11" s="588"/>
      <c r="G11" s="588"/>
      <c r="H11" s="588"/>
      <c r="I11" s="588"/>
      <c r="J11" s="588"/>
      <c r="K11" s="588"/>
      <c r="L11" s="588"/>
      <c r="M11" s="588"/>
      <c r="N11" s="588"/>
      <c r="O11" s="588"/>
      <c r="P11" s="588"/>
      <c r="Q11" s="588"/>
      <c r="R11" s="4"/>
    </row>
    <row r="12" spans="2:28">
      <c r="B12" s="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4"/>
    </row>
    <row r="13" spans="2:28">
      <c r="B13" s="2"/>
      <c r="C13" s="597">
        <f>"Pada hari ini "&amp;T4&amp;" tanggal "&amp;T5&amp;" bulan "&amp;T6&amp;" tahun "&amp;T7&amp;" ("&amp;V3&amp;"), kami yang bertandatangan di bawah ini:"</f>
      </c>
      <c r="D13" s="597"/>
      <c r="E13" s="597"/>
      <c r="F13" s="597"/>
      <c r="G13" s="597"/>
      <c r="H13" s="597"/>
      <c r="I13" s="597"/>
      <c r="J13" s="597"/>
      <c r="K13" s="597"/>
      <c r="L13" s="597"/>
      <c r="M13" s="597"/>
      <c r="N13" s="597"/>
      <c r="O13" s="597"/>
      <c r="P13" s="597"/>
      <c r="Q13" s="597"/>
      <c r="R13" s="7"/>
      <c r="S13" s="8"/>
    </row>
    <row r="14" spans="2:28">
      <c r="B14" s="2"/>
      <c r="C14" s="6"/>
      <c r="D14" s="7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4"/>
    </row>
    <row r="15" spans="2:28" ht="66.45" customHeight="1">
      <c r="B15" s="2"/>
      <c r="C15" s="9">
        <v>1</v>
      </c>
      <c r="D15" s="67">
        <f>DATA!$B$69</f>
      </c>
      <c r="E15" s="10"/>
      <c r="F15" s="10"/>
      <c r="G15" s="10"/>
      <c r="H15" s="10"/>
      <c r="I15" s="11" t="s">
        <v>2</v>
      </c>
      <c r="J15" s="597">
        <f>"Selaku "&amp;DATA!$B$70&amp;", "&amp;DATA!$B$7&amp;", dalam hal ini bertindak untuk dan atas nama "&amp;DATA!$B$17&amp;" yang berkedudukan di "&amp;DATA!$B$18&amp;" (selanjutnya disebut sebagai PIHAK PERTAMA)."</f>
      </c>
      <c r="K15" s="597"/>
      <c r="L15" s="597"/>
      <c r="M15" s="597"/>
      <c r="N15" s="597"/>
      <c r="O15" s="597"/>
      <c r="P15" s="597"/>
      <c r="Q15" s="597"/>
      <c r="R15" s="4"/>
      <c r="T15" s="595"/>
      <c r="U15" s="595"/>
      <c r="V15" s="595"/>
      <c r="W15" s="595"/>
      <c r="X15" s="595"/>
      <c r="Y15" s="595"/>
      <c r="Z15" s="595"/>
      <c r="AA15" s="595"/>
      <c r="AB15" s="595"/>
    </row>
    <row r="16" spans="2:28" ht="58.2" customHeight="1">
      <c r="B16" s="2"/>
      <c r="C16" s="9">
        <v>2</v>
      </c>
      <c r="D16" s="67">
        <f>DATA!$B$22</f>
      </c>
      <c r="E16" s="10"/>
      <c r="F16" s="10"/>
      <c r="G16" s="10"/>
      <c r="H16" s="10"/>
      <c r="I16" s="11" t="s">
        <v>2</v>
      </c>
      <c r="J16" s="596">
        <f>"Selaku "&amp;DATA!$B$23&amp;" "&amp;DATA!$B$24&amp;", dalam hal ini bertindak untuk dan atas nama "&amp;DATA!$B$24&amp;" yang berkedudukan di "&amp;DATA!$B$25&amp;" (selanjutnya disebut sebagai PIHAK KEDUA)."</f>
      </c>
      <c r="K16" s="597"/>
      <c r="L16" s="597"/>
      <c r="M16" s="597"/>
      <c r="N16" s="597"/>
      <c r="O16" s="597"/>
      <c r="P16" s="597"/>
      <c r="Q16" s="597"/>
      <c r="R16" s="4"/>
    </row>
    <row r="17" spans="2:23" ht="8.25" customHeight="1">
      <c r="B17" s="2"/>
      <c r="C17" s="6"/>
      <c r="D17" s="6"/>
      <c r="E17" s="6"/>
      <c r="F17" s="6"/>
      <c r="G17" s="6"/>
      <c r="H17" s="6"/>
      <c r="I17" s="6"/>
      <c r="J17" s="12"/>
      <c r="K17" s="6"/>
      <c r="L17" s="6"/>
      <c r="M17" s="6"/>
      <c r="N17" s="6"/>
      <c r="O17" s="6"/>
      <c r="P17" s="6"/>
      <c r="Q17" s="6"/>
      <c r="R17" s="4"/>
    </row>
    <row r="18" spans="2:23" ht="40.5" customHeight="1">
      <c r="B18" s="2"/>
      <c r="C18" s="598">
        <f>"Menerangkan bahwa kedua belah pihak, telah melakukan pemeriksaan atas "&amp;DATA!$B$6&amp;" pada "&amp;DATA!$B$7&amp;", dan berdasarkan :"</f>
      </c>
      <c r="D18" s="598"/>
      <c r="E18" s="598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598"/>
      <c r="Q18" s="598"/>
      <c r="R18" s="4"/>
    </row>
    <row r="19" spans="2:23" ht="7.5" customHeight="1">
      <c r="B19" s="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4"/>
    </row>
    <row r="20" spans="2:23">
      <c r="B20" s="2"/>
      <c r="C20" s="6"/>
      <c r="D20" s="6" t="s">
        <v>53</v>
      </c>
      <c r="E20" s="6"/>
      <c r="F20" s="6"/>
      <c r="G20" s="6"/>
      <c r="H20" s="6"/>
      <c r="I20" s="6"/>
      <c r="J20" s="12" t="s">
        <v>2</v>
      </c>
      <c r="K20" s="68">
        <f>DATA!$B$4</f>
      </c>
      <c r="L20" s="14"/>
      <c r="M20" s="14"/>
      <c r="N20" s="6" t="s">
        <v>54</v>
      </c>
      <c r="O20" s="6"/>
      <c r="P20" s="76">
        <f>TEXT(DATA!$B$5,"[$-21]dd mmmm yyyy")</f>
      </c>
      <c r="Q20" s="6"/>
      <c r="R20" s="4"/>
    </row>
    <row r="21" spans="2:23" hidden="1">
      <c r="B21" s="2"/>
      <c r="C21" s="6"/>
      <c r="D21" s="6" t="s">
        <v>55</v>
      </c>
      <c r="E21" s="6"/>
      <c r="F21" s="6"/>
      <c r="G21" s="6"/>
      <c r="H21" s="6"/>
      <c r="I21" s="6"/>
      <c r="J21" s="12" t="s">
        <v>2</v>
      </c>
      <c r="K21" s="6" t="s">
        <v>4</v>
      </c>
      <c r="L21" s="6"/>
      <c r="M21" s="6"/>
      <c r="N21" s="6"/>
      <c r="O21" s="6"/>
      <c r="P21" s="15"/>
      <c r="Q21" s="6"/>
      <c r="R21" s="4"/>
    </row>
    <row r="22" spans="2:23" hidden="1">
      <c r="B22" s="2"/>
      <c r="C22" s="6"/>
      <c r="D22" s="11" t="s">
        <v>56</v>
      </c>
      <c r="E22" s="11"/>
      <c r="F22" s="11"/>
      <c r="G22" s="11"/>
      <c r="H22" s="11"/>
      <c r="I22" s="11"/>
      <c r="J22" s="70" t="s">
        <v>2</v>
      </c>
      <c r="K22" s="599">
        <f>DATA!$B$6</f>
      </c>
      <c r="L22" s="599"/>
      <c r="M22" s="599"/>
      <c r="N22" s="599"/>
      <c r="O22" s="599"/>
      <c r="P22" s="599"/>
      <c r="Q22" s="599"/>
      <c r="R22" s="600"/>
    </row>
    <row r="23" spans="2:23" ht="19.2" customHeight="1">
      <c r="B23" s="2"/>
      <c r="C23" s="6"/>
      <c r="D23" s="6" t="s">
        <v>57</v>
      </c>
      <c r="E23" s="6"/>
      <c r="F23" s="6"/>
      <c r="G23" s="6"/>
      <c r="H23" s="6"/>
      <c r="I23" s="6"/>
      <c r="J23" s="12" t="s">
        <v>2</v>
      </c>
      <c r="K23" s="603">
        <f>TEXT(DATA!$B$8,"[$-21]dd mmmm yyyy")</f>
      </c>
      <c r="L23" s="603"/>
      <c r="M23" s="5" t="s">
        <v>58</v>
      </c>
      <c r="N23" s="603">
        <f>TEXT(DATA!$B$9,"[$-21]dd mmmm yyyy")</f>
      </c>
      <c r="O23" s="603"/>
      <c r="P23" s="603"/>
      <c r="Q23" s="6"/>
      <c r="R23" s="4"/>
    </row>
    <row r="24" spans="2:23" ht="21.6" customHeight="1">
      <c r="B24" s="2"/>
      <c r="C24" s="6"/>
      <c r="D24" s="6" t="s">
        <v>59</v>
      </c>
      <c r="E24" s="6"/>
      <c r="F24" s="6"/>
      <c r="G24" s="6"/>
      <c r="H24" s="6"/>
      <c r="I24" s="6"/>
      <c r="J24" s="12" t="s">
        <v>2</v>
      </c>
      <c r="K24" s="601">
        <f>#REF!</f>
      </c>
      <c r="L24" s="601"/>
      <c r="M24" s="601"/>
      <c r="N24" s="16"/>
      <c r="O24" s="16"/>
      <c r="P24" s="17" t="s">
        <v>60</v>
      </c>
      <c r="Q24" s="6"/>
      <c r="R24" s="4"/>
    </row>
    <row r="25" spans="2:23" hidden="1">
      <c r="B25" s="2"/>
      <c r="C25" s="6"/>
      <c r="D25" s="6" t="s">
        <v>61</v>
      </c>
      <c r="E25" s="6"/>
      <c r="F25" s="6"/>
      <c r="G25" s="6"/>
      <c r="H25" s="6"/>
      <c r="I25" s="6"/>
      <c r="J25" s="12" t="s">
        <v>2</v>
      </c>
      <c r="K25" s="601">
        <v>0</v>
      </c>
      <c r="L25" s="601"/>
      <c r="M25" s="601"/>
      <c r="N25" s="16"/>
      <c r="O25" s="16"/>
      <c r="P25" s="17" t="s">
        <v>62</v>
      </c>
      <c r="Q25" s="6"/>
      <c r="R25" s="4"/>
    </row>
    <row r="26" spans="2:23" hidden="1">
      <c r="B26" s="2"/>
      <c r="C26" s="6"/>
      <c r="D26" s="6" t="s">
        <v>11</v>
      </c>
      <c r="E26" s="6"/>
      <c r="F26" s="6"/>
      <c r="G26" s="6"/>
      <c r="H26" s="6"/>
      <c r="I26" s="6"/>
      <c r="J26" s="12" t="s">
        <v>2</v>
      </c>
      <c r="K26" s="217">
        <f>DATA!$B$46</f>
      </c>
      <c r="L26" s="6"/>
      <c r="M26" s="26"/>
      <c r="N26" s="6"/>
      <c r="O26" s="6"/>
      <c r="P26" s="6"/>
      <c r="Q26" s="6"/>
      <c r="R26" s="4"/>
    </row>
    <row r="27" spans="2:23" hidden="1">
      <c r="B27" s="2"/>
      <c r="C27" s="6"/>
      <c r="D27" s="6" t="s">
        <v>14</v>
      </c>
      <c r="E27" s="6"/>
      <c r="F27" s="6"/>
      <c r="G27" s="6"/>
      <c r="H27" s="6"/>
      <c r="I27" s="6"/>
      <c r="J27" s="12" t="s">
        <v>2</v>
      </c>
      <c r="K27" s="217">
        <f>DATA!$B$47</f>
      </c>
      <c r="L27" s="6"/>
      <c r="M27" s="26"/>
      <c r="N27" s="6"/>
      <c r="O27" s="6"/>
      <c r="P27" s="6"/>
      <c r="Q27" s="6"/>
      <c r="R27" s="4"/>
    </row>
    <row r="28" spans="2:23" ht="49.5" customHeight="1">
      <c r="B28" s="2"/>
      <c r="C28" s="602">
        <f ca="1">"Menyatakan bahwa prestasi pekerjaan yang dicapai oleh PIHAK KEDUA sampai dengan tanggal "&amp;TEXT($T$3,"[$-21]dd mmmm yyyy")&amp;" adalah "&amp;TEXT('BAPP 6'!$K$194,"0.00%")&amp;" sesuai dengan Berita Acara Pemeriksaan Pekerjaan No. "&amp;'BAPP 6'!$B$10&amp;", dengan rincian sebagai berikut :"</f>
      </c>
      <c r="D28" s="598"/>
      <c r="E28" s="598"/>
      <c r="F28" s="598"/>
      <c r="G28" s="598"/>
      <c r="H28" s="598"/>
      <c r="I28" s="598"/>
      <c r="J28" s="598"/>
      <c r="K28" s="598"/>
      <c r="L28" s="598"/>
      <c r="M28" s="598"/>
      <c r="N28" s="598"/>
      <c r="O28" s="598"/>
      <c r="P28" s="598"/>
      <c r="Q28" s="598"/>
      <c r="R28" s="4"/>
      <c r="T28" s="598"/>
      <c r="U28" s="598"/>
      <c r="V28" s="598"/>
      <c r="W28" s="598"/>
    </row>
    <row r="29" spans="2:23">
      <c r="B29" s="2"/>
      <c r="C29" s="6" t="s">
        <v>63</v>
      </c>
      <c r="D29" s="25" t="s">
        <v>64</v>
      </c>
      <c r="E29" s="6"/>
      <c r="F29" s="6"/>
      <c r="G29" s="6"/>
      <c r="H29" s="6"/>
      <c r="I29" s="6"/>
      <c r="J29" s="591"/>
      <c r="K29" s="591"/>
      <c r="L29" s="6"/>
      <c r="M29" s="6" t="s">
        <v>65</v>
      </c>
      <c r="N29" s="6"/>
      <c r="O29" s="6"/>
      <c r="P29" s="6"/>
      <c r="Q29" s="6"/>
      <c r="R29" s="4"/>
    </row>
    <row r="30" spans="2:23">
      <c r="B30" s="2"/>
      <c r="C30" s="12" t="s">
        <v>4</v>
      </c>
      <c r="D30" s="6" t="s">
        <v>66</v>
      </c>
      <c r="E30" s="6"/>
      <c r="F30" s="6"/>
      <c r="G30" s="6"/>
      <c r="H30" s="6"/>
      <c r="I30" s="6" t="s">
        <v>13</v>
      </c>
      <c r="J30" s="591">
        <f ca="1">J32+J31</f>
      </c>
      <c r="K30" s="591"/>
      <c r="L30" s="6" t="s">
        <v>67</v>
      </c>
      <c r="M30" s="411">
        <f>$K$24</f>
      </c>
      <c r="N30" s="411" t="s">
        <v>13</v>
      </c>
      <c r="O30" s="411"/>
      <c r="P30" s="411">
        <f ca="1">J30*M30</f>
      </c>
      <c r="Q30" s="6"/>
      <c r="R30" s="4"/>
    </row>
    <row r="31" spans="2:23">
      <c r="B31" s="2"/>
      <c r="C31" s="12" t="s">
        <v>4</v>
      </c>
      <c r="D31" s="6" t="s">
        <v>68</v>
      </c>
      <c r="E31" s="6"/>
      <c r="F31" s="6"/>
      <c r="G31" s="6"/>
      <c r="H31" s="6"/>
      <c r="I31" s="6" t="s">
        <v>13</v>
      </c>
      <c r="J31" s="591">
        <f ca="1">'rincian 6'!T166</f>
      </c>
      <c r="K31" s="591"/>
      <c r="L31" s="6" t="s">
        <v>67</v>
      </c>
      <c r="M31" s="411">
        <f>$K$24</f>
      </c>
      <c r="N31" s="411" t="s">
        <v>13</v>
      </c>
      <c r="O31" s="411"/>
      <c r="P31" s="411">
        <f ca="1">J31*M31</f>
      </c>
      <c r="Q31" s="6"/>
      <c r="R31" s="4"/>
      <c r="W31" s="266"/>
    </row>
    <row r="32" spans="2:23">
      <c r="B32" s="2"/>
      <c r="C32" s="12" t="s">
        <v>4</v>
      </c>
      <c r="D32" s="6" t="s">
        <v>69</v>
      </c>
      <c r="E32" s="6"/>
      <c r="F32" s="6"/>
      <c r="G32" s="6"/>
      <c r="H32" s="6"/>
      <c r="I32" s="6" t="s">
        <v>13</v>
      </c>
      <c r="J32" s="591">
        <f ca="1">'BAPP 6'!K194</f>
      </c>
      <c r="K32" s="591"/>
      <c r="L32" s="6" t="s">
        <v>67</v>
      </c>
      <c r="M32" s="411">
        <f>$K$24</f>
      </c>
      <c r="N32" s="411" t="s">
        <v>13</v>
      </c>
      <c r="O32" s="411"/>
      <c r="P32" s="411">
        <f ca="1">J32*M32</f>
      </c>
      <c r="Q32" s="6"/>
      <c r="R32" s="4"/>
      <c r="W32" s="266"/>
    </row>
    <row r="33" spans="2:18">
      <c r="B33" s="2"/>
      <c r="C33" s="6"/>
      <c r="D33" s="6"/>
      <c r="E33" s="6"/>
      <c r="F33" s="6"/>
      <c r="G33" s="6"/>
      <c r="H33" s="6"/>
      <c r="I33" s="6"/>
      <c r="J33" s="12"/>
      <c r="K33" s="6"/>
      <c r="L33" s="6"/>
      <c r="M33" s="6"/>
      <c r="N33" s="6"/>
      <c r="O33" s="6"/>
      <c r="P33" s="6"/>
      <c r="Q33" s="412">
        <f ca="1">P32</f>
      </c>
      <c r="R33" s="4"/>
    </row>
    <row r="34" spans="2:18">
      <c r="B34" s="2"/>
      <c r="C34" s="6" t="s">
        <v>70</v>
      </c>
      <c r="D34" s="25" t="s">
        <v>71</v>
      </c>
      <c r="E34" s="6"/>
      <c r="F34" s="6"/>
      <c r="G34" s="6"/>
      <c r="H34" s="6"/>
      <c r="I34" s="6"/>
      <c r="J34" s="12"/>
      <c r="K34" s="6"/>
      <c r="L34" s="6"/>
      <c r="M34" s="6"/>
      <c r="N34" s="6"/>
      <c r="O34" s="6"/>
      <c r="P34" s="6"/>
      <c r="Q34" s="6"/>
      <c r="R34" s="4"/>
    </row>
    <row r="35" spans="2:18">
      <c r="B35" s="2"/>
      <c r="C35" s="6"/>
      <c r="D35" s="6" t="s">
        <v>72</v>
      </c>
      <c r="E35" s="6"/>
      <c r="F35" s="6"/>
      <c r="G35" s="6"/>
      <c r="H35" s="6"/>
      <c r="I35" s="6" t="s">
        <v>13</v>
      </c>
      <c r="J35" s="591">
        <f>$K$27</f>
      </c>
      <c r="K35" s="591"/>
      <c r="L35" s="6" t="s">
        <v>67</v>
      </c>
      <c r="M35" s="411">
        <f ca="1">M36+M37</f>
      </c>
      <c r="N35" s="411" t="s">
        <v>13</v>
      </c>
      <c r="O35" s="411"/>
      <c r="P35" s="413">
        <f ca="1">ROUND(J35*M35,0)</f>
      </c>
      <c r="Q35" s="6"/>
      <c r="R35" s="4"/>
    </row>
    <row r="36" spans="2:18">
      <c r="B36" s="2"/>
      <c r="C36" s="6"/>
      <c r="D36" s="6" t="s">
        <v>73</v>
      </c>
      <c r="E36" s="6"/>
      <c r="F36" s="6"/>
      <c r="G36" s="6"/>
      <c r="H36" s="6"/>
      <c r="I36" s="6" t="s">
        <v>13</v>
      </c>
      <c r="J36" s="591">
        <v>0</v>
      </c>
      <c r="K36" s="591"/>
      <c r="L36" s="6" t="s">
        <v>67</v>
      </c>
      <c r="M36" s="411">
        <v>0</v>
      </c>
      <c r="N36" s="411" t="s">
        <v>13</v>
      </c>
      <c r="O36" s="411"/>
      <c r="P36" s="411">
        <f>J36*M36</f>
      </c>
      <c r="Q36" s="6"/>
      <c r="R36" s="4"/>
    </row>
    <row r="37" spans="2:18">
      <c r="B37" s="2"/>
      <c r="C37" s="6"/>
      <c r="D37" s="6" t="s">
        <v>74</v>
      </c>
      <c r="E37" s="6"/>
      <c r="F37" s="6"/>
      <c r="G37" s="6"/>
      <c r="H37" s="6"/>
      <c r="I37" s="6" t="s">
        <v>13</v>
      </c>
      <c r="J37" s="591">
        <v>0</v>
      </c>
      <c r="K37" s="591"/>
      <c r="L37" s="6" t="s">
        <v>67</v>
      </c>
      <c r="M37" s="411">
        <f ca="1">P32</f>
      </c>
      <c r="N37" s="411" t="s">
        <v>13</v>
      </c>
      <c r="O37" s="411"/>
      <c r="P37" s="414">
        <f ca="1">ROUND(J37*M37,0)</f>
      </c>
      <c r="Q37" s="6"/>
      <c r="R37" s="4"/>
    </row>
    <row r="38" spans="2:18">
      <c r="B38" s="2"/>
      <c r="C38" s="6"/>
      <c r="D38" s="6"/>
      <c r="E38" s="6"/>
      <c r="F38" s="6"/>
      <c r="G38" s="6"/>
      <c r="H38" s="6"/>
      <c r="I38" s="6"/>
      <c r="J38" s="12"/>
      <c r="K38" s="6"/>
      <c r="L38" s="6"/>
      <c r="M38" s="6"/>
      <c r="N38" s="6"/>
      <c r="O38" s="6"/>
      <c r="P38" s="6"/>
      <c r="Q38" s="412">
        <f ca="1">P37</f>
      </c>
      <c r="R38" s="4"/>
    </row>
    <row r="39" spans="2:18">
      <c r="B39" s="2"/>
      <c r="C39" s="6" t="s">
        <v>75</v>
      </c>
      <c r="D39" s="25" t="s">
        <v>76</v>
      </c>
      <c r="E39" s="6"/>
      <c r="F39" s="6"/>
      <c r="G39" s="6"/>
      <c r="H39" s="6"/>
      <c r="I39" s="6"/>
      <c r="J39" s="12"/>
      <c r="K39" s="6"/>
      <c r="L39" s="6"/>
      <c r="M39" s="6"/>
      <c r="N39" s="6"/>
      <c r="O39" s="6"/>
      <c r="P39" s="6"/>
      <c r="Q39" s="6"/>
      <c r="R39" s="4"/>
    </row>
    <row r="40" spans="2:18">
      <c r="B40" s="2"/>
      <c r="C40" s="6"/>
      <c r="D40" s="6" t="s">
        <v>77</v>
      </c>
      <c r="E40" s="6"/>
      <c r="F40" s="6"/>
      <c r="G40" s="6"/>
      <c r="H40" s="6"/>
      <c r="I40" s="6" t="s">
        <v>13</v>
      </c>
      <c r="J40" s="591">
        <f>$K$26</f>
      </c>
      <c r="K40" s="591"/>
      <c r="L40" s="6" t="s">
        <v>67</v>
      </c>
      <c r="M40" s="411">
        <f ca="1">M42+M41</f>
      </c>
      <c r="N40" s="411" t="s">
        <v>13</v>
      </c>
      <c r="O40" s="411"/>
      <c r="P40" s="411">
        <f ca="1">ROUND(J40*M40,0)</f>
      </c>
      <c r="Q40" s="6"/>
      <c r="R40" s="4"/>
    </row>
    <row r="41" spans="2:18">
      <c r="B41" s="2"/>
      <c r="C41" s="6"/>
      <c r="D41" s="6" t="s">
        <v>78</v>
      </c>
      <c r="E41" s="6"/>
      <c r="F41" s="6"/>
      <c r="G41" s="6"/>
      <c r="H41" s="6"/>
      <c r="I41" s="6" t="s">
        <v>13</v>
      </c>
      <c r="J41" s="591">
        <v>0</v>
      </c>
      <c r="K41" s="591"/>
      <c r="L41" s="6" t="s">
        <v>67</v>
      </c>
      <c r="M41" s="411">
        <v>0</v>
      </c>
      <c r="N41" s="411" t="s">
        <v>13</v>
      </c>
      <c r="O41" s="411"/>
      <c r="P41" s="411">
        <f t="shared" ref="P41" si="0">J41*M41</f>
      </c>
      <c r="Q41" s="6"/>
      <c r="R41" s="4"/>
    </row>
    <row r="42" spans="2:18" ht="16.8">
      <c r="B42" s="2"/>
      <c r="C42" s="6"/>
      <c r="D42" s="6" t="s">
        <v>79</v>
      </c>
      <c r="E42" s="6"/>
      <c r="F42" s="6"/>
      <c r="G42" s="6"/>
      <c r="H42" s="6"/>
      <c r="I42" s="6" t="s">
        <v>13</v>
      </c>
      <c r="J42" s="591">
        <v>0</v>
      </c>
      <c r="K42" s="591"/>
      <c r="L42" s="6" t="s">
        <v>67</v>
      </c>
      <c r="M42" s="411">
        <f ca="1">Q33</f>
      </c>
      <c r="N42" s="411" t="s">
        <v>13</v>
      </c>
      <c r="O42" s="411"/>
      <c r="P42" s="415">
        <f ca="1">ROUND(J42*M42,0)</f>
      </c>
      <c r="Q42" s="6"/>
      <c r="R42" s="4"/>
    </row>
    <row r="43" spans="2:18">
      <c r="B43" s="2"/>
      <c r="C43" s="6"/>
      <c r="D43" s="6"/>
      <c r="E43" s="6"/>
      <c r="F43" s="6"/>
      <c r="G43" s="6"/>
      <c r="H43" s="6"/>
      <c r="I43" s="6"/>
      <c r="J43" s="12"/>
      <c r="K43" s="6"/>
      <c r="L43" s="6"/>
      <c r="M43" s="6"/>
      <c r="N43" s="6"/>
      <c r="O43" s="6"/>
      <c r="P43" s="6"/>
      <c r="Q43" s="412">
        <f ca="1">P42</f>
      </c>
      <c r="R43" s="4"/>
    </row>
    <row r="44" spans="2:18">
      <c r="B44" s="2"/>
      <c r="C44" s="6"/>
      <c r="D44" s="6"/>
      <c r="E44" s="6"/>
      <c r="F44" s="6"/>
      <c r="G44" s="6"/>
      <c r="H44" s="6"/>
      <c r="I44" s="6"/>
      <c r="J44" s="12"/>
      <c r="K44" s="6"/>
      <c r="L44" s="6"/>
      <c r="M44" s="6"/>
      <c r="N44" s="6"/>
      <c r="O44" s="6"/>
      <c r="P44" s="6"/>
      <c r="Q44" s="412"/>
      <c r="R44" s="4"/>
    </row>
    <row r="45" spans="2:18">
      <c r="B45" s="2"/>
      <c r="C45" s="6" t="s">
        <v>80</v>
      </c>
      <c r="D45" s="25" t="s">
        <v>81</v>
      </c>
      <c r="E45" s="6"/>
      <c r="F45" s="6"/>
      <c r="G45" s="6"/>
      <c r="H45" s="6"/>
      <c r="I45" s="6"/>
      <c r="J45" s="12"/>
      <c r="K45" s="6"/>
      <c r="L45" s="6"/>
      <c r="M45" s="6"/>
      <c r="N45" s="6"/>
      <c r="P45" s="6"/>
      <c r="Q45" s="6"/>
      <c r="R45" s="4"/>
    </row>
    <row r="46" spans="2:18">
      <c r="B46" s="2"/>
      <c r="C46" s="6"/>
      <c r="D46" s="214"/>
      <c r="E46" s="6"/>
      <c r="F46" s="6"/>
      <c r="G46" s="6"/>
      <c r="H46" s="6"/>
      <c r="I46" s="6"/>
      <c r="J46" s="72"/>
      <c r="K46" s="72"/>
      <c r="L46" s="6"/>
      <c r="M46" s="411"/>
      <c r="N46" s="411"/>
      <c r="P46" s="411"/>
      <c r="Q46" s="6"/>
      <c r="R46" s="4"/>
    </row>
    <row r="47" spans="2:18" ht="16.2" thickBot="1">
      <c r="B47" s="2"/>
      <c r="C47" s="6"/>
      <c r="D47" s="6"/>
      <c r="E47" s="6"/>
      <c r="F47" s="6"/>
      <c r="G47" s="6"/>
      <c r="H47" s="6"/>
      <c r="I47" s="6"/>
      <c r="J47" s="12"/>
      <c r="K47" s="6"/>
      <c r="L47" s="6"/>
      <c r="M47" s="6"/>
      <c r="N47" s="6"/>
      <c r="O47" s="6"/>
      <c r="P47" s="6"/>
      <c r="Q47" s="412">
        <f>SUM(P46)</f>
      </c>
      <c r="R47" s="4"/>
    </row>
    <row r="48" spans="2:18">
      <c r="B48" s="2"/>
      <c r="C48" s="6"/>
      <c r="D48" s="18" t="s">
        <v>82</v>
      </c>
      <c r="E48" s="18"/>
      <c r="F48" s="18"/>
      <c r="G48" s="18"/>
      <c r="H48" s="18"/>
      <c r="I48" s="18"/>
      <c r="J48" s="416"/>
      <c r="K48" s="18"/>
      <c r="L48" s="18"/>
      <c r="M48" s="18"/>
      <c r="N48" s="18"/>
      <c r="O48" s="18"/>
      <c r="P48" s="18"/>
      <c r="Q48" s="417">
        <f ca="1">ROUND((Q33-Q38-Q43-Q47),0)</f>
      </c>
      <c r="R48" s="4"/>
    </row>
    <row r="49" spans="2:18" ht="16.2" thickBot="1">
      <c r="B49" s="2"/>
      <c r="C49" s="6"/>
      <c r="D49" s="267" t="s">
        <v>83</v>
      </c>
      <c r="E49" s="267"/>
      <c r="F49" s="267"/>
      <c r="G49" s="267"/>
      <c r="H49" s="267"/>
      <c r="I49" s="267"/>
      <c r="J49" s="418"/>
      <c r="K49" s="267"/>
      <c r="L49" s="267"/>
      <c r="M49" s="267"/>
      <c r="N49" s="267"/>
      <c r="O49" s="267"/>
      <c r="P49" s="267"/>
      <c r="Q49" s="419">
        <f ca="1">ROUND($Q$48*DATA!$B$11,0)</f>
      </c>
      <c r="R49" s="4"/>
    </row>
    <row r="50" spans="2:18" ht="16.2" thickBot="1">
      <c r="B50" s="2"/>
      <c r="C50" s="6"/>
      <c r="D50" s="18" t="s">
        <v>84</v>
      </c>
      <c r="E50" s="18"/>
      <c r="F50" s="18"/>
      <c r="G50" s="18"/>
      <c r="H50" s="18"/>
      <c r="I50" s="18"/>
      <c r="J50" s="416"/>
      <c r="K50" s="18"/>
      <c r="L50" s="18"/>
      <c r="M50" s="18"/>
      <c r="N50" s="18"/>
      <c r="O50" s="18"/>
      <c r="P50" s="18"/>
      <c r="Q50" s="420">
        <f ca="1">Q48+Q49</f>
      </c>
      <c r="R50" s="4"/>
    </row>
    <row r="51" spans="2:18" ht="16.2" thickBot="1">
      <c r="B51" s="2"/>
      <c r="C51" s="6"/>
      <c r="D51" s="194" t="s">
        <v>85</v>
      </c>
      <c r="E51" s="195"/>
      <c r="F51" s="195"/>
      <c r="G51" s="195"/>
      <c r="H51" s="195"/>
      <c r="I51" s="195"/>
      <c r="J51" s="421"/>
      <c r="K51" s="195"/>
      <c r="L51" s="195"/>
      <c r="M51" s="195"/>
      <c r="N51" s="195"/>
      <c r="O51" s="195"/>
      <c r="P51" s="195"/>
      <c r="Q51" s="422">
        <f ca="1">Q50</f>
      </c>
      <c r="R51" s="4"/>
    </row>
    <row r="52" spans="2:18" ht="16.2" thickTop="1">
      <c r="B52" s="2"/>
      <c r="C52" s="6"/>
      <c r="D52" s="6"/>
      <c r="E52" s="6"/>
      <c r="F52" s="6"/>
      <c r="G52" s="6"/>
      <c r="H52" s="6"/>
      <c r="I52" s="6"/>
      <c r="J52" s="12"/>
      <c r="K52" s="6"/>
      <c r="L52" s="6"/>
      <c r="M52" s="6"/>
      <c r="N52" s="6"/>
      <c r="O52" s="6"/>
      <c r="P52" s="6"/>
      <c r="Q52" s="423"/>
      <c r="R52" s="4"/>
    </row>
    <row r="53" spans="2:18" ht="30.75" customHeight="1">
      <c r="B53" s="2"/>
      <c r="C53" s="592" t="s">
        <v>37</v>
      </c>
      <c r="D53" s="592"/>
      <c r="E53" s="19" t="s">
        <v>2</v>
      </c>
      <c r="F53" s="593">
        <f ca="1">" ==  "&amp;PROPER(IF(Q51=0,"nol",IF(Q51&lt;0,"minus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IF(--MID(TEXT(ABS(Q51),"000000000000000"),1,3)=0,"",MID(TEXT(ABS(Q51),"000000000000000"),1,1)&amp;" ratus "&amp;MID(TEXT(ABS(Q51),"000000000000000"),2,1)&amp;" puluh "&amp;MID(TEXT(ABS(Q51),"000000000000000"),3,1)&amp;" trilyun ")&amp; IF(--MID(TEXT(ABS(Q51),"000000000000000"),4,3)=0,"",MID(TEXT(ABS(Q51),"000000000000000"),4,1)&amp;" ratus "&amp;MID(TEXT(ABS(Q51),"000000000000000"),5,1)&amp;" puluh "&amp;MID(TEXT(ABS(Q51),"000000000000000"),6,1)&amp;" milyar ")&amp; IF(--MID(TEXT(ABS(Q51),"000000000000000"),7,3)=0,"",MID(TEXT(ABS(Q51),"000000000000000"),7,1)&amp;" ratus "&amp;MID(TEXT(ABS(Q51),"000000000000000"),8,1)&amp;" puluh "&amp;MID(TEXT(ABS(Q51),"000000000000000"),9,1)&amp;" juta ")&amp; IF(--MID(TEXT(ABS(Q51),"000000000000000"),10,3)=0,"",IF(--MID(TEXT(ABS(Q51),"000000000000000"),10,3)=1,"*",MID(TEXT(ABS(Q51),"000000000000000"),10,1)&amp;" ratus "&amp;MID(TEXT(ABS(Q51),"000000000000000"),11,1)&amp;" puluh ")&amp;MID(TEXT(ABS(Q51),"000000000000000"),12,1)&amp;" ribu ")&amp; IF(--MID(TEXT(ABS(Q51),"000000000000000"),13,3)=0,"",MID(TEXT(ABS(Q51),"000000000000000"),13,1)&amp;" ratus "&amp;MID(TEXT(ABS(Q51),"000000000000000"),14,1)&amp;" puluh "&amp;MID(TEXT(ABS(Q51),"000000000000000"),15,1)),1,"satu"),2,"dua"),3,"tiga"),4,"empat"),5,"lima"),6,"enam"),7,"tujuh"),8,"delapan"),9,"sembilan"),"0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 =="</f>
      </c>
      <c r="G53" s="594"/>
      <c r="H53" s="594"/>
      <c r="I53" s="594"/>
      <c r="J53" s="594"/>
      <c r="K53" s="594"/>
      <c r="L53" s="594"/>
      <c r="M53" s="594"/>
      <c r="N53" s="594"/>
      <c r="O53" s="594"/>
      <c r="P53" s="594"/>
      <c r="Q53" s="594"/>
      <c r="R53" s="7"/>
    </row>
    <row r="54" spans="2:18">
      <c r="B54" s="2"/>
      <c r="C54" s="6" t="s">
        <v>86</v>
      </c>
      <c r="D54" s="6"/>
      <c r="E54" s="6"/>
      <c r="F54" s="6"/>
      <c r="G54" s="6"/>
      <c r="H54" s="6"/>
      <c r="I54" s="6"/>
      <c r="J54" s="12"/>
      <c r="K54" s="6"/>
      <c r="L54" s="6"/>
      <c r="M54" s="6"/>
      <c r="N54" s="6"/>
      <c r="O54" s="6"/>
      <c r="P54" s="6"/>
      <c r="Q54" s="6"/>
      <c r="R54" s="4"/>
    </row>
    <row r="55" spans="2:18">
      <c r="B55" s="2"/>
      <c r="C55" s="6"/>
      <c r="D55" s="6"/>
      <c r="E55" s="6"/>
      <c r="F55" s="75"/>
      <c r="G55" s="6"/>
      <c r="H55" s="6"/>
      <c r="I55" s="6"/>
      <c r="J55" s="12"/>
      <c r="K55" s="6"/>
      <c r="L55" s="6"/>
      <c r="M55" s="6"/>
      <c r="N55" s="6"/>
      <c r="O55" s="6"/>
      <c r="P55" s="6"/>
      <c r="Q55" s="6"/>
      <c r="R55" s="4"/>
    </row>
    <row r="56" spans="2:18">
      <c r="B56" s="2"/>
      <c r="C56" s="6"/>
      <c r="D56" s="6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4"/>
    </row>
    <row r="57" spans="2:18">
      <c r="B57" s="2"/>
      <c r="C57" s="588" t="s">
        <v>39</v>
      </c>
      <c r="D57" s="588"/>
      <c r="E57" s="588"/>
      <c r="F57" s="588"/>
      <c r="G57" s="588"/>
      <c r="H57" s="588"/>
      <c r="I57" s="6"/>
      <c r="J57" s="6"/>
      <c r="K57" s="6"/>
      <c r="L57" s="6"/>
      <c r="M57" s="6"/>
      <c r="N57" s="6"/>
      <c r="O57" s="6"/>
      <c r="P57" s="588" t="s">
        <v>40</v>
      </c>
      <c r="Q57" s="588"/>
      <c r="R57" s="4"/>
    </row>
    <row r="58" spans="2:18">
      <c r="B58" s="2"/>
      <c r="C58" s="588">
        <f>UPPER(DATA!$B$24)</f>
      </c>
      <c r="D58" s="588"/>
      <c r="E58" s="588"/>
      <c r="F58" s="588"/>
      <c r="G58" s="588"/>
      <c r="H58" s="588"/>
      <c r="I58" s="6"/>
      <c r="J58" s="6"/>
      <c r="K58" s="6"/>
      <c r="L58" s="6"/>
      <c r="M58" s="6"/>
      <c r="N58" s="6"/>
      <c r="O58" s="6"/>
      <c r="P58" s="588">
        <f>UPPER(DATA!$B$17)</f>
      </c>
      <c r="Q58" s="588"/>
      <c r="R58" s="4"/>
    </row>
    <row r="59" spans="2:18">
      <c r="B59" s="2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588"/>
      <c r="Q59" s="588"/>
      <c r="R59" s="4"/>
    </row>
    <row r="60" spans="2:18">
      <c r="B60" s="2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5"/>
      <c r="Q60" s="5"/>
      <c r="R60" s="4"/>
    </row>
    <row r="61" spans="2:18">
      <c r="B61" s="2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5"/>
      <c r="Q61" s="5"/>
      <c r="R61" s="4"/>
    </row>
    <row r="62" spans="2:18">
      <c r="B62" s="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5"/>
      <c r="Q62" s="5"/>
      <c r="R62" s="4"/>
    </row>
    <row r="63" spans="2:18">
      <c r="B63" s="2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4"/>
    </row>
    <row r="64" spans="2:18">
      <c r="B64" s="2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4"/>
    </row>
    <row r="65" spans="2:18">
      <c r="B65" s="2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4"/>
    </row>
    <row r="66" spans="2:18">
      <c r="B66" s="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4"/>
    </row>
    <row r="67" spans="2:18">
      <c r="B67" s="2"/>
      <c r="C67" s="589">
        <f>DATA!$B$22</f>
      </c>
      <c r="D67" s="589"/>
      <c r="E67" s="589"/>
      <c r="F67" s="589"/>
      <c r="G67" s="589"/>
      <c r="H67" s="589"/>
      <c r="I67" s="6"/>
      <c r="J67" s="590"/>
      <c r="K67" s="590"/>
      <c r="L67" s="590"/>
      <c r="M67" s="590"/>
      <c r="N67" s="21"/>
      <c r="O67" s="21"/>
      <c r="P67" s="589">
        <f>DATA!$B$69</f>
      </c>
      <c r="Q67" s="589"/>
      <c r="R67" s="4"/>
    </row>
    <row r="68" spans="2:18">
      <c r="B68" s="2"/>
      <c r="C68" s="588">
        <f>DATA!$B$23</f>
      </c>
      <c r="D68" s="588"/>
      <c r="E68" s="588"/>
      <c r="F68" s="588"/>
      <c r="G68" s="588"/>
      <c r="H68" s="588"/>
      <c r="I68" s="6"/>
      <c r="J68" s="21"/>
      <c r="K68" s="21"/>
      <c r="L68" s="21"/>
      <c r="M68" s="21"/>
      <c r="N68" s="21"/>
      <c r="O68" s="21"/>
      <c r="P68" s="588">
        <f>DATA!$B$70</f>
      </c>
      <c r="Q68" s="588"/>
      <c r="R68" s="4"/>
    </row>
    <row r="69" spans="2:18" ht="9" customHeight="1" thickBot="1"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4"/>
    </row>
    <row r="70" spans="2:18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2:18">
      <c r="C71" s="6"/>
      <c r="D71" s="6"/>
      <c r="E71" s="6"/>
      <c r="F71" s="245">
        <f ca="1">""&amp;PROPER(IF(Q51=0,"nol",IF(Q51&lt;0,"minus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IF(--MID(TEXT(ABS(Q51),"000000000000000"),1,3)=0,"",MID(TEXT(ABS(Q51),"000000000000000"),1,1)&amp;" ratus "&amp;MID(TEXT(ABS(Q51),"000000000000000"),2,1)&amp;" puluh "&amp;MID(TEXT(ABS(Q51),"000000000000000"),3,1)&amp;" trilyun ")&amp; IF(--MID(TEXT(ABS(Q51),"000000000000000"),4,3)=0,"",MID(TEXT(ABS(Q51),"000000000000000"),4,1)&amp;" ratus "&amp;MID(TEXT(ABS(Q51),"000000000000000"),5,1)&amp;" puluh "&amp;MID(TEXT(ABS(Q51),"000000000000000"),6,1)&amp;" milyar ")&amp; IF(--MID(TEXT(ABS(Q51),"000000000000000"),7,3)=0,"",MID(TEXT(ABS(Q51),"000000000000000"),7,1)&amp;" ratus "&amp;MID(TEXT(ABS(Q51),"000000000000000"),8,1)&amp;" puluh "&amp;MID(TEXT(ABS(Q51),"000000000000000"),9,1)&amp;" juta ")&amp; IF(--MID(TEXT(ABS(Q51),"000000000000000"),10,3)=0,"",IF(--MID(TEXT(ABS(Q51),"000000000000000"),10,3)=1,"*",MID(TEXT(ABS(Q51),"000000000000000"),10,1)&amp;" ratus "&amp;MID(TEXT(ABS(Q51),"000000000000000"),11,1)&amp;" puluh ")&amp;MID(TEXT(ABS(Q51),"000000000000000"),12,1)&amp;" ribu ")&amp; IF(--MID(TEXT(ABS(Q51),"000000000000000"),13,3)=0,"",MID(TEXT(ABS(Q51),"000000000000000"),13,1)&amp;" ratus "&amp;MID(TEXT(ABS(Q51),"000000000000000"),14,1)&amp;" puluh "&amp;MID(TEXT(ABS(Q51),"000000000000000"),15,1)),1,"satu"),2,"dua"),3,"tiga"),4,"empat"),5,"lima"),6,"enam"),7,"tujuh"),8,"delapan"),9,"sembilan"),"0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Rupiah"</f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2:18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2:18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</sheetData>
  <mergeCells count="39">
    <mergeCell ref="C68:H68"/>
    <mergeCell ref="P68:Q68"/>
    <mergeCell ref="C58:H58"/>
    <mergeCell ref="P58:Q58"/>
    <mergeCell ref="P59:Q59"/>
    <mergeCell ref="C67:H67"/>
    <mergeCell ref="J67:M67"/>
    <mergeCell ref="P67:Q67"/>
    <mergeCell ref="J41:K41"/>
    <mergeCell ref="J42:K42"/>
    <mergeCell ref="C53:D53"/>
    <mergeCell ref="F53:Q53"/>
    <mergeCell ref="C57:H57"/>
    <mergeCell ref="P57:Q57"/>
    <mergeCell ref="T15:AB15"/>
    <mergeCell ref="J16:Q16"/>
    <mergeCell ref="C18:Q18"/>
    <mergeCell ref="K22:R22"/>
    <mergeCell ref="J40:K40"/>
    <mergeCell ref="K24:M24"/>
    <mergeCell ref="K25:M25"/>
    <mergeCell ref="C28:Q28"/>
    <mergeCell ref="T28:W28"/>
    <mergeCell ref="J29:K29"/>
    <mergeCell ref="J30:K30"/>
    <mergeCell ref="J31:K31"/>
    <mergeCell ref="J32:K32"/>
    <mergeCell ref="J35:K35"/>
    <mergeCell ref="J36:K36"/>
    <mergeCell ref="J37:K37"/>
    <mergeCell ref="K23:L23"/>
    <mergeCell ref="N23:P23"/>
    <mergeCell ref="C4:Q4"/>
    <mergeCell ref="C6:Q6"/>
    <mergeCell ref="C7:Q7"/>
    <mergeCell ref="C10:Q10"/>
    <mergeCell ref="C11:Q11"/>
    <mergeCell ref="C13:Q13"/>
    <mergeCell ref="J15:Q15"/>
  </mergeCells>
  <pageMargins left="0.34" right="0.25" top="0.75" bottom="0.38" header="0.3" footer="0.3"/>
  <pageSetup paperSize="9" scale="62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6DB0-8C25-41BB-983B-BAE580734A08}">
  <sheetPr>
    <tabColor rgb="FF00B0F0"/>
  </sheetPr>
  <dimension ref="A1:Z134"/>
  <sheetViews>
    <sheetView showOutlineSymbols="0" view="pageBreakPreview" zoomScale="70" zoomScaleNormal="87" zoomScaleSheetLayoutView="70" workbookViewId="0">
      <selection activeCell="I5" sqref="I5"/>
    </sheetView>
  </sheetViews>
  <sheetFormatPr defaultColWidth="11.1796875" defaultRowHeight="15"/>
  <cols>
    <col min="1" max="1" width="1" style="28" customWidth="1"/>
    <col min="2" max="2" width="2.81640625" style="28" customWidth="1"/>
    <col min="3" max="3" width="2.54296875" style="28" customWidth="1"/>
    <col min="4" max="4" width="23.453125" style="28" customWidth="1"/>
    <col min="5" max="6" width="2.08984375" style="28" customWidth="1"/>
    <col min="7" max="7" width="1.453125" style="28" customWidth="1"/>
    <col min="8" max="8" width="12.08984375" style="28" customWidth="1"/>
    <col min="9" max="9" width="18.453125" style="28" customWidth="1"/>
    <col min="10" max="10" width="10.453125" style="28" customWidth="1"/>
    <col min="11" max="14" width="9.54296875" style="28" customWidth="1"/>
    <col min="15" max="15" width="10" style="28" customWidth="1"/>
    <col min="16" max="16" width="14.08984375" style="28" customWidth="1"/>
    <col min="17" max="17" width="8" style="28" customWidth="1"/>
    <col min="18" max="18" width="8.81640625" style="28" customWidth="1"/>
    <col min="19" max="19" width="1" style="28" customWidth="1"/>
    <col min="20" max="20" width="11.1796875" style="28"/>
    <col min="21" max="22" width="14" style="28" bestFit="1" customWidth="1"/>
    <col min="23" max="252" width="11.1796875" style="28"/>
    <col min="253" max="253" width="1.81640625" style="28" customWidth="1"/>
    <col min="254" max="255" width="3.81640625" style="28" customWidth="1"/>
    <col min="256" max="256" width="11.81640625" style="28" customWidth="1"/>
    <col min="257" max="258" width="7.81640625" style="28" customWidth="1"/>
    <col min="259" max="260" width="8.81640625" style="28" customWidth="1"/>
    <col min="261" max="261" width="10.81640625" style="28" customWidth="1"/>
    <col min="262" max="262" width="8.81640625" style="28" customWidth="1"/>
    <col min="263" max="263" width="7.81640625" style="28" customWidth="1"/>
    <col min="264" max="264" width="8.81640625" style="28" customWidth="1"/>
    <col min="265" max="265" width="2.81640625" style="28" customWidth="1"/>
    <col min="266" max="266" width="1.81640625" style="28" customWidth="1"/>
    <col min="267" max="508" width="11.1796875" style="28"/>
    <col min="509" max="509" width="1.81640625" style="28" customWidth="1"/>
    <col min="510" max="511" width="3.81640625" style="28" customWidth="1"/>
    <col min="512" max="512" width="11.81640625" style="28" customWidth="1"/>
    <col min="513" max="514" width="7.81640625" style="28" customWidth="1"/>
    <col min="515" max="516" width="8.81640625" style="28" customWidth="1"/>
    <col min="517" max="517" width="10.81640625" style="28" customWidth="1"/>
    <col min="518" max="518" width="8.81640625" style="28" customWidth="1"/>
    <col min="519" max="519" width="7.81640625" style="28" customWidth="1"/>
    <col min="520" max="520" width="8.81640625" style="28" customWidth="1"/>
    <col min="521" max="521" width="2.81640625" style="28" customWidth="1"/>
    <col min="522" max="522" width="1.81640625" style="28" customWidth="1"/>
    <col min="523" max="764" width="11.1796875" style="28"/>
    <col min="765" max="765" width="1.81640625" style="28" customWidth="1"/>
    <col min="766" max="767" width="3.81640625" style="28" customWidth="1"/>
    <col min="768" max="768" width="11.81640625" style="28" customWidth="1"/>
    <col min="769" max="770" width="7.81640625" style="28" customWidth="1"/>
    <col min="771" max="772" width="8.81640625" style="28" customWidth="1"/>
    <col min="773" max="773" width="10.81640625" style="28" customWidth="1"/>
    <col min="774" max="774" width="8.81640625" style="28" customWidth="1"/>
    <col min="775" max="775" width="7.81640625" style="28" customWidth="1"/>
    <col min="776" max="776" width="8.81640625" style="28" customWidth="1"/>
    <col min="777" max="777" width="2.81640625" style="28" customWidth="1"/>
    <col min="778" max="778" width="1.81640625" style="28" customWidth="1"/>
    <col min="779" max="1020" width="11.1796875" style="28"/>
    <col min="1021" max="1021" width="1.81640625" style="28" customWidth="1"/>
    <col min="1022" max="1023" width="3.81640625" style="28" customWidth="1"/>
    <col min="1024" max="1024" width="11.81640625" style="28" customWidth="1"/>
    <col min="1025" max="1026" width="7.81640625" style="28" customWidth="1"/>
    <col min="1027" max="1028" width="8.81640625" style="28" customWidth="1"/>
    <col min="1029" max="1029" width="10.81640625" style="28" customWidth="1"/>
    <col min="1030" max="1030" width="8.81640625" style="28" customWidth="1"/>
    <col min="1031" max="1031" width="7.81640625" style="28" customWidth="1"/>
    <col min="1032" max="1032" width="8.81640625" style="28" customWidth="1"/>
    <col min="1033" max="1033" width="2.81640625" style="28" customWidth="1"/>
    <col min="1034" max="1034" width="1.81640625" style="28" customWidth="1"/>
    <col min="1035" max="1276" width="11.1796875" style="28"/>
    <col min="1277" max="1277" width="1.81640625" style="28" customWidth="1"/>
    <col min="1278" max="1279" width="3.81640625" style="28" customWidth="1"/>
    <col min="1280" max="1280" width="11.81640625" style="28" customWidth="1"/>
    <col min="1281" max="1282" width="7.81640625" style="28" customWidth="1"/>
    <col min="1283" max="1284" width="8.81640625" style="28" customWidth="1"/>
    <col min="1285" max="1285" width="10.81640625" style="28" customWidth="1"/>
    <col min="1286" max="1286" width="8.81640625" style="28" customWidth="1"/>
    <col min="1287" max="1287" width="7.81640625" style="28" customWidth="1"/>
    <col min="1288" max="1288" width="8.81640625" style="28" customWidth="1"/>
    <col min="1289" max="1289" width="2.81640625" style="28" customWidth="1"/>
    <col min="1290" max="1290" width="1.81640625" style="28" customWidth="1"/>
    <col min="1291" max="1532" width="11.1796875" style="28"/>
    <col min="1533" max="1533" width="1.81640625" style="28" customWidth="1"/>
    <col min="1534" max="1535" width="3.81640625" style="28" customWidth="1"/>
    <col min="1536" max="1536" width="11.81640625" style="28" customWidth="1"/>
    <col min="1537" max="1538" width="7.81640625" style="28" customWidth="1"/>
    <col min="1539" max="1540" width="8.81640625" style="28" customWidth="1"/>
    <col min="1541" max="1541" width="10.81640625" style="28" customWidth="1"/>
    <col min="1542" max="1542" width="8.81640625" style="28" customWidth="1"/>
    <col min="1543" max="1543" width="7.81640625" style="28" customWidth="1"/>
    <col min="1544" max="1544" width="8.81640625" style="28" customWidth="1"/>
    <col min="1545" max="1545" width="2.81640625" style="28" customWidth="1"/>
    <col min="1546" max="1546" width="1.81640625" style="28" customWidth="1"/>
    <col min="1547" max="1788" width="11.1796875" style="28"/>
    <col min="1789" max="1789" width="1.81640625" style="28" customWidth="1"/>
    <col min="1790" max="1791" width="3.81640625" style="28" customWidth="1"/>
    <col min="1792" max="1792" width="11.81640625" style="28" customWidth="1"/>
    <col min="1793" max="1794" width="7.81640625" style="28" customWidth="1"/>
    <col min="1795" max="1796" width="8.81640625" style="28" customWidth="1"/>
    <col min="1797" max="1797" width="10.81640625" style="28" customWidth="1"/>
    <col min="1798" max="1798" width="8.81640625" style="28" customWidth="1"/>
    <col min="1799" max="1799" width="7.81640625" style="28" customWidth="1"/>
    <col min="1800" max="1800" width="8.81640625" style="28" customWidth="1"/>
    <col min="1801" max="1801" width="2.81640625" style="28" customWidth="1"/>
    <col min="1802" max="1802" width="1.81640625" style="28" customWidth="1"/>
    <col min="1803" max="2044" width="11.1796875" style="28"/>
    <col min="2045" max="2045" width="1.81640625" style="28" customWidth="1"/>
    <col min="2046" max="2047" width="3.81640625" style="28" customWidth="1"/>
    <col min="2048" max="2048" width="11.81640625" style="28" customWidth="1"/>
    <col min="2049" max="2050" width="7.81640625" style="28" customWidth="1"/>
    <col min="2051" max="2052" width="8.81640625" style="28" customWidth="1"/>
    <col min="2053" max="2053" width="10.81640625" style="28" customWidth="1"/>
    <col min="2054" max="2054" width="8.81640625" style="28" customWidth="1"/>
    <col min="2055" max="2055" width="7.81640625" style="28" customWidth="1"/>
    <col min="2056" max="2056" width="8.81640625" style="28" customWidth="1"/>
    <col min="2057" max="2057" width="2.81640625" style="28" customWidth="1"/>
    <col min="2058" max="2058" width="1.81640625" style="28" customWidth="1"/>
    <col min="2059" max="2300" width="11.1796875" style="28"/>
    <col min="2301" max="2301" width="1.81640625" style="28" customWidth="1"/>
    <col min="2302" max="2303" width="3.81640625" style="28" customWidth="1"/>
    <col min="2304" max="2304" width="11.81640625" style="28" customWidth="1"/>
    <col min="2305" max="2306" width="7.81640625" style="28" customWidth="1"/>
    <col min="2307" max="2308" width="8.81640625" style="28" customWidth="1"/>
    <col min="2309" max="2309" width="10.81640625" style="28" customWidth="1"/>
    <col min="2310" max="2310" width="8.81640625" style="28" customWidth="1"/>
    <col min="2311" max="2311" width="7.81640625" style="28" customWidth="1"/>
    <col min="2312" max="2312" width="8.81640625" style="28" customWidth="1"/>
    <col min="2313" max="2313" width="2.81640625" style="28" customWidth="1"/>
    <col min="2314" max="2314" width="1.81640625" style="28" customWidth="1"/>
    <col min="2315" max="2556" width="11.1796875" style="28"/>
    <col min="2557" max="2557" width="1.81640625" style="28" customWidth="1"/>
    <col min="2558" max="2559" width="3.81640625" style="28" customWidth="1"/>
    <col min="2560" max="2560" width="11.81640625" style="28" customWidth="1"/>
    <col min="2561" max="2562" width="7.81640625" style="28" customWidth="1"/>
    <col min="2563" max="2564" width="8.81640625" style="28" customWidth="1"/>
    <col min="2565" max="2565" width="10.81640625" style="28" customWidth="1"/>
    <col min="2566" max="2566" width="8.81640625" style="28" customWidth="1"/>
    <col min="2567" max="2567" width="7.81640625" style="28" customWidth="1"/>
    <col min="2568" max="2568" width="8.81640625" style="28" customWidth="1"/>
    <col min="2569" max="2569" width="2.81640625" style="28" customWidth="1"/>
    <col min="2570" max="2570" width="1.81640625" style="28" customWidth="1"/>
    <col min="2571" max="2812" width="11.1796875" style="28"/>
    <col min="2813" max="2813" width="1.81640625" style="28" customWidth="1"/>
    <col min="2814" max="2815" width="3.81640625" style="28" customWidth="1"/>
    <col min="2816" max="2816" width="11.81640625" style="28" customWidth="1"/>
    <col min="2817" max="2818" width="7.81640625" style="28" customWidth="1"/>
    <col min="2819" max="2820" width="8.81640625" style="28" customWidth="1"/>
    <col min="2821" max="2821" width="10.81640625" style="28" customWidth="1"/>
    <col min="2822" max="2822" width="8.81640625" style="28" customWidth="1"/>
    <col min="2823" max="2823" width="7.81640625" style="28" customWidth="1"/>
    <col min="2824" max="2824" width="8.81640625" style="28" customWidth="1"/>
    <col min="2825" max="2825" width="2.81640625" style="28" customWidth="1"/>
    <col min="2826" max="2826" width="1.81640625" style="28" customWidth="1"/>
    <col min="2827" max="3068" width="11.1796875" style="28"/>
    <col min="3069" max="3069" width="1.81640625" style="28" customWidth="1"/>
    <col min="3070" max="3071" width="3.81640625" style="28" customWidth="1"/>
    <col min="3072" max="3072" width="11.81640625" style="28" customWidth="1"/>
    <col min="3073" max="3074" width="7.81640625" style="28" customWidth="1"/>
    <col min="3075" max="3076" width="8.81640625" style="28" customWidth="1"/>
    <col min="3077" max="3077" width="10.81640625" style="28" customWidth="1"/>
    <col min="3078" max="3078" width="8.81640625" style="28" customWidth="1"/>
    <col min="3079" max="3079" width="7.81640625" style="28" customWidth="1"/>
    <col min="3080" max="3080" width="8.81640625" style="28" customWidth="1"/>
    <col min="3081" max="3081" width="2.81640625" style="28" customWidth="1"/>
    <col min="3082" max="3082" width="1.81640625" style="28" customWidth="1"/>
    <col min="3083" max="3324" width="11.1796875" style="28"/>
    <col min="3325" max="3325" width="1.81640625" style="28" customWidth="1"/>
    <col min="3326" max="3327" width="3.81640625" style="28" customWidth="1"/>
    <col min="3328" max="3328" width="11.81640625" style="28" customWidth="1"/>
    <col min="3329" max="3330" width="7.81640625" style="28" customWidth="1"/>
    <col min="3331" max="3332" width="8.81640625" style="28" customWidth="1"/>
    <col min="3333" max="3333" width="10.81640625" style="28" customWidth="1"/>
    <col min="3334" max="3334" width="8.81640625" style="28" customWidth="1"/>
    <col min="3335" max="3335" width="7.81640625" style="28" customWidth="1"/>
    <col min="3336" max="3336" width="8.81640625" style="28" customWidth="1"/>
    <col min="3337" max="3337" width="2.81640625" style="28" customWidth="1"/>
    <col min="3338" max="3338" width="1.81640625" style="28" customWidth="1"/>
    <col min="3339" max="3580" width="11.1796875" style="28"/>
    <col min="3581" max="3581" width="1.81640625" style="28" customWidth="1"/>
    <col min="3582" max="3583" width="3.81640625" style="28" customWidth="1"/>
    <col min="3584" max="3584" width="11.81640625" style="28" customWidth="1"/>
    <col min="3585" max="3586" width="7.81640625" style="28" customWidth="1"/>
    <col min="3587" max="3588" width="8.81640625" style="28" customWidth="1"/>
    <col min="3589" max="3589" width="10.81640625" style="28" customWidth="1"/>
    <col min="3590" max="3590" width="8.81640625" style="28" customWidth="1"/>
    <col min="3591" max="3591" width="7.81640625" style="28" customWidth="1"/>
    <col min="3592" max="3592" width="8.81640625" style="28" customWidth="1"/>
    <col min="3593" max="3593" width="2.81640625" style="28" customWidth="1"/>
    <col min="3594" max="3594" width="1.81640625" style="28" customWidth="1"/>
    <col min="3595" max="3836" width="11.1796875" style="28"/>
    <col min="3837" max="3837" width="1.81640625" style="28" customWidth="1"/>
    <col min="3838" max="3839" width="3.81640625" style="28" customWidth="1"/>
    <col min="3840" max="3840" width="11.81640625" style="28" customWidth="1"/>
    <col min="3841" max="3842" width="7.81640625" style="28" customWidth="1"/>
    <col min="3843" max="3844" width="8.81640625" style="28" customWidth="1"/>
    <col min="3845" max="3845" width="10.81640625" style="28" customWidth="1"/>
    <col min="3846" max="3846" width="8.81640625" style="28" customWidth="1"/>
    <col min="3847" max="3847" width="7.81640625" style="28" customWidth="1"/>
    <col min="3848" max="3848" width="8.81640625" style="28" customWidth="1"/>
    <col min="3849" max="3849" width="2.81640625" style="28" customWidth="1"/>
    <col min="3850" max="3850" width="1.81640625" style="28" customWidth="1"/>
    <col min="3851" max="4092" width="11.1796875" style="28"/>
    <col min="4093" max="4093" width="1.81640625" style="28" customWidth="1"/>
    <col min="4094" max="4095" width="3.81640625" style="28" customWidth="1"/>
    <col min="4096" max="4096" width="11.81640625" style="28" customWidth="1"/>
    <col min="4097" max="4098" width="7.81640625" style="28" customWidth="1"/>
    <col min="4099" max="4100" width="8.81640625" style="28" customWidth="1"/>
    <col min="4101" max="4101" width="10.81640625" style="28" customWidth="1"/>
    <col min="4102" max="4102" width="8.81640625" style="28" customWidth="1"/>
    <col min="4103" max="4103" width="7.81640625" style="28" customWidth="1"/>
    <col min="4104" max="4104" width="8.81640625" style="28" customWidth="1"/>
    <col min="4105" max="4105" width="2.81640625" style="28" customWidth="1"/>
    <col min="4106" max="4106" width="1.81640625" style="28" customWidth="1"/>
    <col min="4107" max="4348" width="11.1796875" style="28"/>
    <col min="4349" max="4349" width="1.81640625" style="28" customWidth="1"/>
    <col min="4350" max="4351" width="3.81640625" style="28" customWidth="1"/>
    <col min="4352" max="4352" width="11.81640625" style="28" customWidth="1"/>
    <col min="4353" max="4354" width="7.81640625" style="28" customWidth="1"/>
    <col min="4355" max="4356" width="8.81640625" style="28" customWidth="1"/>
    <col min="4357" max="4357" width="10.81640625" style="28" customWidth="1"/>
    <col min="4358" max="4358" width="8.81640625" style="28" customWidth="1"/>
    <col min="4359" max="4359" width="7.81640625" style="28" customWidth="1"/>
    <col min="4360" max="4360" width="8.81640625" style="28" customWidth="1"/>
    <col min="4361" max="4361" width="2.81640625" style="28" customWidth="1"/>
    <col min="4362" max="4362" width="1.81640625" style="28" customWidth="1"/>
    <col min="4363" max="4604" width="11.1796875" style="28"/>
    <col min="4605" max="4605" width="1.81640625" style="28" customWidth="1"/>
    <col min="4606" max="4607" width="3.81640625" style="28" customWidth="1"/>
    <col min="4608" max="4608" width="11.81640625" style="28" customWidth="1"/>
    <col min="4609" max="4610" width="7.81640625" style="28" customWidth="1"/>
    <col min="4611" max="4612" width="8.81640625" style="28" customWidth="1"/>
    <col min="4613" max="4613" width="10.81640625" style="28" customWidth="1"/>
    <col min="4614" max="4614" width="8.81640625" style="28" customWidth="1"/>
    <col min="4615" max="4615" width="7.81640625" style="28" customWidth="1"/>
    <col min="4616" max="4616" width="8.81640625" style="28" customWidth="1"/>
    <col min="4617" max="4617" width="2.81640625" style="28" customWidth="1"/>
    <col min="4618" max="4618" width="1.81640625" style="28" customWidth="1"/>
    <col min="4619" max="4860" width="11.1796875" style="28"/>
    <col min="4861" max="4861" width="1.81640625" style="28" customWidth="1"/>
    <col min="4862" max="4863" width="3.81640625" style="28" customWidth="1"/>
    <col min="4864" max="4864" width="11.81640625" style="28" customWidth="1"/>
    <col min="4865" max="4866" width="7.81640625" style="28" customWidth="1"/>
    <col min="4867" max="4868" width="8.81640625" style="28" customWidth="1"/>
    <col min="4869" max="4869" width="10.81640625" style="28" customWidth="1"/>
    <col min="4870" max="4870" width="8.81640625" style="28" customWidth="1"/>
    <col min="4871" max="4871" width="7.81640625" style="28" customWidth="1"/>
    <col min="4872" max="4872" width="8.81640625" style="28" customWidth="1"/>
    <col min="4873" max="4873" width="2.81640625" style="28" customWidth="1"/>
    <col min="4874" max="4874" width="1.81640625" style="28" customWidth="1"/>
    <col min="4875" max="5116" width="11.1796875" style="28"/>
    <col min="5117" max="5117" width="1.81640625" style="28" customWidth="1"/>
    <col min="5118" max="5119" width="3.81640625" style="28" customWidth="1"/>
    <col min="5120" max="5120" width="11.81640625" style="28" customWidth="1"/>
    <col min="5121" max="5122" width="7.81640625" style="28" customWidth="1"/>
    <col min="5123" max="5124" width="8.81640625" style="28" customWidth="1"/>
    <col min="5125" max="5125" width="10.81640625" style="28" customWidth="1"/>
    <col min="5126" max="5126" width="8.81640625" style="28" customWidth="1"/>
    <col min="5127" max="5127" width="7.81640625" style="28" customWidth="1"/>
    <col min="5128" max="5128" width="8.81640625" style="28" customWidth="1"/>
    <col min="5129" max="5129" width="2.81640625" style="28" customWidth="1"/>
    <col min="5130" max="5130" width="1.81640625" style="28" customWidth="1"/>
    <col min="5131" max="5372" width="11.1796875" style="28"/>
    <col min="5373" max="5373" width="1.81640625" style="28" customWidth="1"/>
    <col min="5374" max="5375" width="3.81640625" style="28" customWidth="1"/>
    <col min="5376" max="5376" width="11.81640625" style="28" customWidth="1"/>
    <col min="5377" max="5378" width="7.81640625" style="28" customWidth="1"/>
    <col min="5379" max="5380" width="8.81640625" style="28" customWidth="1"/>
    <col min="5381" max="5381" width="10.81640625" style="28" customWidth="1"/>
    <col min="5382" max="5382" width="8.81640625" style="28" customWidth="1"/>
    <col min="5383" max="5383" width="7.81640625" style="28" customWidth="1"/>
    <col min="5384" max="5384" width="8.81640625" style="28" customWidth="1"/>
    <col min="5385" max="5385" width="2.81640625" style="28" customWidth="1"/>
    <col min="5386" max="5386" width="1.81640625" style="28" customWidth="1"/>
    <col min="5387" max="5628" width="11.1796875" style="28"/>
    <col min="5629" max="5629" width="1.81640625" style="28" customWidth="1"/>
    <col min="5630" max="5631" width="3.81640625" style="28" customWidth="1"/>
    <col min="5632" max="5632" width="11.81640625" style="28" customWidth="1"/>
    <col min="5633" max="5634" width="7.81640625" style="28" customWidth="1"/>
    <col min="5635" max="5636" width="8.81640625" style="28" customWidth="1"/>
    <col min="5637" max="5637" width="10.81640625" style="28" customWidth="1"/>
    <col min="5638" max="5638" width="8.81640625" style="28" customWidth="1"/>
    <col min="5639" max="5639" width="7.81640625" style="28" customWidth="1"/>
    <col min="5640" max="5640" width="8.81640625" style="28" customWidth="1"/>
    <col min="5641" max="5641" width="2.81640625" style="28" customWidth="1"/>
    <col min="5642" max="5642" width="1.81640625" style="28" customWidth="1"/>
    <col min="5643" max="5884" width="11.1796875" style="28"/>
    <col min="5885" max="5885" width="1.81640625" style="28" customWidth="1"/>
    <col min="5886" max="5887" width="3.81640625" style="28" customWidth="1"/>
    <col min="5888" max="5888" width="11.81640625" style="28" customWidth="1"/>
    <col min="5889" max="5890" width="7.81640625" style="28" customWidth="1"/>
    <col min="5891" max="5892" width="8.81640625" style="28" customWidth="1"/>
    <col min="5893" max="5893" width="10.81640625" style="28" customWidth="1"/>
    <col min="5894" max="5894" width="8.81640625" style="28" customWidth="1"/>
    <col min="5895" max="5895" width="7.81640625" style="28" customWidth="1"/>
    <col min="5896" max="5896" width="8.81640625" style="28" customWidth="1"/>
    <col min="5897" max="5897" width="2.81640625" style="28" customWidth="1"/>
    <col min="5898" max="5898" width="1.81640625" style="28" customWidth="1"/>
    <col min="5899" max="6140" width="11.1796875" style="28"/>
    <col min="6141" max="6141" width="1.81640625" style="28" customWidth="1"/>
    <col min="6142" max="6143" width="3.81640625" style="28" customWidth="1"/>
    <col min="6144" max="6144" width="11.81640625" style="28" customWidth="1"/>
    <col min="6145" max="6146" width="7.81640625" style="28" customWidth="1"/>
    <col min="6147" max="6148" width="8.81640625" style="28" customWidth="1"/>
    <col min="6149" max="6149" width="10.81640625" style="28" customWidth="1"/>
    <col min="6150" max="6150" width="8.81640625" style="28" customWidth="1"/>
    <col min="6151" max="6151" width="7.81640625" style="28" customWidth="1"/>
    <col min="6152" max="6152" width="8.81640625" style="28" customWidth="1"/>
    <col min="6153" max="6153" width="2.81640625" style="28" customWidth="1"/>
    <col min="6154" max="6154" width="1.81640625" style="28" customWidth="1"/>
    <col min="6155" max="6396" width="11.1796875" style="28"/>
    <col min="6397" max="6397" width="1.81640625" style="28" customWidth="1"/>
    <col min="6398" max="6399" width="3.81640625" style="28" customWidth="1"/>
    <col min="6400" max="6400" width="11.81640625" style="28" customWidth="1"/>
    <col min="6401" max="6402" width="7.81640625" style="28" customWidth="1"/>
    <col min="6403" max="6404" width="8.81640625" style="28" customWidth="1"/>
    <col min="6405" max="6405" width="10.81640625" style="28" customWidth="1"/>
    <col min="6406" max="6406" width="8.81640625" style="28" customWidth="1"/>
    <col min="6407" max="6407" width="7.81640625" style="28" customWidth="1"/>
    <col min="6408" max="6408" width="8.81640625" style="28" customWidth="1"/>
    <col min="6409" max="6409" width="2.81640625" style="28" customWidth="1"/>
    <col min="6410" max="6410" width="1.81640625" style="28" customWidth="1"/>
    <col min="6411" max="6652" width="11.1796875" style="28"/>
    <col min="6653" max="6653" width="1.81640625" style="28" customWidth="1"/>
    <col min="6654" max="6655" width="3.81640625" style="28" customWidth="1"/>
    <col min="6656" max="6656" width="11.81640625" style="28" customWidth="1"/>
    <col min="6657" max="6658" width="7.81640625" style="28" customWidth="1"/>
    <col min="6659" max="6660" width="8.81640625" style="28" customWidth="1"/>
    <col min="6661" max="6661" width="10.81640625" style="28" customWidth="1"/>
    <col min="6662" max="6662" width="8.81640625" style="28" customWidth="1"/>
    <col min="6663" max="6663" width="7.81640625" style="28" customWidth="1"/>
    <col min="6664" max="6664" width="8.81640625" style="28" customWidth="1"/>
    <col min="6665" max="6665" width="2.81640625" style="28" customWidth="1"/>
    <col min="6666" max="6666" width="1.81640625" style="28" customWidth="1"/>
    <col min="6667" max="6908" width="11.1796875" style="28"/>
    <col min="6909" max="6909" width="1.81640625" style="28" customWidth="1"/>
    <col min="6910" max="6911" width="3.81640625" style="28" customWidth="1"/>
    <col min="6912" max="6912" width="11.81640625" style="28" customWidth="1"/>
    <col min="6913" max="6914" width="7.81640625" style="28" customWidth="1"/>
    <col min="6915" max="6916" width="8.81640625" style="28" customWidth="1"/>
    <col min="6917" max="6917" width="10.81640625" style="28" customWidth="1"/>
    <col min="6918" max="6918" width="8.81640625" style="28" customWidth="1"/>
    <col min="6919" max="6919" width="7.81640625" style="28" customWidth="1"/>
    <col min="6920" max="6920" width="8.81640625" style="28" customWidth="1"/>
    <col min="6921" max="6921" width="2.81640625" style="28" customWidth="1"/>
    <col min="6922" max="6922" width="1.81640625" style="28" customWidth="1"/>
    <col min="6923" max="7164" width="11.1796875" style="28"/>
    <col min="7165" max="7165" width="1.81640625" style="28" customWidth="1"/>
    <col min="7166" max="7167" width="3.81640625" style="28" customWidth="1"/>
    <col min="7168" max="7168" width="11.81640625" style="28" customWidth="1"/>
    <col min="7169" max="7170" width="7.81640625" style="28" customWidth="1"/>
    <col min="7171" max="7172" width="8.81640625" style="28" customWidth="1"/>
    <col min="7173" max="7173" width="10.81640625" style="28" customWidth="1"/>
    <col min="7174" max="7174" width="8.81640625" style="28" customWidth="1"/>
    <col min="7175" max="7175" width="7.81640625" style="28" customWidth="1"/>
    <col min="7176" max="7176" width="8.81640625" style="28" customWidth="1"/>
    <col min="7177" max="7177" width="2.81640625" style="28" customWidth="1"/>
    <col min="7178" max="7178" width="1.81640625" style="28" customWidth="1"/>
    <col min="7179" max="7420" width="11.1796875" style="28"/>
    <col min="7421" max="7421" width="1.81640625" style="28" customWidth="1"/>
    <col min="7422" max="7423" width="3.81640625" style="28" customWidth="1"/>
    <col min="7424" max="7424" width="11.81640625" style="28" customWidth="1"/>
    <col min="7425" max="7426" width="7.81640625" style="28" customWidth="1"/>
    <col min="7427" max="7428" width="8.81640625" style="28" customWidth="1"/>
    <col min="7429" max="7429" width="10.81640625" style="28" customWidth="1"/>
    <col min="7430" max="7430" width="8.81640625" style="28" customWidth="1"/>
    <col min="7431" max="7431" width="7.81640625" style="28" customWidth="1"/>
    <col min="7432" max="7432" width="8.81640625" style="28" customWidth="1"/>
    <col min="7433" max="7433" width="2.81640625" style="28" customWidth="1"/>
    <col min="7434" max="7434" width="1.81640625" style="28" customWidth="1"/>
    <col min="7435" max="7676" width="11.1796875" style="28"/>
    <col min="7677" max="7677" width="1.81640625" style="28" customWidth="1"/>
    <col min="7678" max="7679" width="3.81640625" style="28" customWidth="1"/>
    <col min="7680" max="7680" width="11.81640625" style="28" customWidth="1"/>
    <col min="7681" max="7682" width="7.81640625" style="28" customWidth="1"/>
    <col min="7683" max="7684" width="8.81640625" style="28" customWidth="1"/>
    <col min="7685" max="7685" width="10.81640625" style="28" customWidth="1"/>
    <col min="7686" max="7686" width="8.81640625" style="28" customWidth="1"/>
    <col min="7687" max="7687" width="7.81640625" style="28" customWidth="1"/>
    <col min="7688" max="7688" width="8.81640625" style="28" customWidth="1"/>
    <col min="7689" max="7689" width="2.81640625" style="28" customWidth="1"/>
    <col min="7690" max="7690" width="1.81640625" style="28" customWidth="1"/>
    <col min="7691" max="7932" width="11.1796875" style="28"/>
    <col min="7933" max="7933" width="1.81640625" style="28" customWidth="1"/>
    <col min="7934" max="7935" width="3.81640625" style="28" customWidth="1"/>
    <col min="7936" max="7936" width="11.81640625" style="28" customWidth="1"/>
    <col min="7937" max="7938" width="7.81640625" style="28" customWidth="1"/>
    <col min="7939" max="7940" width="8.81640625" style="28" customWidth="1"/>
    <col min="7941" max="7941" width="10.81640625" style="28" customWidth="1"/>
    <col min="7942" max="7942" width="8.81640625" style="28" customWidth="1"/>
    <col min="7943" max="7943" width="7.81640625" style="28" customWidth="1"/>
    <col min="7944" max="7944" width="8.81640625" style="28" customWidth="1"/>
    <col min="7945" max="7945" width="2.81640625" style="28" customWidth="1"/>
    <col min="7946" max="7946" width="1.81640625" style="28" customWidth="1"/>
    <col min="7947" max="8188" width="11.1796875" style="28"/>
    <col min="8189" max="8189" width="1.81640625" style="28" customWidth="1"/>
    <col min="8190" max="8191" width="3.81640625" style="28" customWidth="1"/>
    <col min="8192" max="8192" width="11.81640625" style="28" customWidth="1"/>
    <col min="8193" max="8194" width="7.81640625" style="28" customWidth="1"/>
    <col min="8195" max="8196" width="8.81640625" style="28" customWidth="1"/>
    <col min="8197" max="8197" width="10.81640625" style="28" customWidth="1"/>
    <col min="8198" max="8198" width="8.81640625" style="28" customWidth="1"/>
    <col min="8199" max="8199" width="7.81640625" style="28" customWidth="1"/>
    <col min="8200" max="8200" width="8.81640625" style="28" customWidth="1"/>
    <col min="8201" max="8201" width="2.81640625" style="28" customWidth="1"/>
    <col min="8202" max="8202" width="1.81640625" style="28" customWidth="1"/>
    <col min="8203" max="8444" width="11.1796875" style="28"/>
    <col min="8445" max="8445" width="1.81640625" style="28" customWidth="1"/>
    <col min="8446" max="8447" width="3.81640625" style="28" customWidth="1"/>
    <col min="8448" max="8448" width="11.81640625" style="28" customWidth="1"/>
    <col min="8449" max="8450" width="7.81640625" style="28" customWidth="1"/>
    <col min="8451" max="8452" width="8.81640625" style="28" customWidth="1"/>
    <col min="8453" max="8453" width="10.81640625" style="28" customWidth="1"/>
    <col min="8454" max="8454" width="8.81640625" style="28" customWidth="1"/>
    <col min="8455" max="8455" width="7.81640625" style="28" customWidth="1"/>
    <col min="8456" max="8456" width="8.81640625" style="28" customWidth="1"/>
    <col min="8457" max="8457" width="2.81640625" style="28" customWidth="1"/>
    <col min="8458" max="8458" width="1.81640625" style="28" customWidth="1"/>
    <col min="8459" max="8700" width="11.1796875" style="28"/>
    <col min="8701" max="8701" width="1.81640625" style="28" customWidth="1"/>
    <col min="8702" max="8703" width="3.81640625" style="28" customWidth="1"/>
    <col min="8704" max="8704" width="11.81640625" style="28" customWidth="1"/>
    <col min="8705" max="8706" width="7.81640625" style="28" customWidth="1"/>
    <col min="8707" max="8708" width="8.81640625" style="28" customWidth="1"/>
    <col min="8709" max="8709" width="10.81640625" style="28" customWidth="1"/>
    <col min="8710" max="8710" width="8.81640625" style="28" customWidth="1"/>
    <col min="8711" max="8711" width="7.81640625" style="28" customWidth="1"/>
    <col min="8712" max="8712" width="8.81640625" style="28" customWidth="1"/>
    <col min="8713" max="8713" width="2.81640625" style="28" customWidth="1"/>
    <col min="8714" max="8714" width="1.81640625" style="28" customWidth="1"/>
    <col min="8715" max="8956" width="11.1796875" style="28"/>
    <col min="8957" max="8957" width="1.81640625" style="28" customWidth="1"/>
    <col min="8958" max="8959" width="3.81640625" style="28" customWidth="1"/>
    <col min="8960" max="8960" width="11.81640625" style="28" customWidth="1"/>
    <col min="8961" max="8962" width="7.81640625" style="28" customWidth="1"/>
    <col min="8963" max="8964" width="8.81640625" style="28" customWidth="1"/>
    <col min="8965" max="8965" width="10.81640625" style="28" customWidth="1"/>
    <col min="8966" max="8966" width="8.81640625" style="28" customWidth="1"/>
    <col min="8967" max="8967" width="7.81640625" style="28" customWidth="1"/>
    <col min="8968" max="8968" width="8.81640625" style="28" customWidth="1"/>
    <col min="8969" max="8969" width="2.81640625" style="28" customWidth="1"/>
    <col min="8970" max="8970" width="1.81640625" style="28" customWidth="1"/>
    <col min="8971" max="9212" width="11.1796875" style="28"/>
    <col min="9213" max="9213" width="1.81640625" style="28" customWidth="1"/>
    <col min="9214" max="9215" width="3.81640625" style="28" customWidth="1"/>
    <col min="9216" max="9216" width="11.81640625" style="28" customWidth="1"/>
    <col min="9217" max="9218" width="7.81640625" style="28" customWidth="1"/>
    <col min="9219" max="9220" width="8.81640625" style="28" customWidth="1"/>
    <col min="9221" max="9221" width="10.81640625" style="28" customWidth="1"/>
    <col min="9222" max="9222" width="8.81640625" style="28" customWidth="1"/>
    <col min="9223" max="9223" width="7.81640625" style="28" customWidth="1"/>
    <col min="9224" max="9224" width="8.81640625" style="28" customWidth="1"/>
    <col min="9225" max="9225" width="2.81640625" style="28" customWidth="1"/>
    <col min="9226" max="9226" width="1.81640625" style="28" customWidth="1"/>
    <col min="9227" max="9468" width="11.1796875" style="28"/>
    <col min="9469" max="9469" width="1.81640625" style="28" customWidth="1"/>
    <col min="9470" max="9471" width="3.81640625" style="28" customWidth="1"/>
    <col min="9472" max="9472" width="11.81640625" style="28" customWidth="1"/>
    <col min="9473" max="9474" width="7.81640625" style="28" customWidth="1"/>
    <col min="9475" max="9476" width="8.81640625" style="28" customWidth="1"/>
    <col min="9477" max="9477" width="10.81640625" style="28" customWidth="1"/>
    <col min="9478" max="9478" width="8.81640625" style="28" customWidth="1"/>
    <col min="9479" max="9479" width="7.81640625" style="28" customWidth="1"/>
    <col min="9480" max="9480" width="8.81640625" style="28" customWidth="1"/>
    <col min="9481" max="9481" width="2.81640625" style="28" customWidth="1"/>
    <col min="9482" max="9482" width="1.81640625" style="28" customWidth="1"/>
    <col min="9483" max="9724" width="11.1796875" style="28"/>
    <col min="9725" max="9725" width="1.81640625" style="28" customWidth="1"/>
    <col min="9726" max="9727" width="3.81640625" style="28" customWidth="1"/>
    <col min="9728" max="9728" width="11.81640625" style="28" customWidth="1"/>
    <col min="9729" max="9730" width="7.81640625" style="28" customWidth="1"/>
    <col min="9731" max="9732" width="8.81640625" style="28" customWidth="1"/>
    <col min="9733" max="9733" width="10.81640625" style="28" customWidth="1"/>
    <col min="9734" max="9734" width="8.81640625" style="28" customWidth="1"/>
    <col min="9735" max="9735" width="7.81640625" style="28" customWidth="1"/>
    <col min="9736" max="9736" width="8.81640625" style="28" customWidth="1"/>
    <col min="9737" max="9737" width="2.81640625" style="28" customWidth="1"/>
    <col min="9738" max="9738" width="1.81640625" style="28" customWidth="1"/>
    <col min="9739" max="9980" width="11.1796875" style="28"/>
    <col min="9981" max="9981" width="1.81640625" style="28" customWidth="1"/>
    <col min="9982" max="9983" width="3.81640625" style="28" customWidth="1"/>
    <col min="9984" max="9984" width="11.81640625" style="28" customWidth="1"/>
    <col min="9985" max="9986" width="7.81640625" style="28" customWidth="1"/>
    <col min="9987" max="9988" width="8.81640625" style="28" customWidth="1"/>
    <col min="9989" max="9989" width="10.81640625" style="28" customWidth="1"/>
    <col min="9990" max="9990" width="8.81640625" style="28" customWidth="1"/>
    <col min="9991" max="9991" width="7.81640625" style="28" customWidth="1"/>
    <col min="9992" max="9992" width="8.81640625" style="28" customWidth="1"/>
    <col min="9993" max="9993" width="2.81640625" style="28" customWidth="1"/>
    <col min="9994" max="9994" width="1.81640625" style="28" customWidth="1"/>
    <col min="9995" max="10236" width="11.1796875" style="28"/>
    <col min="10237" max="10237" width="1.81640625" style="28" customWidth="1"/>
    <col min="10238" max="10239" width="3.81640625" style="28" customWidth="1"/>
    <col min="10240" max="10240" width="11.81640625" style="28" customWidth="1"/>
    <col min="10241" max="10242" width="7.81640625" style="28" customWidth="1"/>
    <col min="10243" max="10244" width="8.81640625" style="28" customWidth="1"/>
    <col min="10245" max="10245" width="10.81640625" style="28" customWidth="1"/>
    <col min="10246" max="10246" width="8.81640625" style="28" customWidth="1"/>
    <col min="10247" max="10247" width="7.81640625" style="28" customWidth="1"/>
    <col min="10248" max="10248" width="8.81640625" style="28" customWidth="1"/>
    <col min="10249" max="10249" width="2.81640625" style="28" customWidth="1"/>
    <col min="10250" max="10250" width="1.81640625" style="28" customWidth="1"/>
    <col min="10251" max="10492" width="11.1796875" style="28"/>
    <col min="10493" max="10493" width="1.81640625" style="28" customWidth="1"/>
    <col min="10494" max="10495" width="3.81640625" style="28" customWidth="1"/>
    <col min="10496" max="10496" width="11.81640625" style="28" customWidth="1"/>
    <col min="10497" max="10498" width="7.81640625" style="28" customWidth="1"/>
    <col min="10499" max="10500" width="8.81640625" style="28" customWidth="1"/>
    <col min="10501" max="10501" width="10.81640625" style="28" customWidth="1"/>
    <col min="10502" max="10502" width="8.81640625" style="28" customWidth="1"/>
    <col min="10503" max="10503" width="7.81640625" style="28" customWidth="1"/>
    <col min="10504" max="10504" width="8.81640625" style="28" customWidth="1"/>
    <col min="10505" max="10505" width="2.81640625" style="28" customWidth="1"/>
    <col min="10506" max="10506" width="1.81640625" style="28" customWidth="1"/>
    <col min="10507" max="10748" width="11.1796875" style="28"/>
    <col min="10749" max="10749" width="1.81640625" style="28" customWidth="1"/>
    <col min="10750" max="10751" width="3.81640625" style="28" customWidth="1"/>
    <col min="10752" max="10752" width="11.81640625" style="28" customWidth="1"/>
    <col min="10753" max="10754" width="7.81640625" style="28" customWidth="1"/>
    <col min="10755" max="10756" width="8.81640625" style="28" customWidth="1"/>
    <col min="10757" max="10757" width="10.81640625" style="28" customWidth="1"/>
    <col min="10758" max="10758" width="8.81640625" style="28" customWidth="1"/>
    <col min="10759" max="10759" width="7.81640625" style="28" customWidth="1"/>
    <col min="10760" max="10760" width="8.81640625" style="28" customWidth="1"/>
    <col min="10761" max="10761" width="2.81640625" style="28" customWidth="1"/>
    <col min="10762" max="10762" width="1.81640625" style="28" customWidth="1"/>
    <col min="10763" max="11004" width="11.1796875" style="28"/>
    <col min="11005" max="11005" width="1.81640625" style="28" customWidth="1"/>
    <col min="11006" max="11007" width="3.81640625" style="28" customWidth="1"/>
    <col min="11008" max="11008" width="11.81640625" style="28" customWidth="1"/>
    <col min="11009" max="11010" width="7.81640625" style="28" customWidth="1"/>
    <col min="11011" max="11012" width="8.81640625" style="28" customWidth="1"/>
    <col min="11013" max="11013" width="10.81640625" style="28" customWidth="1"/>
    <col min="11014" max="11014" width="8.81640625" style="28" customWidth="1"/>
    <col min="11015" max="11015" width="7.81640625" style="28" customWidth="1"/>
    <col min="11016" max="11016" width="8.81640625" style="28" customWidth="1"/>
    <col min="11017" max="11017" width="2.81640625" style="28" customWidth="1"/>
    <col min="11018" max="11018" width="1.81640625" style="28" customWidth="1"/>
    <col min="11019" max="11260" width="11.1796875" style="28"/>
    <col min="11261" max="11261" width="1.81640625" style="28" customWidth="1"/>
    <col min="11262" max="11263" width="3.81640625" style="28" customWidth="1"/>
    <col min="11264" max="11264" width="11.81640625" style="28" customWidth="1"/>
    <col min="11265" max="11266" width="7.81640625" style="28" customWidth="1"/>
    <col min="11267" max="11268" width="8.81640625" style="28" customWidth="1"/>
    <col min="11269" max="11269" width="10.81640625" style="28" customWidth="1"/>
    <col min="11270" max="11270" width="8.81640625" style="28" customWidth="1"/>
    <col min="11271" max="11271" width="7.81640625" style="28" customWidth="1"/>
    <col min="11272" max="11272" width="8.81640625" style="28" customWidth="1"/>
    <col min="11273" max="11273" width="2.81640625" style="28" customWidth="1"/>
    <col min="11274" max="11274" width="1.81640625" style="28" customWidth="1"/>
    <col min="11275" max="11516" width="11.1796875" style="28"/>
    <col min="11517" max="11517" width="1.81640625" style="28" customWidth="1"/>
    <col min="11518" max="11519" width="3.81640625" style="28" customWidth="1"/>
    <col min="11520" max="11520" width="11.81640625" style="28" customWidth="1"/>
    <col min="11521" max="11522" width="7.81640625" style="28" customWidth="1"/>
    <col min="11523" max="11524" width="8.81640625" style="28" customWidth="1"/>
    <col min="11525" max="11525" width="10.81640625" style="28" customWidth="1"/>
    <col min="11526" max="11526" width="8.81640625" style="28" customWidth="1"/>
    <col min="11527" max="11527" width="7.81640625" style="28" customWidth="1"/>
    <col min="11528" max="11528" width="8.81640625" style="28" customWidth="1"/>
    <col min="11529" max="11529" width="2.81640625" style="28" customWidth="1"/>
    <col min="11530" max="11530" width="1.81640625" style="28" customWidth="1"/>
    <col min="11531" max="11772" width="11.1796875" style="28"/>
    <col min="11773" max="11773" width="1.81640625" style="28" customWidth="1"/>
    <col min="11774" max="11775" width="3.81640625" style="28" customWidth="1"/>
    <col min="11776" max="11776" width="11.81640625" style="28" customWidth="1"/>
    <col min="11777" max="11778" width="7.81640625" style="28" customWidth="1"/>
    <col min="11779" max="11780" width="8.81640625" style="28" customWidth="1"/>
    <col min="11781" max="11781" width="10.81640625" style="28" customWidth="1"/>
    <col min="11782" max="11782" width="8.81640625" style="28" customWidth="1"/>
    <col min="11783" max="11783" width="7.81640625" style="28" customWidth="1"/>
    <col min="11784" max="11784" width="8.81640625" style="28" customWidth="1"/>
    <col min="11785" max="11785" width="2.81640625" style="28" customWidth="1"/>
    <col min="11786" max="11786" width="1.81640625" style="28" customWidth="1"/>
    <col min="11787" max="12028" width="11.1796875" style="28"/>
    <col min="12029" max="12029" width="1.81640625" style="28" customWidth="1"/>
    <col min="12030" max="12031" width="3.81640625" style="28" customWidth="1"/>
    <col min="12032" max="12032" width="11.81640625" style="28" customWidth="1"/>
    <col min="12033" max="12034" width="7.81640625" style="28" customWidth="1"/>
    <col min="12035" max="12036" width="8.81640625" style="28" customWidth="1"/>
    <col min="12037" max="12037" width="10.81640625" style="28" customWidth="1"/>
    <col min="12038" max="12038" width="8.81640625" style="28" customWidth="1"/>
    <col min="12039" max="12039" width="7.81640625" style="28" customWidth="1"/>
    <col min="12040" max="12040" width="8.81640625" style="28" customWidth="1"/>
    <col min="12041" max="12041" width="2.81640625" style="28" customWidth="1"/>
    <col min="12042" max="12042" width="1.81640625" style="28" customWidth="1"/>
    <col min="12043" max="12284" width="11.1796875" style="28"/>
    <col min="12285" max="12285" width="1.81640625" style="28" customWidth="1"/>
    <col min="12286" max="12287" width="3.81640625" style="28" customWidth="1"/>
    <col min="12288" max="12288" width="11.81640625" style="28" customWidth="1"/>
    <col min="12289" max="12290" width="7.81640625" style="28" customWidth="1"/>
    <col min="12291" max="12292" width="8.81640625" style="28" customWidth="1"/>
    <col min="12293" max="12293" width="10.81640625" style="28" customWidth="1"/>
    <col min="12294" max="12294" width="8.81640625" style="28" customWidth="1"/>
    <col min="12295" max="12295" width="7.81640625" style="28" customWidth="1"/>
    <col min="12296" max="12296" width="8.81640625" style="28" customWidth="1"/>
    <col min="12297" max="12297" width="2.81640625" style="28" customWidth="1"/>
    <col min="12298" max="12298" width="1.81640625" style="28" customWidth="1"/>
    <col min="12299" max="12540" width="11.1796875" style="28"/>
    <col min="12541" max="12541" width="1.81640625" style="28" customWidth="1"/>
    <col min="12542" max="12543" width="3.81640625" style="28" customWidth="1"/>
    <col min="12544" max="12544" width="11.81640625" style="28" customWidth="1"/>
    <col min="12545" max="12546" width="7.81640625" style="28" customWidth="1"/>
    <col min="12547" max="12548" width="8.81640625" style="28" customWidth="1"/>
    <col min="12549" max="12549" width="10.81640625" style="28" customWidth="1"/>
    <col min="12550" max="12550" width="8.81640625" style="28" customWidth="1"/>
    <col min="12551" max="12551" width="7.81640625" style="28" customWidth="1"/>
    <col min="12552" max="12552" width="8.81640625" style="28" customWidth="1"/>
    <col min="12553" max="12553" width="2.81640625" style="28" customWidth="1"/>
    <col min="12554" max="12554" width="1.81640625" style="28" customWidth="1"/>
    <col min="12555" max="12796" width="11.1796875" style="28"/>
    <col min="12797" max="12797" width="1.81640625" style="28" customWidth="1"/>
    <col min="12798" max="12799" width="3.81640625" style="28" customWidth="1"/>
    <col min="12800" max="12800" width="11.81640625" style="28" customWidth="1"/>
    <col min="12801" max="12802" width="7.81640625" style="28" customWidth="1"/>
    <col min="12803" max="12804" width="8.81640625" style="28" customWidth="1"/>
    <col min="12805" max="12805" width="10.81640625" style="28" customWidth="1"/>
    <col min="12806" max="12806" width="8.81640625" style="28" customWidth="1"/>
    <col min="12807" max="12807" width="7.81640625" style="28" customWidth="1"/>
    <col min="12808" max="12808" width="8.81640625" style="28" customWidth="1"/>
    <col min="12809" max="12809" width="2.81640625" style="28" customWidth="1"/>
    <col min="12810" max="12810" width="1.81640625" style="28" customWidth="1"/>
    <col min="12811" max="13052" width="11.1796875" style="28"/>
    <col min="13053" max="13053" width="1.81640625" style="28" customWidth="1"/>
    <col min="13054" max="13055" width="3.81640625" style="28" customWidth="1"/>
    <col min="13056" max="13056" width="11.81640625" style="28" customWidth="1"/>
    <col min="13057" max="13058" width="7.81640625" style="28" customWidth="1"/>
    <col min="13059" max="13060" width="8.81640625" style="28" customWidth="1"/>
    <col min="13061" max="13061" width="10.81640625" style="28" customWidth="1"/>
    <col min="13062" max="13062" width="8.81640625" style="28" customWidth="1"/>
    <col min="13063" max="13063" width="7.81640625" style="28" customWidth="1"/>
    <col min="13064" max="13064" width="8.81640625" style="28" customWidth="1"/>
    <col min="13065" max="13065" width="2.81640625" style="28" customWidth="1"/>
    <col min="13066" max="13066" width="1.81640625" style="28" customWidth="1"/>
    <col min="13067" max="13308" width="11.1796875" style="28"/>
    <col min="13309" max="13309" width="1.81640625" style="28" customWidth="1"/>
    <col min="13310" max="13311" width="3.81640625" style="28" customWidth="1"/>
    <col min="13312" max="13312" width="11.81640625" style="28" customWidth="1"/>
    <col min="13313" max="13314" width="7.81640625" style="28" customWidth="1"/>
    <col min="13315" max="13316" width="8.81640625" style="28" customWidth="1"/>
    <col min="13317" max="13317" width="10.81640625" style="28" customWidth="1"/>
    <col min="13318" max="13318" width="8.81640625" style="28" customWidth="1"/>
    <col min="13319" max="13319" width="7.81640625" style="28" customWidth="1"/>
    <col min="13320" max="13320" width="8.81640625" style="28" customWidth="1"/>
    <col min="13321" max="13321" width="2.81640625" style="28" customWidth="1"/>
    <col min="13322" max="13322" width="1.81640625" style="28" customWidth="1"/>
    <col min="13323" max="13564" width="11.1796875" style="28"/>
    <col min="13565" max="13565" width="1.81640625" style="28" customWidth="1"/>
    <col min="13566" max="13567" width="3.81640625" style="28" customWidth="1"/>
    <col min="13568" max="13568" width="11.81640625" style="28" customWidth="1"/>
    <col min="13569" max="13570" width="7.81640625" style="28" customWidth="1"/>
    <col min="13571" max="13572" width="8.81640625" style="28" customWidth="1"/>
    <col min="13573" max="13573" width="10.81640625" style="28" customWidth="1"/>
    <col min="13574" max="13574" width="8.81640625" style="28" customWidth="1"/>
    <col min="13575" max="13575" width="7.81640625" style="28" customWidth="1"/>
    <col min="13576" max="13576" width="8.81640625" style="28" customWidth="1"/>
    <col min="13577" max="13577" width="2.81640625" style="28" customWidth="1"/>
    <col min="13578" max="13578" width="1.81640625" style="28" customWidth="1"/>
    <col min="13579" max="13820" width="11.1796875" style="28"/>
    <col min="13821" max="13821" width="1.81640625" style="28" customWidth="1"/>
    <col min="13822" max="13823" width="3.81640625" style="28" customWidth="1"/>
    <col min="13824" max="13824" width="11.81640625" style="28" customWidth="1"/>
    <col min="13825" max="13826" width="7.81640625" style="28" customWidth="1"/>
    <col min="13827" max="13828" width="8.81640625" style="28" customWidth="1"/>
    <col min="13829" max="13829" width="10.81640625" style="28" customWidth="1"/>
    <col min="13830" max="13830" width="8.81640625" style="28" customWidth="1"/>
    <col min="13831" max="13831" width="7.81640625" style="28" customWidth="1"/>
    <col min="13832" max="13832" width="8.81640625" style="28" customWidth="1"/>
    <col min="13833" max="13833" width="2.81640625" style="28" customWidth="1"/>
    <col min="13834" max="13834" width="1.81640625" style="28" customWidth="1"/>
    <col min="13835" max="14076" width="11.1796875" style="28"/>
    <col min="14077" max="14077" width="1.81640625" style="28" customWidth="1"/>
    <col min="14078" max="14079" width="3.81640625" style="28" customWidth="1"/>
    <col min="14080" max="14080" width="11.81640625" style="28" customWidth="1"/>
    <col min="14081" max="14082" width="7.81640625" style="28" customWidth="1"/>
    <col min="14083" max="14084" width="8.81640625" style="28" customWidth="1"/>
    <col min="14085" max="14085" width="10.81640625" style="28" customWidth="1"/>
    <col min="14086" max="14086" width="8.81640625" style="28" customWidth="1"/>
    <col min="14087" max="14087" width="7.81640625" style="28" customWidth="1"/>
    <col min="14088" max="14088" width="8.81640625" style="28" customWidth="1"/>
    <col min="14089" max="14089" width="2.81640625" style="28" customWidth="1"/>
    <col min="14090" max="14090" width="1.81640625" style="28" customWidth="1"/>
    <col min="14091" max="14332" width="11.1796875" style="28"/>
    <col min="14333" max="14333" width="1.81640625" style="28" customWidth="1"/>
    <col min="14334" max="14335" width="3.81640625" style="28" customWidth="1"/>
    <col min="14336" max="14336" width="11.81640625" style="28" customWidth="1"/>
    <col min="14337" max="14338" width="7.81640625" style="28" customWidth="1"/>
    <col min="14339" max="14340" width="8.81640625" style="28" customWidth="1"/>
    <col min="14341" max="14341" width="10.81640625" style="28" customWidth="1"/>
    <col min="14342" max="14342" width="8.81640625" style="28" customWidth="1"/>
    <col min="14343" max="14343" width="7.81640625" style="28" customWidth="1"/>
    <col min="14344" max="14344" width="8.81640625" style="28" customWidth="1"/>
    <col min="14345" max="14345" width="2.81640625" style="28" customWidth="1"/>
    <col min="14346" max="14346" width="1.81640625" style="28" customWidth="1"/>
    <col min="14347" max="14588" width="11.1796875" style="28"/>
    <col min="14589" max="14589" width="1.81640625" style="28" customWidth="1"/>
    <col min="14590" max="14591" width="3.81640625" style="28" customWidth="1"/>
    <col min="14592" max="14592" width="11.81640625" style="28" customWidth="1"/>
    <col min="14593" max="14594" width="7.81640625" style="28" customWidth="1"/>
    <col min="14595" max="14596" width="8.81640625" style="28" customWidth="1"/>
    <col min="14597" max="14597" width="10.81640625" style="28" customWidth="1"/>
    <col min="14598" max="14598" width="8.81640625" style="28" customWidth="1"/>
    <col min="14599" max="14599" width="7.81640625" style="28" customWidth="1"/>
    <col min="14600" max="14600" width="8.81640625" style="28" customWidth="1"/>
    <col min="14601" max="14601" width="2.81640625" style="28" customWidth="1"/>
    <col min="14602" max="14602" width="1.81640625" style="28" customWidth="1"/>
    <col min="14603" max="14844" width="11.1796875" style="28"/>
    <col min="14845" max="14845" width="1.81640625" style="28" customWidth="1"/>
    <col min="14846" max="14847" width="3.81640625" style="28" customWidth="1"/>
    <col min="14848" max="14848" width="11.81640625" style="28" customWidth="1"/>
    <col min="14849" max="14850" width="7.81640625" style="28" customWidth="1"/>
    <col min="14851" max="14852" width="8.81640625" style="28" customWidth="1"/>
    <col min="14853" max="14853" width="10.81640625" style="28" customWidth="1"/>
    <col min="14854" max="14854" width="8.81640625" style="28" customWidth="1"/>
    <col min="14855" max="14855" width="7.81640625" style="28" customWidth="1"/>
    <col min="14856" max="14856" width="8.81640625" style="28" customWidth="1"/>
    <col min="14857" max="14857" width="2.81640625" style="28" customWidth="1"/>
    <col min="14858" max="14858" width="1.81640625" style="28" customWidth="1"/>
    <col min="14859" max="15100" width="11.1796875" style="28"/>
    <col min="15101" max="15101" width="1.81640625" style="28" customWidth="1"/>
    <col min="15102" max="15103" width="3.81640625" style="28" customWidth="1"/>
    <col min="15104" max="15104" width="11.81640625" style="28" customWidth="1"/>
    <col min="15105" max="15106" width="7.81640625" style="28" customWidth="1"/>
    <col min="15107" max="15108" width="8.81640625" style="28" customWidth="1"/>
    <col min="15109" max="15109" width="10.81640625" style="28" customWidth="1"/>
    <col min="15110" max="15110" width="8.81640625" style="28" customWidth="1"/>
    <col min="15111" max="15111" width="7.81640625" style="28" customWidth="1"/>
    <col min="15112" max="15112" width="8.81640625" style="28" customWidth="1"/>
    <col min="15113" max="15113" width="2.81640625" style="28" customWidth="1"/>
    <col min="15114" max="15114" width="1.81640625" style="28" customWidth="1"/>
    <col min="15115" max="15356" width="11.1796875" style="28"/>
    <col min="15357" max="15357" width="1.81640625" style="28" customWidth="1"/>
    <col min="15358" max="15359" width="3.81640625" style="28" customWidth="1"/>
    <col min="15360" max="15360" width="11.81640625" style="28" customWidth="1"/>
    <col min="15361" max="15362" width="7.81640625" style="28" customWidth="1"/>
    <col min="15363" max="15364" width="8.81640625" style="28" customWidth="1"/>
    <col min="15365" max="15365" width="10.81640625" style="28" customWidth="1"/>
    <col min="15366" max="15366" width="8.81640625" style="28" customWidth="1"/>
    <col min="15367" max="15367" width="7.81640625" style="28" customWidth="1"/>
    <col min="15368" max="15368" width="8.81640625" style="28" customWidth="1"/>
    <col min="15369" max="15369" width="2.81640625" style="28" customWidth="1"/>
    <col min="15370" max="15370" width="1.81640625" style="28" customWidth="1"/>
    <col min="15371" max="15612" width="11.1796875" style="28"/>
    <col min="15613" max="15613" width="1.81640625" style="28" customWidth="1"/>
    <col min="15614" max="15615" width="3.81640625" style="28" customWidth="1"/>
    <col min="15616" max="15616" width="11.81640625" style="28" customWidth="1"/>
    <col min="15617" max="15618" width="7.81640625" style="28" customWidth="1"/>
    <col min="15619" max="15620" width="8.81640625" style="28" customWidth="1"/>
    <col min="15621" max="15621" width="10.81640625" style="28" customWidth="1"/>
    <col min="15622" max="15622" width="8.81640625" style="28" customWidth="1"/>
    <col min="15623" max="15623" width="7.81640625" style="28" customWidth="1"/>
    <col min="15624" max="15624" width="8.81640625" style="28" customWidth="1"/>
    <col min="15625" max="15625" width="2.81640625" style="28" customWidth="1"/>
    <col min="15626" max="15626" width="1.81640625" style="28" customWidth="1"/>
    <col min="15627" max="15868" width="11.1796875" style="28"/>
    <col min="15869" max="15869" width="1.81640625" style="28" customWidth="1"/>
    <col min="15870" max="15871" width="3.81640625" style="28" customWidth="1"/>
    <col min="15872" max="15872" width="11.81640625" style="28" customWidth="1"/>
    <col min="15873" max="15874" width="7.81640625" style="28" customWidth="1"/>
    <col min="15875" max="15876" width="8.81640625" style="28" customWidth="1"/>
    <col min="15877" max="15877" width="10.81640625" style="28" customWidth="1"/>
    <col min="15878" max="15878" width="8.81640625" style="28" customWidth="1"/>
    <col min="15879" max="15879" width="7.81640625" style="28" customWidth="1"/>
    <col min="15880" max="15880" width="8.81640625" style="28" customWidth="1"/>
    <col min="15881" max="15881" width="2.81640625" style="28" customWidth="1"/>
    <col min="15882" max="15882" width="1.81640625" style="28" customWidth="1"/>
    <col min="15883" max="16124" width="11.1796875" style="28"/>
    <col min="16125" max="16125" width="1.81640625" style="28" customWidth="1"/>
    <col min="16126" max="16127" width="3.81640625" style="28" customWidth="1"/>
    <col min="16128" max="16128" width="11.81640625" style="28" customWidth="1"/>
    <col min="16129" max="16130" width="7.81640625" style="28" customWidth="1"/>
    <col min="16131" max="16132" width="8.81640625" style="28" customWidth="1"/>
    <col min="16133" max="16133" width="10.81640625" style="28" customWidth="1"/>
    <col min="16134" max="16134" width="8.81640625" style="28" customWidth="1"/>
    <col min="16135" max="16135" width="7.81640625" style="28" customWidth="1"/>
    <col min="16136" max="16136" width="8.81640625" style="28" customWidth="1"/>
    <col min="16137" max="16137" width="2.81640625" style="28" customWidth="1"/>
    <col min="16138" max="16138" width="1.81640625" style="28" customWidth="1"/>
    <col min="16139" max="16384" width="11.1796875" style="28"/>
  </cols>
  <sheetData>
    <row r="1" spans="1:26" ht="15.6" thickBot="1"/>
    <row r="2" spans="1:26" ht="21" customHeight="1" thickTop="1">
      <c r="B2" s="29"/>
      <c r="C2" s="30"/>
      <c r="D2" s="31"/>
      <c r="E2" s="31"/>
      <c r="F2" s="31"/>
      <c r="G2" s="31"/>
      <c r="H2" s="31"/>
      <c r="I2" s="31"/>
      <c r="J2" s="30"/>
      <c r="K2" s="30"/>
      <c r="L2" s="30"/>
      <c r="M2" s="30"/>
      <c r="N2" s="30"/>
      <c r="O2" s="30"/>
      <c r="P2" s="30"/>
      <c r="Q2" s="30"/>
      <c r="R2" s="32"/>
      <c r="T2" s="246" cm="1">
        <f t="array" ref="T2">INDEX(DATA!$B$99:$B$104,$T$8)</f>
      </c>
      <c r="U2" s="246"/>
      <c r="V2" s="246">
        <f>TEXT($T$2,"[$-21]dd mmmm yyyy")</f>
      </c>
      <c r="W2" s="261">
        <f>TEXT(T2,"[$-21]dd mmmm yyyy")</f>
      </c>
    </row>
    <row r="3" spans="1:26" ht="17.399999999999999">
      <c r="B3" s="33"/>
      <c r="C3" s="34"/>
      <c r="D3" s="53"/>
      <c r="E3" s="53"/>
      <c r="F3" s="53"/>
      <c r="G3" s="53"/>
      <c r="H3" s="53"/>
      <c r="I3" s="53"/>
      <c r="J3" s="34"/>
      <c r="K3" s="34"/>
      <c r="L3" s="35"/>
      <c r="M3" s="35"/>
      <c r="N3" s="35"/>
      <c r="O3" s="35"/>
      <c r="P3" s="35"/>
      <c r="Q3" s="35"/>
      <c r="R3" s="36"/>
      <c r="T3" s="246">
        <f>TEXT($T$2,"[$-21]dddd")</f>
      </c>
      <c r="U3" s="61"/>
      <c r="V3" s="246"/>
      <c r="W3" s="61"/>
      <c r="X3" s="61"/>
      <c r="Y3" s="61"/>
      <c r="Z3" s="61"/>
    </row>
    <row r="4" spans="1:26">
      <c r="A4" s="37"/>
      <c r="B4" s="38"/>
      <c r="C4" s="39"/>
      <c r="D4" s="40"/>
      <c r="E4" s="40"/>
      <c r="F4" s="40"/>
      <c r="G4" s="40"/>
      <c r="H4" s="40"/>
      <c r="I4" s="40"/>
      <c r="J4" s="40"/>
      <c r="K4" s="37"/>
      <c r="L4" s="37"/>
      <c r="M4" s="37"/>
      <c r="N4" s="37"/>
      <c r="O4" s="37"/>
      <c r="P4" s="37"/>
      <c r="Q4" s="37"/>
      <c r="R4" s="41"/>
      <c r="S4" s="37"/>
      <c r="T4" s="246">
        <f>VLOOKUP(DAY($T$2),HELPER!$A$2:$B$100,2,0)</f>
      </c>
      <c r="U4" s="61"/>
      <c r="V4" s="246"/>
      <c r="W4" s="61"/>
      <c r="X4" s="61"/>
      <c r="Y4" s="61"/>
      <c r="Z4" s="61"/>
    </row>
    <row r="5" spans="1:26">
      <c r="A5" s="37"/>
      <c r="B5" s="38"/>
      <c r="C5" s="39"/>
      <c r="D5" s="40"/>
      <c r="E5" s="40"/>
      <c r="F5" s="40"/>
      <c r="G5" s="40"/>
      <c r="H5" s="40"/>
      <c r="I5" s="40"/>
      <c r="J5" s="40"/>
      <c r="K5" s="37"/>
      <c r="L5" s="37"/>
      <c r="M5" s="37"/>
      <c r="N5" s="37"/>
      <c r="O5" s="37"/>
      <c r="P5" s="37"/>
      <c r="Q5" s="37"/>
      <c r="R5" s="41"/>
      <c r="S5" s="37"/>
      <c r="T5" s="246">
        <f>TEXT($T$2,"[$-21]mmmm")</f>
      </c>
      <c r="U5" s="61"/>
      <c r="V5" s="61"/>
      <c r="W5" s="61"/>
      <c r="X5" s="61"/>
      <c r="Y5" s="61"/>
      <c r="Z5" s="61"/>
    </row>
    <row r="6" spans="1:26" ht="9" customHeight="1">
      <c r="A6" s="37"/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4"/>
      <c r="S6" s="37"/>
      <c r="T6" s="246">
        <f>"Dua Ribu"&amp;IF(MOD(YEAR($T$2),100)=0,""," "&amp;VLOOKUP(MOD(YEAR($T$2),100),HELPER!$A$2:$B$100,2,0))</f>
      </c>
      <c r="U6" s="61"/>
      <c r="V6" s="61"/>
      <c r="W6" s="61"/>
      <c r="X6" s="61"/>
      <c r="Y6" s="61"/>
      <c r="Z6" s="61"/>
    </row>
    <row r="7" spans="1:26" ht="15.6">
      <c r="A7" s="37"/>
      <c r="B7" s="645"/>
      <c r="C7" s="646"/>
      <c r="D7" s="646"/>
      <c r="E7" s="646"/>
      <c r="F7" s="646"/>
      <c r="G7" s="646"/>
      <c r="H7" s="646"/>
      <c r="I7" s="646"/>
      <c r="J7" s="646"/>
      <c r="K7" s="646"/>
      <c r="L7" s="646"/>
      <c r="M7" s="646"/>
      <c r="N7" s="646"/>
      <c r="O7" s="646"/>
      <c r="P7" s="646"/>
      <c r="Q7" s="646"/>
      <c r="R7" s="647"/>
      <c r="S7" s="37"/>
      <c r="T7" s="468" t="s">
        <v>51</v>
      </c>
      <c r="U7" s="61"/>
      <c r="V7" s="61"/>
      <c r="W7" s="61"/>
      <c r="X7" s="61"/>
      <c r="Y7" s="61"/>
      <c r="Z7" s="61"/>
    </row>
    <row r="8" spans="1:26">
      <c r="A8" s="37"/>
      <c r="B8" s="429"/>
      <c r="C8" s="430"/>
      <c r="D8" s="430"/>
      <c r="E8" s="430"/>
      <c r="F8" s="430"/>
      <c r="G8" s="430"/>
      <c r="H8" s="430"/>
      <c r="I8" s="430"/>
      <c r="J8" s="430"/>
      <c r="K8" s="430"/>
      <c r="L8" s="430"/>
      <c r="M8" s="430"/>
      <c r="N8" s="430"/>
      <c r="O8" s="430"/>
      <c r="P8" s="430"/>
      <c r="Q8" s="430"/>
      <c r="R8" s="431"/>
      <c r="S8" s="37"/>
      <c r="T8" s="469">
        <v>1</v>
      </c>
      <c r="U8" s="61"/>
      <c r="V8" s="61"/>
      <c r="W8" s="61"/>
      <c r="X8" s="61"/>
      <c r="Y8" s="61"/>
      <c r="Z8" s="61"/>
    </row>
    <row r="9" spans="1:26" ht="21">
      <c r="A9" s="37"/>
      <c r="B9" s="642" t="s">
        <v>87</v>
      </c>
      <c r="C9" s="643"/>
      <c r="D9" s="643"/>
      <c r="E9" s="643"/>
      <c r="F9" s="643"/>
      <c r="G9" s="643"/>
      <c r="H9" s="643"/>
      <c r="I9" s="643"/>
      <c r="J9" s="643"/>
      <c r="K9" s="643"/>
      <c r="L9" s="643"/>
      <c r="M9" s="643"/>
      <c r="N9" s="643"/>
      <c r="O9" s="643"/>
      <c r="P9" s="643"/>
      <c r="Q9" s="643"/>
      <c r="R9" s="644"/>
      <c r="S9" s="37"/>
      <c r="T9" s="246"/>
      <c r="U9" s="62"/>
      <c r="V9" s="62"/>
      <c r="W9" s="62"/>
      <c r="X9" s="62"/>
      <c r="Y9" s="62"/>
      <c r="Z9" s="62"/>
    </row>
    <row r="10" spans="1:26">
      <c r="A10" s="37"/>
      <c r="B10" s="645">
        <f>TEXT($T$8,"00")&amp;"/BAPP/"&amp;DATA!$B$4</f>
      </c>
      <c r="C10" s="646"/>
      <c r="D10" s="646"/>
      <c r="E10" s="646"/>
      <c r="F10" s="646"/>
      <c r="G10" s="646"/>
      <c r="H10" s="646"/>
      <c r="I10" s="646"/>
      <c r="J10" s="646"/>
      <c r="K10" s="646"/>
      <c r="L10" s="646"/>
      <c r="M10" s="646"/>
      <c r="N10" s="646"/>
      <c r="O10" s="646"/>
      <c r="P10" s="646"/>
      <c r="Q10" s="646"/>
      <c r="R10" s="647"/>
      <c r="S10" s="37"/>
      <c r="T10" s="246"/>
      <c r="U10" s="62"/>
      <c r="V10" s="62"/>
      <c r="W10" s="62"/>
      <c r="X10" s="62"/>
      <c r="Y10" s="62"/>
      <c r="Z10" s="62"/>
    </row>
    <row r="11" spans="1:26">
      <c r="A11" s="37"/>
      <c r="B11" s="429"/>
      <c r="C11" s="430"/>
      <c r="D11" s="430"/>
      <c r="E11" s="430"/>
      <c r="F11" s="430"/>
      <c r="G11" s="430"/>
      <c r="H11" s="430"/>
      <c r="I11" s="430"/>
      <c r="J11" s="430"/>
      <c r="K11" s="430"/>
      <c r="L11" s="430"/>
      <c r="M11" s="430"/>
      <c r="N11" s="430"/>
      <c r="O11" s="430"/>
      <c r="P11" s="430"/>
      <c r="Q11" s="430"/>
      <c r="R11" s="431"/>
      <c r="S11" s="37"/>
      <c r="T11" s="246"/>
      <c r="U11" s="62"/>
      <c r="V11" s="62"/>
      <c r="W11" s="62"/>
      <c r="X11" s="62"/>
      <c r="Y11" s="62"/>
      <c r="Z11" s="62"/>
    </row>
    <row r="12" spans="1:26" ht="21" customHeight="1">
      <c r="A12" s="37"/>
      <c r="B12" s="38"/>
      <c r="C12" s="648">
        <f>"Pada hari ini "&amp;T3&amp;" tanggal "&amp;T4&amp;" bulan "&amp;T5&amp;" tahun "&amp;T6&amp;" ("&amp;V2&amp;"), kami yang bertandatangan di bawah ini:"</f>
      </c>
      <c r="D12" s="648"/>
      <c r="E12" s="648"/>
      <c r="F12" s="648"/>
      <c r="G12" s="648"/>
      <c r="H12" s="648"/>
      <c r="I12" s="648"/>
      <c r="J12" s="648"/>
      <c r="K12" s="648"/>
      <c r="L12" s="648"/>
      <c r="M12" s="648"/>
      <c r="N12" s="648"/>
      <c r="O12" s="648"/>
      <c r="P12" s="648"/>
      <c r="Q12" s="648"/>
      <c r="R12" s="46"/>
      <c r="S12" s="37"/>
      <c r="T12" s="62"/>
      <c r="U12" s="62"/>
      <c r="V12" s="62"/>
      <c r="W12" s="62"/>
      <c r="X12" s="62"/>
      <c r="Y12" s="62"/>
      <c r="Z12" s="62"/>
    </row>
    <row r="13" spans="1:26" ht="5.25" customHeight="1">
      <c r="A13" s="37"/>
      <c r="B13" s="38"/>
      <c r="C13" s="43"/>
      <c r="D13" s="60"/>
      <c r="E13" s="60"/>
      <c r="F13" s="60"/>
      <c r="G13" s="60"/>
      <c r="H13" s="60"/>
      <c r="I13" s="60"/>
      <c r="J13" s="43"/>
      <c r="K13" s="43"/>
      <c r="L13" s="43"/>
      <c r="M13" s="43"/>
      <c r="N13" s="43"/>
      <c r="O13" s="43"/>
      <c r="P13" s="43"/>
      <c r="Q13" s="43"/>
      <c r="R13" s="46"/>
      <c r="S13" s="37"/>
      <c r="T13" s="62"/>
      <c r="U13" s="62"/>
      <c r="V13" s="62"/>
      <c r="W13" s="62"/>
      <c r="X13" s="62"/>
      <c r="Y13" s="62"/>
      <c r="Z13" s="62"/>
    </row>
    <row r="14" spans="1:26" ht="18" customHeight="1">
      <c r="A14" s="37"/>
      <c r="B14" s="38"/>
      <c r="C14" s="221" t="s">
        <v>88</v>
      </c>
      <c r="D14" s="222">
        <f>DATA!$B$14</f>
      </c>
      <c r="E14" s="222" t="s">
        <v>2</v>
      </c>
      <c r="F14" s="630">
        <f>"Selaku "&amp;DATA!$B$16&amp;", Proyek "&amp;DATA!$B$7&amp;", dalam hal ini bertindak untuk dan atas nama "&amp;DATA!$B$17&amp;", yang berkedudukan di "&amp;DATA!$B$18</f>
      </c>
      <c r="G14" s="630"/>
      <c r="H14" s="630"/>
      <c r="I14" s="630"/>
      <c r="J14" s="630"/>
      <c r="K14" s="630"/>
      <c r="L14" s="630"/>
      <c r="M14" s="630"/>
      <c r="N14" s="630"/>
      <c r="O14" s="630"/>
      <c r="P14" s="630"/>
      <c r="Q14" s="630"/>
      <c r="R14" s="631"/>
      <c r="S14" s="37" t="s">
        <v>89</v>
      </c>
    </row>
    <row r="15" spans="1:26" ht="12.45" customHeight="1">
      <c r="A15" s="37"/>
      <c r="B15" s="38"/>
      <c r="C15" s="43"/>
      <c r="D15" s="60"/>
      <c r="E15" s="60"/>
      <c r="F15" s="630"/>
      <c r="G15" s="630"/>
      <c r="H15" s="630"/>
      <c r="I15" s="630"/>
      <c r="J15" s="630"/>
      <c r="K15" s="630"/>
      <c r="L15" s="630"/>
      <c r="M15" s="630"/>
      <c r="N15" s="630"/>
      <c r="O15" s="630"/>
      <c r="P15" s="630"/>
      <c r="Q15" s="630"/>
      <c r="R15" s="631"/>
      <c r="S15" s="37"/>
      <c r="U15" s="253" t="s">
        <v>90</v>
      </c>
    </row>
    <row r="16" spans="1:26">
      <c r="A16" s="37"/>
      <c r="B16" s="38"/>
      <c r="C16" s="43"/>
      <c r="D16" s="60"/>
      <c r="E16" s="60"/>
      <c r="F16" s="44" t="s">
        <v>91</v>
      </c>
      <c r="G16" s="44"/>
      <c r="H16" s="44"/>
      <c r="I16" s="44"/>
      <c r="J16" s="43"/>
      <c r="M16" s="45"/>
      <c r="N16" s="45"/>
      <c r="O16" s="45"/>
      <c r="P16" s="45"/>
      <c r="Q16" s="45"/>
      <c r="R16" s="46"/>
      <c r="S16" s="37"/>
    </row>
    <row r="17" spans="1:19" ht="7.5" customHeight="1">
      <c r="A17" s="37"/>
      <c r="B17" s="38"/>
      <c r="C17" s="43"/>
      <c r="D17" s="60"/>
      <c r="E17" s="60"/>
      <c r="F17" s="60"/>
      <c r="G17" s="60"/>
      <c r="H17" s="60"/>
      <c r="I17" s="60"/>
      <c r="J17" s="43"/>
      <c r="K17" s="43"/>
      <c r="L17" s="45"/>
      <c r="M17" s="45"/>
      <c r="N17" s="45"/>
      <c r="O17" s="45"/>
      <c r="P17" s="45"/>
      <c r="Q17" s="45"/>
      <c r="R17" s="46"/>
      <c r="S17" s="37"/>
    </row>
    <row r="18" spans="1:19" ht="30.45" customHeight="1">
      <c r="A18" s="37"/>
      <c r="B18" s="38"/>
      <c r="C18" s="221" t="s">
        <v>92</v>
      </c>
      <c r="D18" s="222">
        <f>DATA!$B$22</f>
      </c>
      <c r="E18" s="222" t="s">
        <v>2</v>
      </c>
      <c r="F18" s="630">
        <f>"Selaku "&amp;DATA!$B$23&amp;" "&amp;DATA!$B$24&amp;", dalam hal ini bertindak untuk dan atas nama "&amp;DATA!$B$24&amp;" yang berkedudukan di "&amp;DATA!$B$25</f>
      </c>
      <c r="G18" s="630"/>
      <c r="H18" s="630"/>
      <c r="I18" s="630"/>
      <c r="J18" s="630"/>
      <c r="K18" s="630"/>
      <c r="L18" s="630"/>
      <c r="M18" s="630"/>
      <c r="N18" s="630"/>
      <c r="O18" s="630"/>
      <c r="P18" s="630"/>
      <c r="Q18" s="630"/>
      <c r="R18" s="631"/>
      <c r="S18" s="37" t="s">
        <v>89</v>
      </c>
    </row>
    <row r="19" spans="1:19">
      <c r="A19" s="37"/>
      <c r="B19" s="38"/>
      <c r="C19" s="43"/>
      <c r="D19" s="60"/>
      <c r="E19" s="60"/>
      <c r="F19" s="44" t="s">
        <v>93</v>
      </c>
      <c r="G19" s="44"/>
      <c r="H19" s="44"/>
      <c r="I19" s="44"/>
      <c r="J19" s="43"/>
      <c r="M19" s="45"/>
      <c r="N19" s="45"/>
      <c r="O19" s="45"/>
      <c r="P19" s="45"/>
      <c r="Q19" s="45"/>
      <c r="R19" s="46"/>
      <c r="S19" s="37"/>
    </row>
    <row r="20" spans="1:19" ht="8.4" customHeight="1">
      <c r="A20" s="37"/>
      <c r="B20" s="38"/>
      <c r="C20" s="43"/>
      <c r="D20" s="60"/>
      <c r="E20" s="60"/>
      <c r="F20" s="60"/>
      <c r="G20" s="60"/>
      <c r="H20" s="60"/>
      <c r="I20" s="60"/>
      <c r="J20" s="43"/>
      <c r="K20" s="43"/>
      <c r="L20" s="45"/>
      <c r="M20" s="45"/>
      <c r="N20" s="45"/>
      <c r="O20" s="45"/>
      <c r="P20" s="45"/>
      <c r="Q20" s="45"/>
      <c r="R20" s="46"/>
      <c r="S20" s="37"/>
    </row>
    <row r="21" spans="1:19">
      <c r="A21" s="37"/>
      <c r="B21" s="38"/>
      <c r="C21" s="632">
        <f>"Menerangkan bahwa kedua belah pihak telah setuju dan sepakat melakukan pemeriksaan pekerjaan sesuai dengan lampiran SPPP Nomor "&amp;DATA!$B$4&amp;", dan menyetujui prestasi pekerjaan berdasakan :"</f>
      </c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3"/>
      <c r="S21" s="37"/>
    </row>
    <row r="22" spans="1:19" ht="17.25" customHeight="1">
      <c r="A22" s="37"/>
      <c r="B22" s="38"/>
      <c r="C22" s="632"/>
      <c r="D22" s="632"/>
      <c r="E22" s="632"/>
      <c r="F22" s="632"/>
      <c r="G22" s="63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3"/>
      <c r="S22" s="37"/>
    </row>
    <row r="23" spans="1:19">
      <c r="A23" s="37"/>
      <c r="B23" s="38"/>
      <c r="C23" s="204">
        <v>1</v>
      </c>
      <c r="D23" s="205" t="s">
        <v>53</v>
      </c>
      <c r="E23" s="205"/>
      <c r="F23" s="205"/>
      <c r="G23" s="205" t="s">
        <v>2</v>
      </c>
      <c r="H23" s="206">
        <f>DATA!$B$4</f>
      </c>
      <c r="I23" s="204"/>
      <c r="J23" s="204"/>
      <c r="K23" s="204"/>
      <c r="L23" s="207" t="s">
        <v>94</v>
      </c>
      <c r="M23" s="616">
        <f>TEXT(DATA!$B$5,"[$-21]dd mmmm yyyy")</f>
      </c>
      <c r="N23" s="616"/>
      <c r="R23" s="208"/>
      <c r="S23" s="37"/>
    </row>
    <row r="24" spans="1:19">
      <c r="A24" s="37"/>
      <c r="B24" s="38"/>
      <c r="C24" s="204">
        <v>2</v>
      </c>
      <c r="D24" s="205" t="s">
        <v>59</v>
      </c>
      <c r="E24" s="205"/>
      <c r="F24" s="205"/>
      <c r="G24" s="205" t="s">
        <v>2</v>
      </c>
      <c r="H24" s="207" t="s">
        <v>95</v>
      </c>
      <c r="I24" s="614">
        <f>lamp1!K41</f>
      </c>
      <c r="J24" s="614"/>
      <c r="K24" s="615" t="s">
        <v>60</v>
      </c>
      <c r="L24" s="615"/>
      <c r="N24" s="209"/>
      <c r="O24" s="204"/>
      <c r="P24" s="204"/>
      <c r="Q24" s="204"/>
      <c r="R24" s="208"/>
      <c r="S24" s="37"/>
    </row>
    <row r="25" spans="1:19">
      <c r="A25" s="37"/>
      <c r="B25" s="38"/>
      <c r="C25" s="204">
        <v>3</v>
      </c>
      <c r="D25" s="205" t="s">
        <v>96</v>
      </c>
      <c r="E25" s="205"/>
      <c r="F25" s="205"/>
      <c r="G25" s="205" t="s">
        <v>2</v>
      </c>
      <c r="H25" s="616">
        <f>TEXT(DATA!$B$8,"[$-21]dd mmmm yyyy")</f>
      </c>
      <c r="I25" s="616"/>
      <c r="J25" s="210" t="s">
        <v>97</v>
      </c>
      <c r="K25" s="635">
        <f>TEXT(DATA!$B$9,"[$-21]dd mmmm yyyy")</f>
      </c>
      <c r="L25" s="635"/>
      <c r="M25" s="211"/>
      <c r="Q25" s="204"/>
      <c r="R25" s="208"/>
      <c r="S25" s="37"/>
    </row>
    <row r="26" spans="1:19">
      <c r="A26" s="37"/>
      <c r="B26" s="38"/>
      <c r="C26" s="205" t="s">
        <v>98</v>
      </c>
      <c r="D26" s="204"/>
      <c r="E26" s="204"/>
      <c r="F26" s="204"/>
      <c r="G26" s="204"/>
      <c r="H26" s="204"/>
      <c r="I26" s="205"/>
      <c r="J26" s="204"/>
      <c r="K26" s="204"/>
      <c r="L26" s="204"/>
      <c r="M26" s="204"/>
      <c r="N26" s="204"/>
      <c r="O26" s="204"/>
      <c r="P26" s="204"/>
      <c r="Q26" s="204"/>
      <c r="R26" s="208"/>
      <c r="S26" s="37"/>
    </row>
    <row r="27" spans="1:19" ht="5.25" customHeight="1">
      <c r="A27" s="37"/>
      <c r="B27" s="38"/>
      <c r="C27" s="212"/>
      <c r="D27" s="209"/>
      <c r="E27" s="209"/>
      <c r="F27" s="209"/>
      <c r="G27" s="209"/>
      <c r="H27" s="209"/>
      <c r="I27" s="209"/>
      <c r="J27" s="212"/>
      <c r="K27" s="212"/>
      <c r="L27" s="204"/>
      <c r="M27" s="212"/>
      <c r="N27" s="212"/>
      <c r="O27" s="212"/>
      <c r="P27" s="212"/>
      <c r="Q27" s="212"/>
      <c r="R27" s="208"/>
      <c r="S27" s="37"/>
    </row>
    <row r="28" spans="1:19">
      <c r="A28" s="37"/>
      <c r="B28" s="82"/>
      <c r="C28" s="65"/>
      <c r="D28" s="83"/>
      <c r="E28" s="83"/>
      <c r="F28" s="83"/>
      <c r="G28" s="83"/>
      <c r="H28" s="83"/>
      <c r="I28" s="83"/>
      <c r="J28" s="80" t="s">
        <v>99</v>
      </c>
      <c r="K28" s="80" t="s">
        <v>100</v>
      </c>
      <c r="L28" s="84"/>
      <c r="M28" s="84"/>
      <c r="N28" s="84"/>
      <c r="O28" s="84"/>
      <c r="P28" s="65"/>
      <c r="Q28" s="80" t="s">
        <v>36</v>
      </c>
      <c r="R28" s="47"/>
    </row>
    <row r="29" spans="1:19" ht="15" customHeight="1">
      <c r="A29" s="37"/>
      <c r="B29" s="85"/>
      <c r="C29" s="86"/>
      <c r="D29" s="79"/>
      <c r="E29" s="79"/>
      <c r="F29" s="79"/>
      <c r="G29" s="79"/>
      <c r="H29" s="79"/>
      <c r="I29" s="79"/>
      <c r="J29" s="81" t="s">
        <v>101</v>
      </c>
      <c r="K29" s="80" t="s">
        <v>102</v>
      </c>
      <c r="L29" s="637" t="s">
        <v>103</v>
      </c>
      <c r="M29" s="54" t="s">
        <v>102</v>
      </c>
      <c r="N29" s="80" t="s">
        <v>102</v>
      </c>
      <c r="O29" s="80" t="s">
        <v>104</v>
      </c>
      <c r="P29" s="87" t="s">
        <v>105</v>
      </c>
      <c r="Q29" s="81" t="s">
        <v>105</v>
      </c>
      <c r="R29" s="42"/>
    </row>
    <row r="30" spans="1:19" ht="15" customHeight="1">
      <c r="A30" s="37"/>
      <c r="B30" s="88" t="s">
        <v>106</v>
      </c>
      <c r="C30" s="81" t="s">
        <v>107</v>
      </c>
      <c r="D30" s="89"/>
      <c r="E30" s="89"/>
      <c r="F30" s="89"/>
      <c r="G30" s="89"/>
      <c r="H30" s="89"/>
      <c r="I30" s="89"/>
      <c r="J30" s="81" t="s">
        <v>108</v>
      </c>
      <c r="K30" s="81" t="s">
        <v>109</v>
      </c>
      <c r="L30" s="638"/>
      <c r="M30" s="55" t="s">
        <v>109</v>
      </c>
      <c r="N30" s="81" t="s">
        <v>110</v>
      </c>
      <c r="O30" s="81" t="s">
        <v>111</v>
      </c>
      <c r="P30" s="87" t="s">
        <v>112</v>
      </c>
      <c r="Q30" s="81" t="s">
        <v>110</v>
      </c>
      <c r="R30" s="42"/>
    </row>
    <row r="31" spans="1:19" ht="15.75" customHeight="1">
      <c r="A31" s="37"/>
      <c r="B31" s="85"/>
      <c r="C31" s="86"/>
      <c r="D31" s="79"/>
      <c r="E31" s="79"/>
      <c r="F31" s="79"/>
      <c r="G31" s="79"/>
      <c r="H31" s="79"/>
      <c r="I31" s="79"/>
      <c r="J31" s="81" t="s">
        <v>113</v>
      </c>
      <c r="K31" s="81" t="s">
        <v>114</v>
      </c>
      <c r="L31" s="639"/>
      <c r="M31" s="69" t="s">
        <v>115</v>
      </c>
      <c r="N31" s="81" t="s">
        <v>116</v>
      </c>
      <c r="O31" s="81" t="s">
        <v>117</v>
      </c>
      <c r="P31" s="86"/>
      <c r="Q31" s="81" t="s">
        <v>116</v>
      </c>
      <c r="R31" s="42"/>
    </row>
    <row r="32" spans="1:19">
      <c r="A32" s="37"/>
      <c r="B32" s="48" t="s">
        <v>118</v>
      </c>
      <c r="C32" s="49" t="s">
        <v>119</v>
      </c>
      <c r="D32" s="50"/>
      <c r="E32" s="50"/>
      <c r="F32" s="50"/>
      <c r="G32" s="50"/>
      <c r="H32" s="50"/>
      <c r="I32" s="50"/>
      <c r="J32" s="49">
        <v>3</v>
      </c>
      <c r="K32" s="49">
        <v>4</v>
      </c>
      <c r="L32" s="49">
        <v>5</v>
      </c>
      <c r="M32" s="49" t="s">
        <v>120</v>
      </c>
      <c r="N32" s="49">
        <v>7</v>
      </c>
      <c r="O32" s="49" t="s">
        <v>121</v>
      </c>
      <c r="P32" s="51">
        <v>9</v>
      </c>
      <c r="Q32" s="49" t="s">
        <v>122</v>
      </c>
      <c r="R32" s="52"/>
    </row>
    <row r="33" spans="1:18" ht="18" customHeight="1">
      <c r="A33" s="37"/>
      <c r="B33" s="175"/>
      <c r="C33" s="177"/>
      <c r="D33" s="176"/>
      <c r="E33" s="176"/>
      <c r="F33" s="176"/>
      <c r="G33" s="176"/>
      <c r="H33" s="176"/>
      <c r="I33" s="176"/>
      <c r="J33" s="78"/>
      <c r="K33" s="78"/>
      <c r="L33" s="78"/>
      <c r="M33" s="78"/>
      <c r="N33" s="78"/>
      <c r="O33" s="78"/>
      <c r="P33" s="78"/>
      <c r="Q33" s="608"/>
      <c r="R33" s="609"/>
    </row>
    <row r="34" spans="1:18" ht="30" customHeight="1">
      <c r="A34" s="37"/>
      <c r="B34" s="544"/>
      <c r="C34" s="617">
        <f>'rincian '!C11</f>
      </c>
      <c r="D34" s="618"/>
      <c r="E34" s="618"/>
      <c r="F34" s="618"/>
      <c r="G34" s="618"/>
      <c r="H34" s="618"/>
      <c r="I34" s="619"/>
      <c r="J34" s="545"/>
      <c r="K34" s="546"/>
      <c r="L34" s="546"/>
      <c r="M34" s="546"/>
      <c r="N34" s="546"/>
      <c r="O34" s="546"/>
      <c r="P34" s="546"/>
      <c r="Q34" s="620"/>
      <c r="R34" s="621"/>
    </row>
    <row r="35" spans="1:18" ht="18" customHeight="1">
      <c r="A35" s="37"/>
      <c r="B35" s="498"/>
      <c r="C35" s="499">
        <f>lamp1!C14</f>
      </c>
      <c r="D35" s="500"/>
      <c r="E35" s="500"/>
      <c r="F35" s="500"/>
      <c r="G35" s="500"/>
      <c r="H35" s="500"/>
      <c r="I35" s="500"/>
      <c r="J35" s="501"/>
      <c r="K35" s="501"/>
      <c r="L35" s="501"/>
      <c r="M35" s="501"/>
      <c r="N35" s="501"/>
      <c r="O35" s="501"/>
      <c r="P35" s="502"/>
      <c r="Q35" s="622"/>
      <c r="R35" s="623"/>
    </row>
    <row r="36" spans="1:18" ht="18" customHeight="1">
      <c r="A36" s="37"/>
      <c r="B36" s="404">
        <f>lamp1!B15</f>
      </c>
      <c r="C36" s="499">
        <f>'rincian '!C13</f>
      </c>
      <c r="D36" s="405"/>
      <c r="E36" s="405"/>
      <c r="F36" s="405"/>
      <c r="G36" s="405"/>
      <c r="H36" s="405"/>
      <c r="I36" s="405"/>
      <c r="J36" s="252"/>
      <c r="K36" s="252"/>
      <c r="L36" s="252"/>
      <c r="M36" s="252"/>
      <c r="N36" s="252"/>
      <c r="O36" s="252"/>
      <c r="P36" s="78"/>
      <c r="Q36" s="624"/>
      <c r="R36" s="625"/>
    </row>
    <row r="37" spans="1:18" ht="18" customHeight="1">
      <c r="A37" s="37"/>
      <c r="B37" s="175"/>
      <c r="C37" s="499">
        <f>lamp1!C16</f>
      </c>
      <c r="D37" s="487"/>
      <c r="E37" s="487"/>
      <c r="F37" s="487"/>
      <c r="G37" s="487"/>
      <c r="H37" s="487"/>
      <c r="I37" s="488"/>
      <c r="J37" s="252"/>
      <c r="K37" s="252"/>
      <c r="L37" s="252"/>
      <c r="M37" s="252"/>
      <c r="N37" s="252"/>
      <c r="O37" s="252"/>
      <c r="P37" s="78"/>
      <c r="Q37" s="608"/>
      <c r="R37" s="609"/>
    </row>
    <row r="38" spans="1:18" ht="18" customHeight="1">
      <c r="A38" s="37"/>
      <c r="B38" s="503">
        <f>lamp1!B17</f>
      </c>
      <c r="C38" s="177"/>
      <c r="D38" s="176">
        <f>lamp1!D17</f>
      </c>
      <c r="E38" s="487"/>
      <c r="F38" s="487"/>
      <c r="G38" s="487"/>
      <c r="H38" s="487"/>
      <c r="I38" s="488"/>
      <c r="J38" s="252">
        <f>lamp1!H17</f>
      </c>
      <c r="K38" s="252">
        <f ca="1">'rincian '!S15</f>
      </c>
      <c r="L38" s="252">
        <f>'rincian '!U15</f>
      </c>
      <c r="M38" s="252">
        <f ca="1">K38+L38</f>
      </c>
      <c r="N38" s="252">
        <f>L38</f>
      </c>
      <c r="O38" s="252">
        <f ca="1">J38-M38</f>
      </c>
      <c r="P38" s="78">
        <f>lamp1!J17</f>
      </c>
      <c r="Q38" s="608">
        <f>N38*P38</f>
      </c>
      <c r="R38" s="609"/>
    </row>
    <row r="39" spans="1:18" ht="18" customHeight="1">
      <c r="A39" s="37"/>
      <c r="B39" s="503">
        <f>lamp1!B18</f>
      </c>
      <c r="C39" s="177"/>
      <c r="D39" s="176">
        <f>lamp1!D18</f>
      </c>
      <c r="E39" s="487"/>
      <c r="F39" s="487"/>
      <c r="G39" s="487"/>
      <c r="H39" s="487"/>
      <c r="I39" s="488"/>
      <c r="J39" s="252">
        <f>lamp1!H18</f>
      </c>
      <c r="K39" s="252">
        <f ca="1">'rincian '!S16</f>
      </c>
      <c r="L39" s="252">
        <f>'rincian '!U16</f>
      </c>
      <c r="M39" s="252">
        <f ca="1">K39+L39</f>
      </c>
      <c r="N39" s="252">
        <f>L39</f>
      </c>
      <c r="O39" s="252">
        <f ca="1">J39-M39</f>
      </c>
      <c r="P39" s="78">
        <f>lamp1!J18</f>
      </c>
      <c r="Q39" s="608">
        <f t="shared" ref="Q39:Q49" si="0">N39*P39</f>
      </c>
      <c r="R39" s="609"/>
    </row>
    <row r="40" spans="1:18" ht="18" customHeight="1">
      <c r="A40" s="37"/>
      <c r="B40" s="503">
        <f>lamp1!B19</f>
      </c>
      <c r="C40" s="233"/>
      <c r="D40" s="176">
        <f>lamp1!D19</f>
      </c>
      <c r="E40" s="487"/>
      <c r="F40" s="487"/>
      <c r="G40" s="487"/>
      <c r="H40" s="487"/>
      <c r="I40" s="488"/>
      <c r="J40" s="252">
        <f>lamp1!H19</f>
      </c>
      <c r="K40" s="252">
        <f ca="1">'rincian '!S17</f>
      </c>
      <c r="L40" s="252">
        <f>'rincian '!U17</f>
      </c>
      <c r="M40" s="252">
        <f ca="1">K40+L40</f>
      </c>
      <c r="N40" s="252">
        <f>L40</f>
      </c>
      <c r="O40" s="252">
        <f ca="1">J40-M40</f>
      </c>
      <c r="P40" s="78">
        <f>lamp1!J19</f>
      </c>
      <c r="Q40" s="608">
        <f t="shared" si="0"/>
      </c>
      <c r="R40" s="609"/>
    </row>
    <row r="41" spans="1:18" ht="18" customHeight="1">
      <c r="A41" s="37"/>
      <c r="B41" s="503">
        <f>lamp1!B20</f>
      </c>
      <c r="C41" s="233"/>
      <c r="D41" s="176">
        <f>lamp1!D20</f>
      </c>
      <c r="E41" s="405"/>
      <c r="F41" s="405"/>
      <c r="G41" s="405"/>
      <c r="H41" s="405"/>
      <c r="I41" s="405"/>
      <c r="J41" s="252">
        <f>lamp1!H20</f>
      </c>
      <c r="K41" s="252">
        <f ca="1">'rincian '!S18</f>
      </c>
      <c r="L41" s="252">
        <f>'rincian '!U18</f>
      </c>
      <c r="M41" s="252">
        <f t="shared" ref="M41:M43" ca="1" si="1">K41+L41</f>
      </c>
      <c r="N41" s="252">
        <f t="shared" ref="N41:N43" si="2">L41</f>
      </c>
      <c r="O41" s="252">
        <f t="shared" ref="O41:O45" ca="1" si="3">J41-M41</f>
      </c>
      <c r="P41" s="78">
        <f>lamp1!J20</f>
      </c>
      <c r="Q41" s="608">
        <f t="shared" si="0"/>
      </c>
      <c r="R41" s="609"/>
    </row>
    <row r="42" spans="1:18" ht="18" customHeight="1">
      <c r="A42" s="37"/>
      <c r="B42" s="503">
        <f>lamp1!B21</f>
      </c>
      <c r="C42" s="233"/>
      <c r="D42" s="176">
        <f>lamp1!D21</f>
      </c>
      <c r="E42" s="176"/>
      <c r="F42" s="176"/>
      <c r="G42" s="176"/>
      <c r="H42" s="176"/>
      <c r="I42" s="176"/>
      <c r="J42" s="252">
        <f>lamp1!H21</f>
      </c>
      <c r="K42" s="252">
        <f ca="1">'rincian '!S19</f>
      </c>
      <c r="L42" s="252">
        <f>'rincian '!U19</f>
      </c>
      <c r="M42" s="252">
        <f t="shared" ca="1" si="1"/>
      </c>
      <c r="N42" s="252">
        <f t="shared" si="2"/>
      </c>
      <c r="O42" s="252">
        <f t="shared" ca="1" si="3"/>
      </c>
      <c r="P42" s="78">
        <f>lamp1!J21</f>
      </c>
      <c r="Q42" s="608">
        <f t="shared" si="0"/>
      </c>
      <c r="R42" s="609"/>
    </row>
    <row r="43" spans="1:18" ht="18" customHeight="1">
      <c r="A43" s="37"/>
      <c r="B43" s="503">
        <f>lamp1!B22</f>
      </c>
      <c r="C43" s="233"/>
      <c r="D43" s="176">
        <f>lamp1!D22</f>
      </c>
      <c r="E43" s="176"/>
      <c r="F43" s="176"/>
      <c r="G43" s="176"/>
      <c r="H43" s="176"/>
      <c r="I43" s="176"/>
      <c r="J43" s="252">
        <f>lamp1!H22</f>
      </c>
      <c r="K43" s="252">
        <f ca="1">'rincian '!S20</f>
      </c>
      <c r="L43" s="252">
        <f>'rincian '!U20</f>
      </c>
      <c r="M43" s="252">
        <f t="shared" ca="1" si="1"/>
      </c>
      <c r="N43" s="252">
        <f t="shared" si="2"/>
      </c>
      <c r="O43" s="252">
        <f t="shared" ca="1" si="3"/>
      </c>
      <c r="P43" s="78">
        <f>lamp1!J22</f>
      </c>
      <c r="Q43" s="608">
        <f t="shared" si="0"/>
      </c>
      <c r="R43" s="609"/>
    </row>
    <row r="44" spans="1:18" ht="18" customHeight="1">
      <c r="A44" s="37"/>
      <c r="B44" s="503">
        <f>lamp1!B23</f>
      </c>
      <c r="C44" s="233"/>
      <c r="D44" s="176">
        <f>lamp1!D23</f>
      </c>
      <c r="E44" s="176"/>
      <c r="F44" s="176"/>
      <c r="G44" s="176"/>
      <c r="H44" s="176"/>
      <c r="I44" s="176"/>
      <c r="J44" s="547" t="s">
        <v>4</v>
      </c>
      <c r="K44" s="547" t="s">
        <v>4</v>
      </c>
      <c r="L44" s="547" t="s">
        <v>4</v>
      </c>
      <c r="M44" s="547" t="s">
        <v>4</v>
      </c>
      <c r="N44" s="547" t="s">
        <v>4</v>
      </c>
      <c r="O44" s="547" t="s">
        <v>4</v>
      </c>
      <c r="P44" s="78">
        <f>lamp1!J23</f>
      </c>
      <c r="Q44" s="608">
        <v>0</v>
      </c>
      <c r="R44" s="609"/>
    </row>
    <row r="45" spans="1:18" ht="18" customHeight="1">
      <c r="A45" s="37"/>
      <c r="B45" s="503">
        <f>lamp1!B24</f>
      </c>
      <c r="C45" s="233"/>
      <c r="D45" s="176">
        <f>lamp1!D24</f>
      </c>
      <c r="E45" s="176"/>
      <c r="F45" s="176"/>
      <c r="G45" s="176"/>
      <c r="H45" s="176"/>
      <c r="I45" s="176"/>
      <c r="J45" s="252">
        <f>lamp1!H24</f>
      </c>
      <c r="K45" s="252">
        <f ca="1">'rincian '!S22</f>
      </c>
      <c r="L45" s="252">
        <f>'rincian '!U22</f>
      </c>
      <c r="M45" s="252">
        <f t="shared" ref="M45" ca="1" si="4">K45+L45</f>
      </c>
      <c r="N45" s="252">
        <f t="shared" ref="N45" si="5">L45</f>
      </c>
      <c r="O45" s="252">
        <f t="shared" ca="1" si="3"/>
      </c>
      <c r="P45" s="78">
        <f>lamp1!J24</f>
      </c>
      <c r="Q45" s="608">
        <f t="shared" si="0"/>
      </c>
      <c r="R45" s="609"/>
    </row>
    <row r="46" spans="1:18" ht="18" customHeight="1">
      <c r="A46" s="37"/>
      <c r="B46" s="503"/>
      <c r="C46" s="233"/>
      <c r="D46" s="176"/>
      <c r="E46" s="176"/>
      <c r="F46" s="176"/>
      <c r="G46" s="176"/>
      <c r="H46" s="176"/>
      <c r="I46" s="176"/>
      <c r="J46" s="252"/>
      <c r="K46" s="252"/>
      <c r="L46" s="252"/>
      <c r="M46" s="252"/>
      <c r="N46" s="252"/>
      <c r="O46" s="252"/>
      <c r="P46" s="78"/>
      <c r="Q46" s="608"/>
      <c r="R46" s="609"/>
    </row>
    <row r="47" spans="1:18" ht="18" customHeight="1">
      <c r="A47" s="37"/>
      <c r="B47" s="404">
        <f>lamp1!B26</f>
      </c>
      <c r="C47" s="499">
        <f>lamp1!C26</f>
      </c>
      <c r="D47" s="405"/>
      <c r="E47" s="405"/>
      <c r="F47" s="405"/>
      <c r="G47" s="405"/>
      <c r="H47" s="405"/>
      <c r="I47" s="405"/>
      <c r="J47" s="252"/>
      <c r="K47" s="252"/>
      <c r="L47" s="252"/>
      <c r="M47" s="252"/>
      <c r="N47" s="252"/>
      <c r="O47" s="252"/>
      <c r="P47" s="78"/>
      <c r="Q47" s="608"/>
      <c r="R47" s="609"/>
    </row>
    <row r="48" spans="1:18" ht="18" customHeight="1">
      <c r="A48" s="37"/>
      <c r="B48" s="503"/>
      <c r="C48" s="233">
        <f>lamp1!C27</f>
      </c>
      <c r="D48" s="176"/>
      <c r="E48" s="405"/>
      <c r="F48" s="405"/>
      <c r="G48" s="405"/>
      <c r="H48" s="405"/>
      <c r="I48" s="405"/>
      <c r="J48" s="252"/>
      <c r="K48" s="252"/>
      <c r="L48" s="252"/>
      <c r="M48" s="252"/>
      <c r="N48" s="252"/>
      <c r="O48" s="252"/>
      <c r="P48" s="78"/>
      <c r="Q48" s="608"/>
      <c r="R48" s="609"/>
    </row>
    <row r="49" spans="1:18" ht="18" customHeight="1">
      <c r="A49" s="37"/>
      <c r="B49" s="503">
        <f>lamp1!B28</f>
      </c>
      <c r="C49" s="233"/>
      <c r="D49" s="176">
        <f>lamp1!D28</f>
      </c>
      <c r="E49" s="176"/>
      <c r="F49" s="176"/>
      <c r="G49" s="176"/>
      <c r="H49" s="176"/>
      <c r="I49" s="176"/>
      <c r="J49" s="252">
        <f>lamp1!H28</f>
      </c>
      <c r="K49" s="252">
        <f ca="1">'rincian '!S36</f>
      </c>
      <c r="L49" s="252">
        <f>'rincian '!U36</f>
      </c>
      <c r="M49" s="252">
        <f ca="1">K49+L49</f>
      </c>
      <c r="N49" s="252">
        <f>L49</f>
      </c>
      <c r="O49" s="252">
        <f ca="1">J49-M49</f>
      </c>
      <c r="P49" s="78">
        <f>lamp1!J28</f>
      </c>
      <c r="Q49" s="608">
        <f t="shared" si="0"/>
      </c>
      <c r="R49" s="609"/>
    </row>
    <row r="50" spans="1:18" ht="18" customHeight="1">
      <c r="A50" s="37"/>
      <c r="B50" s="503">
        <f>lamp1!B29</f>
      </c>
      <c r="C50" s="233"/>
      <c r="D50" s="176">
        <f>lamp1!D29</f>
      </c>
      <c r="E50" s="176"/>
      <c r="F50" s="176"/>
      <c r="G50" s="176"/>
      <c r="H50" s="176"/>
      <c r="I50" s="176"/>
      <c r="J50" s="252">
        <f>lamp1!H29</f>
      </c>
      <c r="K50" s="252">
        <f>'rincian '!S37</f>
      </c>
      <c r="L50" s="252">
        <f>'rincian '!U37</f>
      </c>
      <c r="M50" s="252">
        <f t="shared" ref="M50:M59" si="6">K50+L50</f>
      </c>
      <c r="N50" s="252">
        <f t="shared" ref="N50:N59" si="7">L50</f>
      </c>
      <c r="O50" s="252">
        <f t="shared" ref="O50:O59" si="8">J50-M50</f>
      </c>
      <c r="P50" s="78">
        <f>lamp1!J29</f>
      </c>
      <c r="Q50" s="608">
        <f t="shared" ref="Q50:Q59" si="9">N50*P50</f>
      </c>
      <c r="R50" s="609"/>
    </row>
    <row r="51" spans="1:18" ht="18" customHeight="1">
      <c r="A51" s="37"/>
      <c r="B51" s="503">
        <f>lamp1!B30</f>
      </c>
      <c r="C51" s="233"/>
      <c r="D51" s="176">
        <f>lamp1!D30</f>
      </c>
      <c r="E51" s="176"/>
      <c r="F51" s="176"/>
      <c r="G51" s="176"/>
      <c r="H51" s="176"/>
      <c r="I51" s="176"/>
      <c r="J51" s="252">
        <f>lamp1!H30</f>
      </c>
      <c r="K51" s="252">
        <f>'rincian '!S38</f>
      </c>
      <c r="L51" s="252">
        <f>'rincian '!U38</f>
      </c>
      <c r="M51" s="252">
        <f t="shared" si="6"/>
      </c>
      <c r="N51" s="252">
        <f t="shared" si="7"/>
      </c>
      <c r="O51" s="252">
        <f t="shared" si="8"/>
      </c>
      <c r="P51" s="78">
        <f>lamp1!J30</f>
      </c>
      <c r="Q51" s="608">
        <f t="shared" si="9"/>
      </c>
      <c r="R51" s="609"/>
    </row>
    <row r="52" spans="1:18" ht="18" customHeight="1">
      <c r="A52" s="37"/>
      <c r="B52" s="503">
        <f>lamp1!B31</f>
      </c>
      <c r="C52" s="233"/>
      <c r="D52" s="176">
        <f>lamp1!D31</f>
      </c>
      <c r="E52" s="176"/>
      <c r="F52" s="176"/>
      <c r="G52" s="176"/>
      <c r="H52" s="176"/>
      <c r="I52" s="176"/>
      <c r="J52" s="252">
        <f>lamp1!H31</f>
      </c>
      <c r="K52" s="252">
        <f>'rincian '!S39</f>
      </c>
      <c r="L52" s="252">
        <f>'rincian '!U39</f>
      </c>
      <c r="M52" s="252">
        <f t="shared" si="6"/>
      </c>
      <c r="N52" s="252">
        <f t="shared" si="7"/>
      </c>
      <c r="O52" s="252">
        <f t="shared" si="8"/>
      </c>
      <c r="P52" s="78">
        <f>lamp1!J31</f>
      </c>
      <c r="Q52" s="608">
        <f t="shared" si="9"/>
      </c>
      <c r="R52" s="609"/>
    </row>
    <row r="53" spans="1:18" ht="18" customHeight="1">
      <c r="A53" s="37"/>
      <c r="B53" s="503">
        <f>lamp1!B32</f>
      </c>
      <c r="C53" s="233"/>
      <c r="D53" s="176">
        <f>lamp1!D32</f>
      </c>
      <c r="E53" s="176"/>
      <c r="F53" s="176"/>
      <c r="G53" s="176"/>
      <c r="H53" s="176"/>
      <c r="I53" s="176"/>
      <c r="J53" s="252">
        <f>lamp1!H32</f>
      </c>
      <c r="K53" s="252">
        <f>'rincian '!S40</f>
      </c>
      <c r="L53" s="252">
        <f>'rincian '!U40</f>
      </c>
      <c r="M53" s="252">
        <f t="shared" si="6"/>
      </c>
      <c r="N53" s="252">
        <f t="shared" si="7"/>
      </c>
      <c r="O53" s="252">
        <f t="shared" si="8"/>
      </c>
      <c r="P53" s="78">
        <f>lamp1!J32</f>
      </c>
      <c r="Q53" s="608">
        <f t="shared" si="9"/>
      </c>
      <c r="R53" s="609"/>
    </row>
    <row r="54" spans="1:18" ht="18" customHeight="1">
      <c r="A54" s="37"/>
      <c r="B54" s="503">
        <f>lamp1!B33</f>
      </c>
      <c r="C54" s="233"/>
      <c r="D54" s="176">
        <f>lamp1!D33</f>
      </c>
      <c r="E54" s="176"/>
      <c r="F54" s="176"/>
      <c r="G54" s="176"/>
      <c r="H54" s="176"/>
      <c r="I54" s="176"/>
      <c r="J54" s="252">
        <f>lamp1!H33</f>
      </c>
      <c r="K54" s="252">
        <f>'rincian '!S41</f>
      </c>
      <c r="L54" s="252">
        <f>'rincian '!U41</f>
      </c>
      <c r="M54" s="252">
        <f t="shared" si="6"/>
      </c>
      <c r="N54" s="252">
        <f t="shared" si="7"/>
      </c>
      <c r="O54" s="252">
        <f t="shared" si="8"/>
      </c>
      <c r="P54" s="78">
        <f>lamp1!J33</f>
      </c>
      <c r="Q54" s="608">
        <f t="shared" si="9"/>
      </c>
      <c r="R54" s="609"/>
    </row>
    <row r="55" spans="1:18" ht="18" customHeight="1">
      <c r="A55" s="37"/>
      <c r="B55" s="503">
        <f>lamp1!B34</f>
      </c>
      <c r="C55" s="233"/>
      <c r="D55" s="176">
        <f>lamp1!D34</f>
      </c>
      <c r="E55" s="176"/>
      <c r="F55" s="176"/>
      <c r="G55" s="176"/>
      <c r="H55" s="176"/>
      <c r="I55" s="176"/>
      <c r="J55" s="252">
        <f>lamp1!H34</f>
      </c>
      <c r="K55" s="252">
        <f>'rincian '!S42</f>
      </c>
      <c r="L55" s="252">
        <f>'rincian '!U42</f>
      </c>
      <c r="M55" s="252">
        <f t="shared" si="6"/>
      </c>
      <c r="N55" s="252">
        <f t="shared" si="7"/>
      </c>
      <c r="O55" s="252">
        <f t="shared" si="8"/>
      </c>
      <c r="P55" s="78">
        <f>lamp1!J34</f>
      </c>
      <c r="Q55" s="608">
        <f t="shared" si="9"/>
      </c>
      <c r="R55" s="609"/>
    </row>
    <row r="56" spans="1:18" ht="18" customHeight="1">
      <c r="A56" s="37"/>
      <c r="B56" s="503">
        <f>lamp1!B35</f>
      </c>
      <c r="C56" s="233"/>
      <c r="D56" s="176">
        <f>lamp1!D35</f>
      </c>
      <c r="E56" s="176"/>
      <c r="F56" s="176"/>
      <c r="G56" s="176"/>
      <c r="H56" s="176"/>
      <c r="I56" s="176"/>
      <c r="J56" s="547" t="s">
        <v>4</v>
      </c>
      <c r="K56" s="547" t="s">
        <v>4</v>
      </c>
      <c r="L56" s="547" t="s">
        <v>4</v>
      </c>
      <c r="M56" s="547" t="s">
        <v>4</v>
      </c>
      <c r="N56" s="547" t="s">
        <v>4</v>
      </c>
      <c r="O56" s="547" t="s">
        <v>4</v>
      </c>
      <c r="P56" s="78">
        <f>lamp1!J35</f>
      </c>
      <c r="Q56" s="608">
        <v>0</v>
      </c>
      <c r="R56" s="609"/>
    </row>
    <row r="57" spans="1:18" ht="18" customHeight="1">
      <c r="A57" s="37"/>
      <c r="B57" s="503">
        <f>lamp1!B36</f>
      </c>
      <c r="C57" s="233"/>
      <c r="D57" s="176">
        <f>lamp1!D36</f>
      </c>
      <c r="E57" s="176"/>
      <c r="F57" s="176"/>
      <c r="G57" s="176"/>
      <c r="H57" s="176"/>
      <c r="I57" s="176"/>
      <c r="J57" s="547" t="s">
        <v>4</v>
      </c>
      <c r="K57" s="547" t="s">
        <v>4</v>
      </c>
      <c r="L57" s="547" t="s">
        <v>4</v>
      </c>
      <c r="M57" s="547" t="s">
        <v>4</v>
      </c>
      <c r="N57" s="547" t="s">
        <v>4</v>
      </c>
      <c r="O57" s="547" t="s">
        <v>4</v>
      </c>
      <c r="P57" s="78">
        <f>lamp1!J36</f>
      </c>
      <c r="Q57" s="608">
        <v>0</v>
      </c>
      <c r="R57" s="609"/>
    </row>
    <row r="58" spans="1:18" ht="18" customHeight="1">
      <c r="A58" s="37"/>
      <c r="B58" s="503">
        <f>lamp1!B37</f>
      </c>
      <c r="C58" s="233"/>
      <c r="D58" s="176">
        <f>lamp1!D37</f>
      </c>
      <c r="E58" s="176"/>
      <c r="F58" s="176"/>
      <c r="G58" s="176"/>
      <c r="H58" s="176"/>
      <c r="I58" s="176"/>
      <c r="J58" s="252">
        <f>lamp1!H37</f>
      </c>
      <c r="K58" s="252">
        <f>'rincian '!S45</f>
      </c>
      <c r="L58" s="252">
        <f>'rincian '!U45</f>
      </c>
      <c r="M58" s="252">
        <f t="shared" si="6"/>
      </c>
      <c r="N58" s="252">
        <f t="shared" si="7"/>
      </c>
      <c r="O58" s="252">
        <f t="shared" si="8"/>
      </c>
      <c r="P58" s="78">
        <f>lamp1!J37</f>
      </c>
      <c r="Q58" s="608">
        <f t="shared" si="9"/>
      </c>
      <c r="R58" s="609"/>
    </row>
    <row r="59" spans="1:18" ht="18" customHeight="1">
      <c r="A59" s="37"/>
      <c r="B59" s="503">
        <f>lamp1!B38</f>
      </c>
      <c r="C59" s="233"/>
      <c r="D59" s="176">
        <f>lamp1!D38</f>
      </c>
      <c r="E59" s="176"/>
      <c r="F59" s="176"/>
      <c r="G59" s="176"/>
      <c r="H59" s="176"/>
      <c r="I59" s="176"/>
      <c r="J59" s="252">
        <f>lamp1!H38</f>
      </c>
      <c r="K59" s="252">
        <f>'rincian '!S46</f>
      </c>
      <c r="L59" s="252">
        <f>'rincian '!U46</f>
      </c>
      <c r="M59" s="252">
        <f t="shared" si="6"/>
      </c>
      <c r="N59" s="252">
        <f t="shared" si="7"/>
      </c>
      <c r="O59" s="252">
        <f t="shared" si="8"/>
      </c>
      <c r="P59" s="78">
        <f>lamp1!J38</f>
      </c>
      <c r="Q59" s="608">
        <f t="shared" si="9"/>
      </c>
      <c r="R59" s="609"/>
    </row>
    <row r="60" spans="1:18">
      <c r="B60" s="178"/>
      <c r="C60" s="177"/>
      <c r="D60" s="176"/>
      <c r="E60" s="176"/>
      <c r="F60" s="176"/>
      <c r="G60" s="176"/>
      <c r="H60" s="176"/>
      <c r="I60" s="176"/>
      <c r="J60" s="78"/>
      <c r="K60" s="78"/>
      <c r="L60" s="78"/>
      <c r="M60" s="78"/>
      <c r="N60" s="78"/>
      <c r="O60" s="78"/>
      <c r="P60" s="78"/>
      <c r="Q60" s="626"/>
      <c r="R60" s="627"/>
    </row>
    <row r="61" spans="1:18">
      <c r="B61" s="179"/>
      <c r="C61" s="65"/>
      <c r="D61" s="180" t="s">
        <v>123</v>
      </c>
      <c r="E61" s="180"/>
      <c r="F61" s="180"/>
      <c r="G61" s="180"/>
      <c r="H61" s="180"/>
      <c r="I61" s="180"/>
      <c r="J61" s="65"/>
      <c r="K61" s="65"/>
      <c r="L61" s="65"/>
      <c r="M61" s="65"/>
      <c r="N61" s="65"/>
      <c r="O61" s="65"/>
      <c r="P61" s="65"/>
      <c r="Q61" s="628">
        <f>SUM(Q38:Q59)</f>
      </c>
      <c r="R61" s="629"/>
    </row>
    <row r="62" spans="1:18" ht="7.5" customHeight="1">
      <c r="B62" s="181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2"/>
    </row>
    <row r="63" spans="1:18">
      <c r="B63" s="183"/>
      <c r="C63" s="184" t="s">
        <v>124</v>
      </c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2"/>
    </row>
    <row r="64" spans="1:18" ht="17.399999999999999">
      <c r="B64" s="183"/>
      <c r="C64" s="184">
        <v>1</v>
      </c>
      <c r="D64" s="184" t="s">
        <v>125</v>
      </c>
      <c r="E64" s="184"/>
      <c r="F64" s="184"/>
      <c r="G64" s="184"/>
      <c r="H64" s="184"/>
      <c r="I64" s="184"/>
      <c r="J64" s="184" t="s">
        <v>2</v>
      </c>
      <c r="K64" s="185">
        <f ca="1">'rincian '!X38</f>
      </c>
      <c r="L64" s="184"/>
      <c r="M64" s="186" t="s">
        <v>126</v>
      </c>
      <c r="N64" s="612">
        <f ca="1">K64*$I$24</f>
      </c>
      <c r="O64" s="612"/>
      <c r="P64" s="187" t="s">
        <v>127</v>
      </c>
      <c r="Q64" s="184"/>
      <c r="R64" s="182"/>
    </row>
    <row r="65" spans="2:21" ht="17.399999999999999">
      <c r="B65" s="183"/>
      <c r="C65" s="184">
        <v>2</v>
      </c>
      <c r="D65" s="184" t="s">
        <v>128</v>
      </c>
      <c r="E65" s="184"/>
      <c r="F65" s="184"/>
      <c r="G65" s="184"/>
      <c r="H65" s="184"/>
      <c r="I65" s="184"/>
      <c r="J65" s="184" t="s">
        <v>2</v>
      </c>
      <c r="K65" s="185">
        <f ca="1">'rincian '!T38</f>
      </c>
      <c r="L65" s="184"/>
      <c r="M65" s="186" t="s">
        <v>126</v>
      </c>
      <c r="N65" s="612">
        <f ca="1">K65*$I$24</f>
      </c>
      <c r="O65" s="612"/>
      <c r="P65" s="187" t="s">
        <v>129</v>
      </c>
      <c r="Q65" s="184"/>
      <c r="R65" s="182"/>
    </row>
    <row r="66" spans="2:21">
      <c r="B66" s="183"/>
      <c r="C66" s="184">
        <v>3</v>
      </c>
      <c r="D66" s="184" t="s">
        <v>130</v>
      </c>
      <c r="E66" s="184"/>
      <c r="F66" s="184"/>
      <c r="G66" s="184"/>
      <c r="H66" s="184"/>
      <c r="I66" s="184"/>
      <c r="J66" s="184" t="s">
        <v>2</v>
      </c>
      <c r="K66" s="185">
        <f t="shared" ref="K66:K68" ca="1" si="10">N66/$I$24</f>
      </c>
      <c r="L66" s="184"/>
      <c r="M66" s="188" t="s">
        <v>126</v>
      </c>
      <c r="N66" s="610">
        <f ca="1">N64-N65</f>
      </c>
      <c r="O66" s="610"/>
      <c r="P66" s="184"/>
      <c r="Q66" s="184"/>
      <c r="R66" s="182"/>
    </row>
    <row r="67" spans="2:21">
      <c r="B67" s="183"/>
      <c r="C67" s="184">
        <v>4</v>
      </c>
      <c r="D67" s="184" t="s">
        <v>131</v>
      </c>
      <c r="E67" s="184"/>
      <c r="F67" s="184"/>
      <c r="G67" s="184"/>
      <c r="H67" s="184"/>
      <c r="I67" s="184"/>
      <c r="J67" s="184"/>
      <c r="K67" s="223">
        <f ca="1">K64*100</f>
      </c>
      <c r="L67" s="184"/>
      <c r="M67" s="184"/>
      <c r="N67" s="184"/>
      <c r="O67" s="184"/>
      <c r="P67" s="184"/>
      <c r="Q67" s="184"/>
      <c r="R67" s="182"/>
    </row>
    <row r="68" spans="2:21" ht="17.399999999999999">
      <c r="B68" s="183"/>
      <c r="C68" s="184"/>
      <c r="D68" s="184" t="s">
        <v>132</v>
      </c>
      <c r="E68" s="184"/>
      <c r="F68" s="184"/>
      <c r="G68" s="184"/>
      <c r="H68" s="184"/>
      <c r="I68" s="184"/>
      <c r="J68" s="184" t="s">
        <v>2</v>
      </c>
      <c r="K68" s="185">
        <f t="shared" si="10"/>
      </c>
      <c r="L68" s="184"/>
      <c r="M68" s="186" t="s">
        <v>126</v>
      </c>
      <c r="N68" s="611">
        <v>0</v>
      </c>
      <c r="O68" s="611"/>
      <c r="P68" s="187" t="s">
        <v>129</v>
      </c>
      <c r="Q68" s="184"/>
      <c r="R68" s="182"/>
    </row>
    <row r="69" spans="2:21" ht="17.399999999999999">
      <c r="B69" s="183"/>
      <c r="C69" s="184"/>
      <c r="D69" s="184" t="s">
        <v>133</v>
      </c>
      <c r="E69" s="184"/>
      <c r="F69" s="184"/>
      <c r="G69" s="184"/>
      <c r="H69" s="184"/>
      <c r="I69" s="184"/>
      <c r="J69" s="184" t="s">
        <v>2</v>
      </c>
      <c r="K69" s="185">
        <v>0.05</v>
      </c>
      <c r="L69" s="184"/>
      <c r="M69" s="186" t="s">
        <v>126</v>
      </c>
      <c r="N69" s="613">
        <f ca="1">N66*K69</f>
      </c>
      <c r="O69" s="613"/>
      <c r="P69" s="187" t="s">
        <v>129</v>
      </c>
      <c r="Q69" s="184"/>
      <c r="R69" s="182"/>
    </row>
    <row r="70" spans="2:21" ht="15.6" thickBot="1">
      <c r="B70" s="183"/>
      <c r="C70" s="184">
        <v>5</v>
      </c>
      <c r="D70" s="184" t="s">
        <v>134</v>
      </c>
      <c r="E70" s="184"/>
      <c r="F70" s="184"/>
      <c r="G70" s="184"/>
      <c r="H70" s="184"/>
      <c r="I70" s="184"/>
      <c r="J70" s="184" t="s">
        <v>2</v>
      </c>
      <c r="K70" s="184"/>
      <c r="L70" s="184"/>
      <c r="M70" s="188" t="s">
        <v>126</v>
      </c>
      <c r="N70" s="607">
        <f ca="1">N66-N68-N69</f>
      </c>
      <c r="O70" s="607"/>
      <c r="P70" s="184"/>
      <c r="Q70" s="184"/>
      <c r="R70" s="182"/>
    </row>
    <row r="71" spans="2:21" ht="15.6" thickTop="1">
      <c r="B71" s="183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9"/>
      <c r="N71" s="189"/>
      <c r="O71" s="189"/>
      <c r="P71" s="184"/>
      <c r="Q71" s="184"/>
      <c r="R71" s="182"/>
    </row>
    <row r="72" spans="2:21">
      <c r="B72" s="183"/>
      <c r="C72" s="184" t="s">
        <v>135</v>
      </c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2"/>
    </row>
    <row r="73" spans="2:21">
      <c r="B73" s="183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2"/>
    </row>
    <row r="74" spans="2:21">
      <c r="B74" s="183"/>
      <c r="D74" s="634" t="s">
        <v>39</v>
      </c>
      <c r="E74" s="634"/>
      <c r="F74" s="634"/>
      <c r="G74" s="634"/>
      <c r="H74" s="634"/>
      <c r="K74" s="184"/>
      <c r="L74" s="184"/>
      <c r="M74" s="184"/>
      <c r="N74" s="640" t="s">
        <v>40</v>
      </c>
      <c r="O74" s="640"/>
      <c r="P74" s="640"/>
      <c r="Q74" s="640"/>
      <c r="R74" s="182"/>
    </row>
    <row r="75" spans="2:21">
      <c r="B75" s="183"/>
      <c r="D75" s="634">
        <f>UPPER(DATA!$B$24)</f>
      </c>
      <c r="E75" s="634"/>
      <c r="F75" s="634"/>
      <c r="G75" s="634"/>
      <c r="H75" s="634"/>
      <c r="I75" s="184"/>
      <c r="M75" s="184"/>
      <c r="N75" s="640">
        <f>UPPER(DATA!$B$17)</f>
      </c>
      <c r="O75" s="640"/>
      <c r="P75" s="640"/>
      <c r="Q75" s="640"/>
      <c r="R75" s="182"/>
      <c r="U75" s="253"/>
    </row>
    <row r="76" spans="2:21">
      <c r="B76" s="183"/>
      <c r="C76" s="79"/>
      <c r="D76" s="79"/>
      <c r="E76" s="184"/>
      <c r="F76" s="184"/>
      <c r="G76" s="184"/>
      <c r="H76" s="184"/>
      <c r="I76" s="184"/>
      <c r="J76" s="184"/>
      <c r="K76" s="184"/>
      <c r="L76" s="184"/>
      <c r="M76" s="184"/>
      <c r="N76" s="640"/>
      <c r="O76" s="640"/>
      <c r="P76" s="640"/>
      <c r="Q76" s="640"/>
      <c r="R76" s="182"/>
    </row>
    <row r="77" spans="2:21">
      <c r="B77" s="183"/>
      <c r="C77" s="79"/>
      <c r="D77" s="79"/>
      <c r="E77" s="184"/>
      <c r="F77" s="184"/>
      <c r="G77" s="184"/>
      <c r="H77" s="184"/>
      <c r="I77" s="184"/>
      <c r="J77" s="184"/>
      <c r="K77" s="184"/>
      <c r="L77" s="184"/>
      <c r="M77" s="184"/>
      <c r="N77" s="224"/>
      <c r="O77" s="224"/>
      <c r="P77" s="224"/>
      <c r="Q77" s="224"/>
      <c r="R77" s="182"/>
    </row>
    <row r="78" spans="2:21">
      <c r="B78" s="183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234"/>
      <c r="O78" s="234"/>
      <c r="P78" s="234"/>
      <c r="Q78" s="234"/>
      <c r="R78" s="182"/>
    </row>
    <row r="79" spans="2:21">
      <c r="B79" s="183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234"/>
      <c r="O79" s="234"/>
      <c r="Q79" s="234"/>
      <c r="R79" s="182"/>
    </row>
    <row r="80" spans="2:21">
      <c r="B80" s="183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234"/>
      <c r="O80" s="234"/>
      <c r="P80" s="234"/>
      <c r="Q80" s="234"/>
      <c r="R80" s="182"/>
    </row>
    <row r="81" spans="2:18">
      <c r="B81" s="183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234"/>
      <c r="O81" s="234"/>
      <c r="P81" s="234"/>
      <c r="Q81" s="234"/>
      <c r="R81" s="182"/>
    </row>
    <row r="82" spans="2:18">
      <c r="B82" s="183"/>
      <c r="D82" s="636">
        <f>DATA!$B$22</f>
      </c>
      <c r="E82" s="636"/>
      <c r="F82" s="636"/>
      <c r="G82" s="636"/>
      <c r="H82" s="636"/>
      <c r="I82" s="190"/>
      <c r="L82" s="190"/>
      <c r="M82" s="190"/>
      <c r="N82" s="641">
        <f>D14</f>
      </c>
      <c r="O82" s="641"/>
      <c r="P82" s="641"/>
      <c r="Q82" s="641"/>
      <c r="R82" s="182"/>
    </row>
    <row r="83" spans="2:18">
      <c r="B83" s="183"/>
      <c r="D83" s="634">
        <f>DATA!$B$23</f>
      </c>
      <c r="E83" s="634"/>
      <c r="F83" s="634"/>
      <c r="G83" s="634"/>
      <c r="H83" s="634"/>
      <c r="I83" s="184"/>
      <c r="J83" s="184"/>
      <c r="K83" s="184"/>
      <c r="L83" s="190"/>
      <c r="M83" s="190"/>
      <c r="N83" s="640">
        <f>DATA!$B$16</f>
      </c>
      <c r="O83" s="640"/>
      <c r="P83" s="640"/>
      <c r="Q83" s="640"/>
      <c r="R83" s="182"/>
    </row>
    <row r="84" spans="2:18" ht="15.6" thickBot="1">
      <c r="B84" s="191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3"/>
    </row>
    <row r="85" spans="2:18" ht="15.6" thickTop="1"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</row>
    <row r="86" spans="2:18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spans="2:18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spans="2:18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spans="2:18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spans="2:18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spans="2:18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spans="2:18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spans="2:18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spans="2:18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spans="2:18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spans="2:18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spans="2:18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spans="2:18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spans="2:18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spans="2:18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spans="2:18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spans="2:18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spans="2:18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spans="2:18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spans="2:18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spans="2:18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spans="2:18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spans="2:18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spans="2:18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spans="2:18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spans="2:18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spans="2:18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spans="2:18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spans="2:18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spans="2:18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spans="2:18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spans="2:18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spans="2:18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spans="2:18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spans="2:18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spans="2:18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spans="2:18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spans="2:18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spans="2:18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spans="2:18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spans="2:18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spans="2:18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spans="2:18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spans="2:18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spans="2:18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spans="2:18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spans="2:18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spans="2:18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spans="2:18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</sheetData>
  <mergeCells count="59">
    <mergeCell ref="B9:R9"/>
    <mergeCell ref="B10:R10"/>
    <mergeCell ref="B6:R6"/>
    <mergeCell ref="B7:R7"/>
    <mergeCell ref="C12:Q12"/>
    <mergeCell ref="D83:H83"/>
    <mergeCell ref="K25:L25"/>
    <mergeCell ref="Q39:R39"/>
    <mergeCell ref="D75:H75"/>
    <mergeCell ref="D74:H74"/>
    <mergeCell ref="D82:H82"/>
    <mergeCell ref="L29:L31"/>
    <mergeCell ref="Q37:R37"/>
    <mergeCell ref="Q38:R38"/>
    <mergeCell ref="N83:Q83"/>
    <mergeCell ref="N74:Q74"/>
    <mergeCell ref="N75:Q75"/>
    <mergeCell ref="N76:Q76"/>
    <mergeCell ref="N82:Q82"/>
    <mergeCell ref="Q49:R49"/>
    <mergeCell ref="Q50:R50"/>
    <mergeCell ref="F14:R15"/>
    <mergeCell ref="F18:R18"/>
    <mergeCell ref="Q51:R51"/>
    <mergeCell ref="Q52:R52"/>
    <mergeCell ref="Q53:R53"/>
    <mergeCell ref="C21:R22"/>
    <mergeCell ref="M23:N23"/>
    <mergeCell ref="Q40:R40"/>
    <mergeCell ref="Q60:R60"/>
    <mergeCell ref="Q61:R61"/>
    <mergeCell ref="Q41:R41"/>
    <mergeCell ref="Q54:R54"/>
    <mergeCell ref="Q55:R55"/>
    <mergeCell ref="Q56:R56"/>
    <mergeCell ref="Q57:R57"/>
    <mergeCell ref="Q58:R58"/>
    <mergeCell ref="Q59:R59"/>
    <mergeCell ref="I24:J24"/>
    <mergeCell ref="K24:L24"/>
    <mergeCell ref="H25:I25"/>
    <mergeCell ref="C34:I34"/>
    <mergeCell ref="Q42:R42"/>
    <mergeCell ref="Q33:R33"/>
    <mergeCell ref="Q34:R34"/>
    <mergeCell ref="Q35:R35"/>
    <mergeCell ref="Q36:R36"/>
    <mergeCell ref="Q43:R43"/>
    <mergeCell ref="Q44:R44"/>
    <mergeCell ref="Q45:R45"/>
    <mergeCell ref="Q46:R46"/>
    <mergeCell ref="N69:O69"/>
    <mergeCell ref="N70:O70"/>
    <mergeCell ref="Q47:R47"/>
    <mergeCell ref="Q48:R48"/>
    <mergeCell ref="N66:O66"/>
    <mergeCell ref="N68:O68"/>
    <mergeCell ref="N64:O64"/>
    <mergeCell ref="N65:O65"/>
  </mergeCells>
  <printOptions horizontalCentered="1"/>
  <pageMargins left="0.32" right="0.27" top="0.75" bottom="0.75" header="0.3" footer="0.3"/>
  <pageSetup paperSize="9" scale="52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8494-5B8F-4990-88E2-913BD1C4BB8B}">
  <sheetPr>
    <tabColor rgb="FF00B0F0"/>
  </sheetPr>
  <dimension ref="A1:Z262"/>
  <sheetViews>
    <sheetView showOutlineSymbols="0" view="pageBreakPreview" topLeftCell="E1" zoomScale="70" zoomScaleNormal="87" zoomScaleSheetLayoutView="70" workbookViewId="0">
      <selection activeCell="T2" sqref="T2"/>
    </sheetView>
  </sheetViews>
  <sheetFormatPr defaultColWidth="11.1796875" defaultRowHeight="15"/>
  <cols>
    <col min="1" max="1" width="1" style="28" customWidth="1"/>
    <col min="2" max="2" width="2.81640625" style="28" customWidth="1"/>
    <col min="3" max="3" width="2.54296875" style="28" customWidth="1"/>
    <col min="4" max="4" width="23.453125" style="28" customWidth="1"/>
    <col min="5" max="6" width="2.08984375" style="28" customWidth="1"/>
    <col min="7" max="7" width="1.453125" style="28" customWidth="1"/>
    <col min="8" max="8" width="12.08984375" style="28" customWidth="1"/>
    <col min="9" max="9" width="5.81640625" style="28" customWidth="1"/>
    <col min="10" max="10" width="10.453125" style="28" customWidth="1"/>
    <col min="11" max="14" width="9.54296875" style="28" customWidth="1"/>
    <col min="15" max="15" width="10" style="28" customWidth="1"/>
    <col min="16" max="16" width="14.08984375" style="28" customWidth="1"/>
    <col min="17" max="17" width="8" style="28" customWidth="1"/>
    <col min="18" max="18" width="8.81640625" style="28" customWidth="1"/>
    <col min="19" max="19" width="1" style="28" customWidth="1"/>
    <col min="20" max="20" width="11.1796875" style="28"/>
    <col min="21" max="22" width="14" style="28" bestFit="1" customWidth="1"/>
    <col min="23" max="252" width="11.1796875" style="28"/>
    <col min="253" max="253" width="1.81640625" style="28" customWidth="1"/>
    <col min="254" max="255" width="3.81640625" style="28" customWidth="1"/>
    <col min="256" max="256" width="11.81640625" style="28" customWidth="1"/>
    <col min="257" max="258" width="7.81640625" style="28" customWidth="1"/>
    <col min="259" max="260" width="8.81640625" style="28" customWidth="1"/>
    <col min="261" max="261" width="10.81640625" style="28" customWidth="1"/>
    <col min="262" max="262" width="8.81640625" style="28" customWidth="1"/>
    <col min="263" max="263" width="7.81640625" style="28" customWidth="1"/>
    <col min="264" max="264" width="8.81640625" style="28" customWidth="1"/>
    <col min="265" max="265" width="2.81640625" style="28" customWidth="1"/>
    <col min="266" max="266" width="1.81640625" style="28" customWidth="1"/>
    <col min="267" max="508" width="11.1796875" style="28"/>
    <col min="509" max="509" width="1.81640625" style="28" customWidth="1"/>
    <col min="510" max="511" width="3.81640625" style="28" customWidth="1"/>
    <col min="512" max="512" width="11.81640625" style="28" customWidth="1"/>
    <col min="513" max="514" width="7.81640625" style="28" customWidth="1"/>
    <col min="515" max="516" width="8.81640625" style="28" customWidth="1"/>
    <col min="517" max="517" width="10.81640625" style="28" customWidth="1"/>
    <col min="518" max="518" width="8.81640625" style="28" customWidth="1"/>
    <col min="519" max="519" width="7.81640625" style="28" customWidth="1"/>
    <col min="520" max="520" width="8.81640625" style="28" customWidth="1"/>
    <col min="521" max="521" width="2.81640625" style="28" customWidth="1"/>
    <col min="522" max="522" width="1.81640625" style="28" customWidth="1"/>
    <col min="523" max="764" width="11.1796875" style="28"/>
    <col min="765" max="765" width="1.81640625" style="28" customWidth="1"/>
    <col min="766" max="767" width="3.81640625" style="28" customWidth="1"/>
    <col min="768" max="768" width="11.81640625" style="28" customWidth="1"/>
    <col min="769" max="770" width="7.81640625" style="28" customWidth="1"/>
    <col min="771" max="772" width="8.81640625" style="28" customWidth="1"/>
    <col min="773" max="773" width="10.81640625" style="28" customWidth="1"/>
    <col min="774" max="774" width="8.81640625" style="28" customWidth="1"/>
    <col min="775" max="775" width="7.81640625" style="28" customWidth="1"/>
    <col min="776" max="776" width="8.81640625" style="28" customWidth="1"/>
    <col min="777" max="777" width="2.81640625" style="28" customWidth="1"/>
    <col min="778" max="778" width="1.81640625" style="28" customWidth="1"/>
    <col min="779" max="1020" width="11.1796875" style="28"/>
    <col min="1021" max="1021" width="1.81640625" style="28" customWidth="1"/>
    <col min="1022" max="1023" width="3.81640625" style="28" customWidth="1"/>
    <col min="1024" max="1024" width="11.81640625" style="28" customWidth="1"/>
    <col min="1025" max="1026" width="7.81640625" style="28" customWidth="1"/>
    <col min="1027" max="1028" width="8.81640625" style="28" customWidth="1"/>
    <col min="1029" max="1029" width="10.81640625" style="28" customWidth="1"/>
    <col min="1030" max="1030" width="8.81640625" style="28" customWidth="1"/>
    <col min="1031" max="1031" width="7.81640625" style="28" customWidth="1"/>
    <col min="1032" max="1032" width="8.81640625" style="28" customWidth="1"/>
    <col min="1033" max="1033" width="2.81640625" style="28" customWidth="1"/>
    <col min="1034" max="1034" width="1.81640625" style="28" customWidth="1"/>
    <col min="1035" max="1276" width="11.1796875" style="28"/>
    <col min="1277" max="1277" width="1.81640625" style="28" customWidth="1"/>
    <col min="1278" max="1279" width="3.81640625" style="28" customWidth="1"/>
    <col min="1280" max="1280" width="11.81640625" style="28" customWidth="1"/>
    <col min="1281" max="1282" width="7.81640625" style="28" customWidth="1"/>
    <col min="1283" max="1284" width="8.81640625" style="28" customWidth="1"/>
    <col min="1285" max="1285" width="10.81640625" style="28" customWidth="1"/>
    <col min="1286" max="1286" width="8.81640625" style="28" customWidth="1"/>
    <col min="1287" max="1287" width="7.81640625" style="28" customWidth="1"/>
    <col min="1288" max="1288" width="8.81640625" style="28" customWidth="1"/>
    <col min="1289" max="1289" width="2.81640625" style="28" customWidth="1"/>
    <col min="1290" max="1290" width="1.81640625" style="28" customWidth="1"/>
    <col min="1291" max="1532" width="11.1796875" style="28"/>
    <col min="1533" max="1533" width="1.81640625" style="28" customWidth="1"/>
    <col min="1534" max="1535" width="3.81640625" style="28" customWidth="1"/>
    <col min="1536" max="1536" width="11.81640625" style="28" customWidth="1"/>
    <col min="1537" max="1538" width="7.81640625" style="28" customWidth="1"/>
    <col min="1539" max="1540" width="8.81640625" style="28" customWidth="1"/>
    <col min="1541" max="1541" width="10.81640625" style="28" customWidth="1"/>
    <col min="1542" max="1542" width="8.81640625" style="28" customWidth="1"/>
    <col min="1543" max="1543" width="7.81640625" style="28" customWidth="1"/>
    <col min="1544" max="1544" width="8.81640625" style="28" customWidth="1"/>
    <col min="1545" max="1545" width="2.81640625" style="28" customWidth="1"/>
    <col min="1546" max="1546" width="1.81640625" style="28" customWidth="1"/>
    <col min="1547" max="1788" width="11.1796875" style="28"/>
    <col min="1789" max="1789" width="1.81640625" style="28" customWidth="1"/>
    <col min="1790" max="1791" width="3.81640625" style="28" customWidth="1"/>
    <col min="1792" max="1792" width="11.81640625" style="28" customWidth="1"/>
    <col min="1793" max="1794" width="7.81640625" style="28" customWidth="1"/>
    <col min="1795" max="1796" width="8.81640625" style="28" customWidth="1"/>
    <col min="1797" max="1797" width="10.81640625" style="28" customWidth="1"/>
    <col min="1798" max="1798" width="8.81640625" style="28" customWidth="1"/>
    <col min="1799" max="1799" width="7.81640625" style="28" customWidth="1"/>
    <col min="1800" max="1800" width="8.81640625" style="28" customWidth="1"/>
    <col min="1801" max="1801" width="2.81640625" style="28" customWidth="1"/>
    <col min="1802" max="1802" width="1.81640625" style="28" customWidth="1"/>
    <col min="1803" max="2044" width="11.1796875" style="28"/>
    <col min="2045" max="2045" width="1.81640625" style="28" customWidth="1"/>
    <col min="2046" max="2047" width="3.81640625" style="28" customWidth="1"/>
    <col min="2048" max="2048" width="11.81640625" style="28" customWidth="1"/>
    <col min="2049" max="2050" width="7.81640625" style="28" customWidth="1"/>
    <col min="2051" max="2052" width="8.81640625" style="28" customWidth="1"/>
    <col min="2053" max="2053" width="10.81640625" style="28" customWidth="1"/>
    <col min="2054" max="2054" width="8.81640625" style="28" customWidth="1"/>
    <col min="2055" max="2055" width="7.81640625" style="28" customWidth="1"/>
    <col min="2056" max="2056" width="8.81640625" style="28" customWidth="1"/>
    <col min="2057" max="2057" width="2.81640625" style="28" customWidth="1"/>
    <col min="2058" max="2058" width="1.81640625" style="28" customWidth="1"/>
    <col min="2059" max="2300" width="11.1796875" style="28"/>
    <col min="2301" max="2301" width="1.81640625" style="28" customWidth="1"/>
    <col min="2302" max="2303" width="3.81640625" style="28" customWidth="1"/>
    <col min="2304" max="2304" width="11.81640625" style="28" customWidth="1"/>
    <col min="2305" max="2306" width="7.81640625" style="28" customWidth="1"/>
    <col min="2307" max="2308" width="8.81640625" style="28" customWidth="1"/>
    <col min="2309" max="2309" width="10.81640625" style="28" customWidth="1"/>
    <col min="2310" max="2310" width="8.81640625" style="28" customWidth="1"/>
    <col min="2311" max="2311" width="7.81640625" style="28" customWidth="1"/>
    <col min="2312" max="2312" width="8.81640625" style="28" customWidth="1"/>
    <col min="2313" max="2313" width="2.81640625" style="28" customWidth="1"/>
    <col min="2314" max="2314" width="1.81640625" style="28" customWidth="1"/>
    <col min="2315" max="2556" width="11.1796875" style="28"/>
    <col min="2557" max="2557" width="1.81640625" style="28" customWidth="1"/>
    <col min="2558" max="2559" width="3.81640625" style="28" customWidth="1"/>
    <col min="2560" max="2560" width="11.81640625" style="28" customWidth="1"/>
    <col min="2561" max="2562" width="7.81640625" style="28" customWidth="1"/>
    <col min="2563" max="2564" width="8.81640625" style="28" customWidth="1"/>
    <col min="2565" max="2565" width="10.81640625" style="28" customWidth="1"/>
    <col min="2566" max="2566" width="8.81640625" style="28" customWidth="1"/>
    <col min="2567" max="2567" width="7.81640625" style="28" customWidth="1"/>
    <col min="2568" max="2568" width="8.81640625" style="28" customWidth="1"/>
    <col min="2569" max="2569" width="2.81640625" style="28" customWidth="1"/>
    <col min="2570" max="2570" width="1.81640625" style="28" customWidth="1"/>
    <col min="2571" max="2812" width="11.1796875" style="28"/>
    <col min="2813" max="2813" width="1.81640625" style="28" customWidth="1"/>
    <col min="2814" max="2815" width="3.81640625" style="28" customWidth="1"/>
    <col min="2816" max="2816" width="11.81640625" style="28" customWidth="1"/>
    <col min="2817" max="2818" width="7.81640625" style="28" customWidth="1"/>
    <col min="2819" max="2820" width="8.81640625" style="28" customWidth="1"/>
    <col min="2821" max="2821" width="10.81640625" style="28" customWidth="1"/>
    <col min="2822" max="2822" width="8.81640625" style="28" customWidth="1"/>
    <col min="2823" max="2823" width="7.81640625" style="28" customWidth="1"/>
    <col min="2824" max="2824" width="8.81640625" style="28" customWidth="1"/>
    <col min="2825" max="2825" width="2.81640625" style="28" customWidth="1"/>
    <col min="2826" max="2826" width="1.81640625" style="28" customWidth="1"/>
    <col min="2827" max="3068" width="11.1796875" style="28"/>
    <col min="3069" max="3069" width="1.81640625" style="28" customWidth="1"/>
    <col min="3070" max="3071" width="3.81640625" style="28" customWidth="1"/>
    <col min="3072" max="3072" width="11.81640625" style="28" customWidth="1"/>
    <col min="3073" max="3074" width="7.81640625" style="28" customWidth="1"/>
    <col min="3075" max="3076" width="8.81640625" style="28" customWidth="1"/>
    <col min="3077" max="3077" width="10.81640625" style="28" customWidth="1"/>
    <col min="3078" max="3078" width="8.81640625" style="28" customWidth="1"/>
    <col min="3079" max="3079" width="7.81640625" style="28" customWidth="1"/>
    <col min="3080" max="3080" width="8.81640625" style="28" customWidth="1"/>
    <col min="3081" max="3081" width="2.81640625" style="28" customWidth="1"/>
    <col min="3082" max="3082" width="1.81640625" style="28" customWidth="1"/>
    <col min="3083" max="3324" width="11.1796875" style="28"/>
    <col min="3325" max="3325" width="1.81640625" style="28" customWidth="1"/>
    <col min="3326" max="3327" width="3.81640625" style="28" customWidth="1"/>
    <col min="3328" max="3328" width="11.81640625" style="28" customWidth="1"/>
    <col min="3329" max="3330" width="7.81640625" style="28" customWidth="1"/>
    <col min="3331" max="3332" width="8.81640625" style="28" customWidth="1"/>
    <col min="3333" max="3333" width="10.81640625" style="28" customWidth="1"/>
    <col min="3334" max="3334" width="8.81640625" style="28" customWidth="1"/>
    <col min="3335" max="3335" width="7.81640625" style="28" customWidth="1"/>
    <col min="3336" max="3336" width="8.81640625" style="28" customWidth="1"/>
    <col min="3337" max="3337" width="2.81640625" style="28" customWidth="1"/>
    <col min="3338" max="3338" width="1.81640625" style="28" customWidth="1"/>
    <col min="3339" max="3580" width="11.1796875" style="28"/>
    <col min="3581" max="3581" width="1.81640625" style="28" customWidth="1"/>
    <col min="3582" max="3583" width="3.81640625" style="28" customWidth="1"/>
    <col min="3584" max="3584" width="11.81640625" style="28" customWidth="1"/>
    <col min="3585" max="3586" width="7.81640625" style="28" customWidth="1"/>
    <col min="3587" max="3588" width="8.81640625" style="28" customWidth="1"/>
    <col min="3589" max="3589" width="10.81640625" style="28" customWidth="1"/>
    <col min="3590" max="3590" width="8.81640625" style="28" customWidth="1"/>
    <col min="3591" max="3591" width="7.81640625" style="28" customWidth="1"/>
    <col min="3592" max="3592" width="8.81640625" style="28" customWidth="1"/>
    <col min="3593" max="3593" width="2.81640625" style="28" customWidth="1"/>
    <col min="3594" max="3594" width="1.81640625" style="28" customWidth="1"/>
    <col min="3595" max="3836" width="11.1796875" style="28"/>
    <col min="3837" max="3837" width="1.81640625" style="28" customWidth="1"/>
    <col min="3838" max="3839" width="3.81640625" style="28" customWidth="1"/>
    <col min="3840" max="3840" width="11.81640625" style="28" customWidth="1"/>
    <col min="3841" max="3842" width="7.81640625" style="28" customWidth="1"/>
    <col min="3843" max="3844" width="8.81640625" style="28" customWidth="1"/>
    <col min="3845" max="3845" width="10.81640625" style="28" customWidth="1"/>
    <col min="3846" max="3846" width="8.81640625" style="28" customWidth="1"/>
    <col min="3847" max="3847" width="7.81640625" style="28" customWidth="1"/>
    <col min="3848" max="3848" width="8.81640625" style="28" customWidth="1"/>
    <col min="3849" max="3849" width="2.81640625" style="28" customWidth="1"/>
    <col min="3850" max="3850" width="1.81640625" style="28" customWidth="1"/>
    <col min="3851" max="4092" width="11.1796875" style="28"/>
    <col min="4093" max="4093" width="1.81640625" style="28" customWidth="1"/>
    <col min="4094" max="4095" width="3.81640625" style="28" customWidth="1"/>
    <col min="4096" max="4096" width="11.81640625" style="28" customWidth="1"/>
    <col min="4097" max="4098" width="7.81640625" style="28" customWidth="1"/>
    <col min="4099" max="4100" width="8.81640625" style="28" customWidth="1"/>
    <col min="4101" max="4101" width="10.81640625" style="28" customWidth="1"/>
    <col min="4102" max="4102" width="8.81640625" style="28" customWidth="1"/>
    <col min="4103" max="4103" width="7.81640625" style="28" customWidth="1"/>
    <col min="4104" max="4104" width="8.81640625" style="28" customWidth="1"/>
    <col min="4105" max="4105" width="2.81640625" style="28" customWidth="1"/>
    <col min="4106" max="4106" width="1.81640625" style="28" customWidth="1"/>
    <col min="4107" max="4348" width="11.1796875" style="28"/>
    <col min="4349" max="4349" width="1.81640625" style="28" customWidth="1"/>
    <col min="4350" max="4351" width="3.81640625" style="28" customWidth="1"/>
    <col min="4352" max="4352" width="11.81640625" style="28" customWidth="1"/>
    <col min="4353" max="4354" width="7.81640625" style="28" customWidth="1"/>
    <col min="4355" max="4356" width="8.81640625" style="28" customWidth="1"/>
    <col min="4357" max="4357" width="10.81640625" style="28" customWidth="1"/>
    <col min="4358" max="4358" width="8.81640625" style="28" customWidth="1"/>
    <col min="4359" max="4359" width="7.81640625" style="28" customWidth="1"/>
    <col min="4360" max="4360" width="8.81640625" style="28" customWidth="1"/>
    <col min="4361" max="4361" width="2.81640625" style="28" customWidth="1"/>
    <col min="4362" max="4362" width="1.81640625" style="28" customWidth="1"/>
    <col min="4363" max="4604" width="11.1796875" style="28"/>
    <col min="4605" max="4605" width="1.81640625" style="28" customWidth="1"/>
    <col min="4606" max="4607" width="3.81640625" style="28" customWidth="1"/>
    <col min="4608" max="4608" width="11.81640625" style="28" customWidth="1"/>
    <col min="4609" max="4610" width="7.81640625" style="28" customWidth="1"/>
    <col min="4611" max="4612" width="8.81640625" style="28" customWidth="1"/>
    <col min="4613" max="4613" width="10.81640625" style="28" customWidth="1"/>
    <col min="4614" max="4614" width="8.81640625" style="28" customWidth="1"/>
    <col min="4615" max="4615" width="7.81640625" style="28" customWidth="1"/>
    <col min="4616" max="4616" width="8.81640625" style="28" customWidth="1"/>
    <col min="4617" max="4617" width="2.81640625" style="28" customWidth="1"/>
    <col min="4618" max="4618" width="1.81640625" style="28" customWidth="1"/>
    <col min="4619" max="4860" width="11.1796875" style="28"/>
    <col min="4861" max="4861" width="1.81640625" style="28" customWidth="1"/>
    <col min="4862" max="4863" width="3.81640625" style="28" customWidth="1"/>
    <col min="4864" max="4864" width="11.81640625" style="28" customWidth="1"/>
    <col min="4865" max="4866" width="7.81640625" style="28" customWidth="1"/>
    <col min="4867" max="4868" width="8.81640625" style="28" customWidth="1"/>
    <col min="4869" max="4869" width="10.81640625" style="28" customWidth="1"/>
    <col min="4870" max="4870" width="8.81640625" style="28" customWidth="1"/>
    <col min="4871" max="4871" width="7.81640625" style="28" customWidth="1"/>
    <col min="4872" max="4872" width="8.81640625" style="28" customWidth="1"/>
    <col min="4873" max="4873" width="2.81640625" style="28" customWidth="1"/>
    <col min="4874" max="4874" width="1.81640625" style="28" customWidth="1"/>
    <col min="4875" max="5116" width="11.1796875" style="28"/>
    <col min="5117" max="5117" width="1.81640625" style="28" customWidth="1"/>
    <col min="5118" max="5119" width="3.81640625" style="28" customWidth="1"/>
    <col min="5120" max="5120" width="11.81640625" style="28" customWidth="1"/>
    <col min="5121" max="5122" width="7.81640625" style="28" customWidth="1"/>
    <col min="5123" max="5124" width="8.81640625" style="28" customWidth="1"/>
    <col min="5125" max="5125" width="10.81640625" style="28" customWidth="1"/>
    <col min="5126" max="5126" width="8.81640625" style="28" customWidth="1"/>
    <col min="5127" max="5127" width="7.81640625" style="28" customWidth="1"/>
    <col min="5128" max="5128" width="8.81640625" style="28" customWidth="1"/>
    <col min="5129" max="5129" width="2.81640625" style="28" customWidth="1"/>
    <col min="5130" max="5130" width="1.81640625" style="28" customWidth="1"/>
    <col min="5131" max="5372" width="11.1796875" style="28"/>
    <col min="5373" max="5373" width="1.81640625" style="28" customWidth="1"/>
    <col min="5374" max="5375" width="3.81640625" style="28" customWidth="1"/>
    <col min="5376" max="5376" width="11.81640625" style="28" customWidth="1"/>
    <col min="5377" max="5378" width="7.81640625" style="28" customWidth="1"/>
    <col min="5379" max="5380" width="8.81640625" style="28" customWidth="1"/>
    <col min="5381" max="5381" width="10.81640625" style="28" customWidth="1"/>
    <col min="5382" max="5382" width="8.81640625" style="28" customWidth="1"/>
    <col min="5383" max="5383" width="7.81640625" style="28" customWidth="1"/>
    <col min="5384" max="5384" width="8.81640625" style="28" customWidth="1"/>
    <col min="5385" max="5385" width="2.81640625" style="28" customWidth="1"/>
    <col min="5386" max="5386" width="1.81640625" style="28" customWidth="1"/>
    <col min="5387" max="5628" width="11.1796875" style="28"/>
    <col min="5629" max="5629" width="1.81640625" style="28" customWidth="1"/>
    <col min="5630" max="5631" width="3.81640625" style="28" customWidth="1"/>
    <col min="5632" max="5632" width="11.81640625" style="28" customWidth="1"/>
    <col min="5633" max="5634" width="7.81640625" style="28" customWidth="1"/>
    <col min="5635" max="5636" width="8.81640625" style="28" customWidth="1"/>
    <col min="5637" max="5637" width="10.81640625" style="28" customWidth="1"/>
    <col min="5638" max="5638" width="8.81640625" style="28" customWidth="1"/>
    <col min="5639" max="5639" width="7.81640625" style="28" customWidth="1"/>
    <col min="5640" max="5640" width="8.81640625" style="28" customWidth="1"/>
    <col min="5641" max="5641" width="2.81640625" style="28" customWidth="1"/>
    <col min="5642" max="5642" width="1.81640625" style="28" customWidth="1"/>
    <col min="5643" max="5884" width="11.1796875" style="28"/>
    <col min="5885" max="5885" width="1.81640625" style="28" customWidth="1"/>
    <col min="5886" max="5887" width="3.81640625" style="28" customWidth="1"/>
    <col min="5888" max="5888" width="11.81640625" style="28" customWidth="1"/>
    <col min="5889" max="5890" width="7.81640625" style="28" customWidth="1"/>
    <col min="5891" max="5892" width="8.81640625" style="28" customWidth="1"/>
    <col min="5893" max="5893" width="10.81640625" style="28" customWidth="1"/>
    <col min="5894" max="5894" width="8.81640625" style="28" customWidth="1"/>
    <col min="5895" max="5895" width="7.81640625" style="28" customWidth="1"/>
    <col min="5896" max="5896" width="8.81640625" style="28" customWidth="1"/>
    <col min="5897" max="5897" width="2.81640625" style="28" customWidth="1"/>
    <col min="5898" max="5898" width="1.81640625" style="28" customWidth="1"/>
    <col min="5899" max="6140" width="11.1796875" style="28"/>
    <col min="6141" max="6141" width="1.81640625" style="28" customWidth="1"/>
    <col min="6142" max="6143" width="3.81640625" style="28" customWidth="1"/>
    <col min="6144" max="6144" width="11.81640625" style="28" customWidth="1"/>
    <col min="6145" max="6146" width="7.81640625" style="28" customWidth="1"/>
    <col min="6147" max="6148" width="8.81640625" style="28" customWidth="1"/>
    <col min="6149" max="6149" width="10.81640625" style="28" customWidth="1"/>
    <col min="6150" max="6150" width="8.81640625" style="28" customWidth="1"/>
    <col min="6151" max="6151" width="7.81640625" style="28" customWidth="1"/>
    <col min="6152" max="6152" width="8.81640625" style="28" customWidth="1"/>
    <col min="6153" max="6153" width="2.81640625" style="28" customWidth="1"/>
    <col min="6154" max="6154" width="1.81640625" style="28" customWidth="1"/>
    <col min="6155" max="6396" width="11.1796875" style="28"/>
    <col min="6397" max="6397" width="1.81640625" style="28" customWidth="1"/>
    <col min="6398" max="6399" width="3.81640625" style="28" customWidth="1"/>
    <col min="6400" max="6400" width="11.81640625" style="28" customWidth="1"/>
    <col min="6401" max="6402" width="7.81640625" style="28" customWidth="1"/>
    <col min="6403" max="6404" width="8.81640625" style="28" customWidth="1"/>
    <col min="6405" max="6405" width="10.81640625" style="28" customWidth="1"/>
    <col min="6406" max="6406" width="8.81640625" style="28" customWidth="1"/>
    <col min="6407" max="6407" width="7.81640625" style="28" customWidth="1"/>
    <col min="6408" max="6408" width="8.81640625" style="28" customWidth="1"/>
    <col min="6409" max="6409" width="2.81640625" style="28" customWidth="1"/>
    <col min="6410" max="6410" width="1.81640625" style="28" customWidth="1"/>
    <col min="6411" max="6652" width="11.1796875" style="28"/>
    <col min="6653" max="6653" width="1.81640625" style="28" customWidth="1"/>
    <col min="6654" max="6655" width="3.81640625" style="28" customWidth="1"/>
    <col min="6656" max="6656" width="11.81640625" style="28" customWidth="1"/>
    <col min="6657" max="6658" width="7.81640625" style="28" customWidth="1"/>
    <col min="6659" max="6660" width="8.81640625" style="28" customWidth="1"/>
    <col min="6661" max="6661" width="10.81640625" style="28" customWidth="1"/>
    <col min="6662" max="6662" width="8.81640625" style="28" customWidth="1"/>
    <col min="6663" max="6663" width="7.81640625" style="28" customWidth="1"/>
    <col min="6664" max="6664" width="8.81640625" style="28" customWidth="1"/>
    <col min="6665" max="6665" width="2.81640625" style="28" customWidth="1"/>
    <col min="6666" max="6666" width="1.81640625" style="28" customWidth="1"/>
    <col min="6667" max="6908" width="11.1796875" style="28"/>
    <col min="6909" max="6909" width="1.81640625" style="28" customWidth="1"/>
    <col min="6910" max="6911" width="3.81640625" style="28" customWidth="1"/>
    <col min="6912" max="6912" width="11.81640625" style="28" customWidth="1"/>
    <col min="6913" max="6914" width="7.81640625" style="28" customWidth="1"/>
    <col min="6915" max="6916" width="8.81640625" style="28" customWidth="1"/>
    <col min="6917" max="6917" width="10.81640625" style="28" customWidth="1"/>
    <col min="6918" max="6918" width="8.81640625" style="28" customWidth="1"/>
    <col min="6919" max="6919" width="7.81640625" style="28" customWidth="1"/>
    <col min="6920" max="6920" width="8.81640625" style="28" customWidth="1"/>
    <col min="6921" max="6921" width="2.81640625" style="28" customWidth="1"/>
    <col min="6922" max="6922" width="1.81640625" style="28" customWidth="1"/>
    <col min="6923" max="7164" width="11.1796875" style="28"/>
    <col min="7165" max="7165" width="1.81640625" style="28" customWidth="1"/>
    <col min="7166" max="7167" width="3.81640625" style="28" customWidth="1"/>
    <col min="7168" max="7168" width="11.81640625" style="28" customWidth="1"/>
    <col min="7169" max="7170" width="7.81640625" style="28" customWidth="1"/>
    <col min="7171" max="7172" width="8.81640625" style="28" customWidth="1"/>
    <col min="7173" max="7173" width="10.81640625" style="28" customWidth="1"/>
    <col min="7174" max="7174" width="8.81640625" style="28" customWidth="1"/>
    <col min="7175" max="7175" width="7.81640625" style="28" customWidth="1"/>
    <col min="7176" max="7176" width="8.81640625" style="28" customWidth="1"/>
    <col min="7177" max="7177" width="2.81640625" style="28" customWidth="1"/>
    <col min="7178" max="7178" width="1.81640625" style="28" customWidth="1"/>
    <col min="7179" max="7420" width="11.1796875" style="28"/>
    <col min="7421" max="7421" width="1.81640625" style="28" customWidth="1"/>
    <col min="7422" max="7423" width="3.81640625" style="28" customWidth="1"/>
    <col min="7424" max="7424" width="11.81640625" style="28" customWidth="1"/>
    <col min="7425" max="7426" width="7.81640625" style="28" customWidth="1"/>
    <col min="7427" max="7428" width="8.81640625" style="28" customWidth="1"/>
    <col min="7429" max="7429" width="10.81640625" style="28" customWidth="1"/>
    <col min="7430" max="7430" width="8.81640625" style="28" customWidth="1"/>
    <col min="7431" max="7431" width="7.81640625" style="28" customWidth="1"/>
    <col min="7432" max="7432" width="8.81640625" style="28" customWidth="1"/>
    <col min="7433" max="7433" width="2.81640625" style="28" customWidth="1"/>
    <col min="7434" max="7434" width="1.81640625" style="28" customWidth="1"/>
    <col min="7435" max="7676" width="11.1796875" style="28"/>
    <col min="7677" max="7677" width="1.81640625" style="28" customWidth="1"/>
    <col min="7678" max="7679" width="3.81640625" style="28" customWidth="1"/>
    <col min="7680" max="7680" width="11.81640625" style="28" customWidth="1"/>
    <col min="7681" max="7682" width="7.81640625" style="28" customWidth="1"/>
    <col min="7683" max="7684" width="8.81640625" style="28" customWidth="1"/>
    <col min="7685" max="7685" width="10.81640625" style="28" customWidth="1"/>
    <col min="7686" max="7686" width="8.81640625" style="28" customWidth="1"/>
    <col min="7687" max="7687" width="7.81640625" style="28" customWidth="1"/>
    <col min="7688" max="7688" width="8.81640625" style="28" customWidth="1"/>
    <col min="7689" max="7689" width="2.81640625" style="28" customWidth="1"/>
    <col min="7690" max="7690" width="1.81640625" style="28" customWidth="1"/>
    <col min="7691" max="7932" width="11.1796875" style="28"/>
    <col min="7933" max="7933" width="1.81640625" style="28" customWidth="1"/>
    <col min="7934" max="7935" width="3.81640625" style="28" customWidth="1"/>
    <col min="7936" max="7936" width="11.81640625" style="28" customWidth="1"/>
    <col min="7937" max="7938" width="7.81640625" style="28" customWidth="1"/>
    <col min="7939" max="7940" width="8.81640625" style="28" customWidth="1"/>
    <col min="7941" max="7941" width="10.81640625" style="28" customWidth="1"/>
    <col min="7942" max="7942" width="8.81640625" style="28" customWidth="1"/>
    <col min="7943" max="7943" width="7.81640625" style="28" customWidth="1"/>
    <col min="7944" max="7944" width="8.81640625" style="28" customWidth="1"/>
    <col min="7945" max="7945" width="2.81640625" style="28" customWidth="1"/>
    <col min="7946" max="7946" width="1.81640625" style="28" customWidth="1"/>
    <col min="7947" max="8188" width="11.1796875" style="28"/>
    <col min="8189" max="8189" width="1.81640625" style="28" customWidth="1"/>
    <col min="8190" max="8191" width="3.81640625" style="28" customWidth="1"/>
    <col min="8192" max="8192" width="11.81640625" style="28" customWidth="1"/>
    <col min="8193" max="8194" width="7.81640625" style="28" customWidth="1"/>
    <col min="8195" max="8196" width="8.81640625" style="28" customWidth="1"/>
    <col min="8197" max="8197" width="10.81640625" style="28" customWidth="1"/>
    <col min="8198" max="8198" width="8.81640625" style="28" customWidth="1"/>
    <col min="8199" max="8199" width="7.81640625" style="28" customWidth="1"/>
    <col min="8200" max="8200" width="8.81640625" style="28" customWidth="1"/>
    <col min="8201" max="8201" width="2.81640625" style="28" customWidth="1"/>
    <col min="8202" max="8202" width="1.81640625" style="28" customWidth="1"/>
    <col min="8203" max="8444" width="11.1796875" style="28"/>
    <col min="8445" max="8445" width="1.81640625" style="28" customWidth="1"/>
    <col min="8446" max="8447" width="3.81640625" style="28" customWidth="1"/>
    <col min="8448" max="8448" width="11.81640625" style="28" customWidth="1"/>
    <col min="8449" max="8450" width="7.81640625" style="28" customWidth="1"/>
    <col min="8451" max="8452" width="8.81640625" style="28" customWidth="1"/>
    <col min="8453" max="8453" width="10.81640625" style="28" customWidth="1"/>
    <col min="8454" max="8454" width="8.81640625" style="28" customWidth="1"/>
    <col min="8455" max="8455" width="7.81640625" style="28" customWidth="1"/>
    <col min="8456" max="8456" width="8.81640625" style="28" customWidth="1"/>
    <col min="8457" max="8457" width="2.81640625" style="28" customWidth="1"/>
    <col min="8458" max="8458" width="1.81640625" style="28" customWidth="1"/>
    <col min="8459" max="8700" width="11.1796875" style="28"/>
    <col min="8701" max="8701" width="1.81640625" style="28" customWidth="1"/>
    <col min="8702" max="8703" width="3.81640625" style="28" customWidth="1"/>
    <col min="8704" max="8704" width="11.81640625" style="28" customWidth="1"/>
    <col min="8705" max="8706" width="7.81640625" style="28" customWidth="1"/>
    <col min="8707" max="8708" width="8.81640625" style="28" customWidth="1"/>
    <col min="8709" max="8709" width="10.81640625" style="28" customWidth="1"/>
    <col min="8710" max="8710" width="8.81640625" style="28" customWidth="1"/>
    <col min="8711" max="8711" width="7.81640625" style="28" customWidth="1"/>
    <col min="8712" max="8712" width="8.81640625" style="28" customWidth="1"/>
    <col min="8713" max="8713" width="2.81640625" style="28" customWidth="1"/>
    <col min="8714" max="8714" width="1.81640625" style="28" customWidth="1"/>
    <col min="8715" max="8956" width="11.1796875" style="28"/>
    <col min="8957" max="8957" width="1.81640625" style="28" customWidth="1"/>
    <col min="8958" max="8959" width="3.81640625" style="28" customWidth="1"/>
    <col min="8960" max="8960" width="11.81640625" style="28" customWidth="1"/>
    <col min="8961" max="8962" width="7.81640625" style="28" customWidth="1"/>
    <col min="8963" max="8964" width="8.81640625" style="28" customWidth="1"/>
    <col min="8965" max="8965" width="10.81640625" style="28" customWidth="1"/>
    <col min="8966" max="8966" width="8.81640625" style="28" customWidth="1"/>
    <col min="8967" max="8967" width="7.81640625" style="28" customWidth="1"/>
    <col min="8968" max="8968" width="8.81640625" style="28" customWidth="1"/>
    <col min="8969" max="8969" width="2.81640625" style="28" customWidth="1"/>
    <col min="8970" max="8970" width="1.81640625" style="28" customWidth="1"/>
    <col min="8971" max="9212" width="11.1796875" style="28"/>
    <col min="9213" max="9213" width="1.81640625" style="28" customWidth="1"/>
    <col min="9214" max="9215" width="3.81640625" style="28" customWidth="1"/>
    <col min="9216" max="9216" width="11.81640625" style="28" customWidth="1"/>
    <col min="9217" max="9218" width="7.81640625" style="28" customWidth="1"/>
    <col min="9219" max="9220" width="8.81640625" style="28" customWidth="1"/>
    <col min="9221" max="9221" width="10.81640625" style="28" customWidth="1"/>
    <col min="9222" max="9222" width="8.81640625" style="28" customWidth="1"/>
    <col min="9223" max="9223" width="7.81640625" style="28" customWidth="1"/>
    <col min="9224" max="9224" width="8.81640625" style="28" customWidth="1"/>
    <col min="9225" max="9225" width="2.81640625" style="28" customWidth="1"/>
    <col min="9226" max="9226" width="1.81640625" style="28" customWidth="1"/>
    <col min="9227" max="9468" width="11.1796875" style="28"/>
    <col min="9469" max="9469" width="1.81640625" style="28" customWidth="1"/>
    <col min="9470" max="9471" width="3.81640625" style="28" customWidth="1"/>
    <col min="9472" max="9472" width="11.81640625" style="28" customWidth="1"/>
    <col min="9473" max="9474" width="7.81640625" style="28" customWidth="1"/>
    <col min="9475" max="9476" width="8.81640625" style="28" customWidth="1"/>
    <col min="9477" max="9477" width="10.81640625" style="28" customWidth="1"/>
    <col min="9478" max="9478" width="8.81640625" style="28" customWidth="1"/>
    <col min="9479" max="9479" width="7.81640625" style="28" customWidth="1"/>
    <col min="9480" max="9480" width="8.81640625" style="28" customWidth="1"/>
    <col min="9481" max="9481" width="2.81640625" style="28" customWidth="1"/>
    <col min="9482" max="9482" width="1.81640625" style="28" customWidth="1"/>
    <col min="9483" max="9724" width="11.1796875" style="28"/>
    <col min="9725" max="9725" width="1.81640625" style="28" customWidth="1"/>
    <col min="9726" max="9727" width="3.81640625" style="28" customWidth="1"/>
    <col min="9728" max="9728" width="11.81640625" style="28" customWidth="1"/>
    <col min="9729" max="9730" width="7.81640625" style="28" customWidth="1"/>
    <col min="9731" max="9732" width="8.81640625" style="28" customWidth="1"/>
    <col min="9733" max="9733" width="10.81640625" style="28" customWidth="1"/>
    <col min="9734" max="9734" width="8.81640625" style="28" customWidth="1"/>
    <col min="9735" max="9735" width="7.81640625" style="28" customWidth="1"/>
    <col min="9736" max="9736" width="8.81640625" style="28" customWidth="1"/>
    <col min="9737" max="9737" width="2.81640625" style="28" customWidth="1"/>
    <col min="9738" max="9738" width="1.81640625" style="28" customWidth="1"/>
    <col min="9739" max="9980" width="11.1796875" style="28"/>
    <col min="9981" max="9981" width="1.81640625" style="28" customWidth="1"/>
    <col min="9982" max="9983" width="3.81640625" style="28" customWidth="1"/>
    <col min="9984" max="9984" width="11.81640625" style="28" customWidth="1"/>
    <col min="9985" max="9986" width="7.81640625" style="28" customWidth="1"/>
    <col min="9987" max="9988" width="8.81640625" style="28" customWidth="1"/>
    <col min="9989" max="9989" width="10.81640625" style="28" customWidth="1"/>
    <col min="9990" max="9990" width="8.81640625" style="28" customWidth="1"/>
    <col min="9991" max="9991" width="7.81640625" style="28" customWidth="1"/>
    <col min="9992" max="9992" width="8.81640625" style="28" customWidth="1"/>
    <col min="9993" max="9993" width="2.81640625" style="28" customWidth="1"/>
    <col min="9994" max="9994" width="1.81640625" style="28" customWidth="1"/>
    <col min="9995" max="10236" width="11.1796875" style="28"/>
    <col min="10237" max="10237" width="1.81640625" style="28" customWidth="1"/>
    <col min="10238" max="10239" width="3.81640625" style="28" customWidth="1"/>
    <col min="10240" max="10240" width="11.81640625" style="28" customWidth="1"/>
    <col min="10241" max="10242" width="7.81640625" style="28" customWidth="1"/>
    <col min="10243" max="10244" width="8.81640625" style="28" customWidth="1"/>
    <col min="10245" max="10245" width="10.81640625" style="28" customWidth="1"/>
    <col min="10246" max="10246" width="8.81640625" style="28" customWidth="1"/>
    <col min="10247" max="10247" width="7.81640625" style="28" customWidth="1"/>
    <col min="10248" max="10248" width="8.81640625" style="28" customWidth="1"/>
    <col min="10249" max="10249" width="2.81640625" style="28" customWidth="1"/>
    <col min="10250" max="10250" width="1.81640625" style="28" customWidth="1"/>
    <col min="10251" max="10492" width="11.1796875" style="28"/>
    <col min="10493" max="10493" width="1.81640625" style="28" customWidth="1"/>
    <col min="10494" max="10495" width="3.81640625" style="28" customWidth="1"/>
    <col min="10496" max="10496" width="11.81640625" style="28" customWidth="1"/>
    <col min="10497" max="10498" width="7.81640625" style="28" customWidth="1"/>
    <col min="10499" max="10500" width="8.81640625" style="28" customWidth="1"/>
    <col min="10501" max="10501" width="10.81640625" style="28" customWidth="1"/>
    <col min="10502" max="10502" width="8.81640625" style="28" customWidth="1"/>
    <col min="10503" max="10503" width="7.81640625" style="28" customWidth="1"/>
    <col min="10504" max="10504" width="8.81640625" style="28" customWidth="1"/>
    <col min="10505" max="10505" width="2.81640625" style="28" customWidth="1"/>
    <col min="10506" max="10506" width="1.81640625" style="28" customWidth="1"/>
    <col min="10507" max="10748" width="11.1796875" style="28"/>
    <col min="10749" max="10749" width="1.81640625" style="28" customWidth="1"/>
    <col min="10750" max="10751" width="3.81640625" style="28" customWidth="1"/>
    <col min="10752" max="10752" width="11.81640625" style="28" customWidth="1"/>
    <col min="10753" max="10754" width="7.81640625" style="28" customWidth="1"/>
    <col min="10755" max="10756" width="8.81640625" style="28" customWidth="1"/>
    <col min="10757" max="10757" width="10.81640625" style="28" customWidth="1"/>
    <col min="10758" max="10758" width="8.81640625" style="28" customWidth="1"/>
    <col min="10759" max="10759" width="7.81640625" style="28" customWidth="1"/>
    <col min="10760" max="10760" width="8.81640625" style="28" customWidth="1"/>
    <col min="10761" max="10761" width="2.81640625" style="28" customWidth="1"/>
    <col min="10762" max="10762" width="1.81640625" style="28" customWidth="1"/>
    <col min="10763" max="11004" width="11.1796875" style="28"/>
    <col min="11005" max="11005" width="1.81640625" style="28" customWidth="1"/>
    <col min="11006" max="11007" width="3.81640625" style="28" customWidth="1"/>
    <col min="11008" max="11008" width="11.81640625" style="28" customWidth="1"/>
    <col min="11009" max="11010" width="7.81640625" style="28" customWidth="1"/>
    <col min="11011" max="11012" width="8.81640625" style="28" customWidth="1"/>
    <col min="11013" max="11013" width="10.81640625" style="28" customWidth="1"/>
    <col min="11014" max="11014" width="8.81640625" style="28" customWidth="1"/>
    <col min="11015" max="11015" width="7.81640625" style="28" customWidth="1"/>
    <col min="11016" max="11016" width="8.81640625" style="28" customWidth="1"/>
    <col min="11017" max="11017" width="2.81640625" style="28" customWidth="1"/>
    <col min="11018" max="11018" width="1.81640625" style="28" customWidth="1"/>
    <col min="11019" max="11260" width="11.1796875" style="28"/>
    <col min="11261" max="11261" width="1.81640625" style="28" customWidth="1"/>
    <col min="11262" max="11263" width="3.81640625" style="28" customWidth="1"/>
    <col min="11264" max="11264" width="11.81640625" style="28" customWidth="1"/>
    <col min="11265" max="11266" width="7.81640625" style="28" customWidth="1"/>
    <col min="11267" max="11268" width="8.81640625" style="28" customWidth="1"/>
    <col min="11269" max="11269" width="10.81640625" style="28" customWidth="1"/>
    <col min="11270" max="11270" width="8.81640625" style="28" customWidth="1"/>
    <col min="11271" max="11271" width="7.81640625" style="28" customWidth="1"/>
    <col min="11272" max="11272" width="8.81640625" style="28" customWidth="1"/>
    <col min="11273" max="11273" width="2.81640625" style="28" customWidth="1"/>
    <col min="11274" max="11274" width="1.81640625" style="28" customWidth="1"/>
    <col min="11275" max="11516" width="11.1796875" style="28"/>
    <col min="11517" max="11517" width="1.81640625" style="28" customWidth="1"/>
    <col min="11518" max="11519" width="3.81640625" style="28" customWidth="1"/>
    <col min="11520" max="11520" width="11.81640625" style="28" customWidth="1"/>
    <col min="11521" max="11522" width="7.81640625" style="28" customWidth="1"/>
    <col min="11523" max="11524" width="8.81640625" style="28" customWidth="1"/>
    <col min="11525" max="11525" width="10.81640625" style="28" customWidth="1"/>
    <col min="11526" max="11526" width="8.81640625" style="28" customWidth="1"/>
    <col min="11527" max="11527" width="7.81640625" style="28" customWidth="1"/>
    <col min="11528" max="11528" width="8.81640625" style="28" customWidth="1"/>
    <col min="11529" max="11529" width="2.81640625" style="28" customWidth="1"/>
    <col min="11530" max="11530" width="1.81640625" style="28" customWidth="1"/>
    <col min="11531" max="11772" width="11.1796875" style="28"/>
    <col min="11773" max="11773" width="1.81640625" style="28" customWidth="1"/>
    <col min="11774" max="11775" width="3.81640625" style="28" customWidth="1"/>
    <col min="11776" max="11776" width="11.81640625" style="28" customWidth="1"/>
    <col min="11777" max="11778" width="7.81640625" style="28" customWidth="1"/>
    <col min="11779" max="11780" width="8.81640625" style="28" customWidth="1"/>
    <col min="11781" max="11781" width="10.81640625" style="28" customWidth="1"/>
    <col min="11782" max="11782" width="8.81640625" style="28" customWidth="1"/>
    <col min="11783" max="11783" width="7.81640625" style="28" customWidth="1"/>
    <col min="11784" max="11784" width="8.81640625" style="28" customWidth="1"/>
    <col min="11785" max="11785" width="2.81640625" style="28" customWidth="1"/>
    <col min="11786" max="11786" width="1.81640625" style="28" customWidth="1"/>
    <col min="11787" max="12028" width="11.1796875" style="28"/>
    <col min="12029" max="12029" width="1.81640625" style="28" customWidth="1"/>
    <col min="12030" max="12031" width="3.81640625" style="28" customWidth="1"/>
    <col min="12032" max="12032" width="11.81640625" style="28" customWidth="1"/>
    <col min="12033" max="12034" width="7.81640625" style="28" customWidth="1"/>
    <col min="12035" max="12036" width="8.81640625" style="28" customWidth="1"/>
    <col min="12037" max="12037" width="10.81640625" style="28" customWidth="1"/>
    <col min="12038" max="12038" width="8.81640625" style="28" customWidth="1"/>
    <col min="12039" max="12039" width="7.81640625" style="28" customWidth="1"/>
    <col min="12040" max="12040" width="8.81640625" style="28" customWidth="1"/>
    <col min="12041" max="12041" width="2.81640625" style="28" customWidth="1"/>
    <col min="12042" max="12042" width="1.81640625" style="28" customWidth="1"/>
    <col min="12043" max="12284" width="11.1796875" style="28"/>
    <col min="12285" max="12285" width="1.81640625" style="28" customWidth="1"/>
    <col min="12286" max="12287" width="3.81640625" style="28" customWidth="1"/>
    <col min="12288" max="12288" width="11.81640625" style="28" customWidth="1"/>
    <col min="12289" max="12290" width="7.81640625" style="28" customWidth="1"/>
    <col min="12291" max="12292" width="8.81640625" style="28" customWidth="1"/>
    <col min="12293" max="12293" width="10.81640625" style="28" customWidth="1"/>
    <col min="12294" max="12294" width="8.81640625" style="28" customWidth="1"/>
    <col min="12295" max="12295" width="7.81640625" style="28" customWidth="1"/>
    <col min="12296" max="12296" width="8.81640625" style="28" customWidth="1"/>
    <col min="12297" max="12297" width="2.81640625" style="28" customWidth="1"/>
    <col min="12298" max="12298" width="1.81640625" style="28" customWidth="1"/>
    <col min="12299" max="12540" width="11.1796875" style="28"/>
    <col min="12541" max="12541" width="1.81640625" style="28" customWidth="1"/>
    <col min="12542" max="12543" width="3.81640625" style="28" customWidth="1"/>
    <col min="12544" max="12544" width="11.81640625" style="28" customWidth="1"/>
    <col min="12545" max="12546" width="7.81640625" style="28" customWidth="1"/>
    <col min="12547" max="12548" width="8.81640625" style="28" customWidth="1"/>
    <col min="12549" max="12549" width="10.81640625" style="28" customWidth="1"/>
    <col min="12550" max="12550" width="8.81640625" style="28" customWidth="1"/>
    <col min="12551" max="12551" width="7.81640625" style="28" customWidth="1"/>
    <col min="12552" max="12552" width="8.81640625" style="28" customWidth="1"/>
    <col min="12553" max="12553" width="2.81640625" style="28" customWidth="1"/>
    <col min="12554" max="12554" width="1.81640625" style="28" customWidth="1"/>
    <col min="12555" max="12796" width="11.1796875" style="28"/>
    <col min="12797" max="12797" width="1.81640625" style="28" customWidth="1"/>
    <col min="12798" max="12799" width="3.81640625" style="28" customWidth="1"/>
    <col min="12800" max="12800" width="11.81640625" style="28" customWidth="1"/>
    <col min="12801" max="12802" width="7.81640625" style="28" customWidth="1"/>
    <col min="12803" max="12804" width="8.81640625" style="28" customWidth="1"/>
    <col min="12805" max="12805" width="10.81640625" style="28" customWidth="1"/>
    <col min="12806" max="12806" width="8.81640625" style="28" customWidth="1"/>
    <col min="12807" max="12807" width="7.81640625" style="28" customWidth="1"/>
    <col min="12808" max="12808" width="8.81640625" style="28" customWidth="1"/>
    <col min="12809" max="12809" width="2.81640625" style="28" customWidth="1"/>
    <col min="12810" max="12810" width="1.81640625" style="28" customWidth="1"/>
    <col min="12811" max="13052" width="11.1796875" style="28"/>
    <col min="13053" max="13053" width="1.81640625" style="28" customWidth="1"/>
    <col min="13054" max="13055" width="3.81640625" style="28" customWidth="1"/>
    <col min="13056" max="13056" width="11.81640625" style="28" customWidth="1"/>
    <col min="13057" max="13058" width="7.81640625" style="28" customWidth="1"/>
    <col min="13059" max="13060" width="8.81640625" style="28" customWidth="1"/>
    <col min="13061" max="13061" width="10.81640625" style="28" customWidth="1"/>
    <col min="13062" max="13062" width="8.81640625" style="28" customWidth="1"/>
    <col min="13063" max="13063" width="7.81640625" style="28" customWidth="1"/>
    <col min="13064" max="13064" width="8.81640625" style="28" customWidth="1"/>
    <col min="13065" max="13065" width="2.81640625" style="28" customWidth="1"/>
    <col min="13066" max="13066" width="1.81640625" style="28" customWidth="1"/>
    <col min="13067" max="13308" width="11.1796875" style="28"/>
    <col min="13309" max="13309" width="1.81640625" style="28" customWidth="1"/>
    <col min="13310" max="13311" width="3.81640625" style="28" customWidth="1"/>
    <col min="13312" max="13312" width="11.81640625" style="28" customWidth="1"/>
    <col min="13313" max="13314" width="7.81640625" style="28" customWidth="1"/>
    <col min="13315" max="13316" width="8.81640625" style="28" customWidth="1"/>
    <col min="13317" max="13317" width="10.81640625" style="28" customWidth="1"/>
    <col min="13318" max="13318" width="8.81640625" style="28" customWidth="1"/>
    <col min="13319" max="13319" width="7.81640625" style="28" customWidth="1"/>
    <col min="13320" max="13320" width="8.81640625" style="28" customWidth="1"/>
    <col min="13321" max="13321" width="2.81640625" style="28" customWidth="1"/>
    <col min="13322" max="13322" width="1.81640625" style="28" customWidth="1"/>
    <col min="13323" max="13564" width="11.1796875" style="28"/>
    <col min="13565" max="13565" width="1.81640625" style="28" customWidth="1"/>
    <col min="13566" max="13567" width="3.81640625" style="28" customWidth="1"/>
    <col min="13568" max="13568" width="11.81640625" style="28" customWidth="1"/>
    <col min="13569" max="13570" width="7.81640625" style="28" customWidth="1"/>
    <col min="13571" max="13572" width="8.81640625" style="28" customWidth="1"/>
    <col min="13573" max="13573" width="10.81640625" style="28" customWidth="1"/>
    <col min="13574" max="13574" width="8.81640625" style="28" customWidth="1"/>
    <col min="13575" max="13575" width="7.81640625" style="28" customWidth="1"/>
    <col min="13576" max="13576" width="8.81640625" style="28" customWidth="1"/>
    <col min="13577" max="13577" width="2.81640625" style="28" customWidth="1"/>
    <col min="13578" max="13578" width="1.81640625" style="28" customWidth="1"/>
    <col min="13579" max="13820" width="11.1796875" style="28"/>
    <col min="13821" max="13821" width="1.81640625" style="28" customWidth="1"/>
    <col min="13822" max="13823" width="3.81640625" style="28" customWidth="1"/>
    <col min="13824" max="13824" width="11.81640625" style="28" customWidth="1"/>
    <col min="13825" max="13826" width="7.81640625" style="28" customWidth="1"/>
    <col min="13827" max="13828" width="8.81640625" style="28" customWidth="1"/>
    <col min="13829" max="13829" width="10.81640625" style="28" customWidth="1"/>
    <col min="13830" max="13830" width="8.81640625" style="28" customWidth="1"/>
    <col min="13831" max="13831" width="7.81640625" style="28" customWidth="1"/>
    <col min="13832" max="13832" width="8.81640625" style="28" customWidth="1"/>
    <col min="13833" max="13833" width="2.81640625" style="28" customWidth="1"/>
    <col min="13834" max="13834" width="1.81640625" style="28" customWidth="1"/>
    <col min="13835" max="14076" width="11.1796875" style="28"/>
    <col min="14077" max="14077" width="1.81640625" style="28" customWidth="1"/>
    <col min="14078" max="14079" width="3.81640625" style="28" customWidth="1"/>
    <col min="14080" max="14080" width="11.81640625" style="28" customWidth="1"/>
    <col min="14081" max="14082" width="7.81640625" style="28" customWidth="1"/>
    <col min="14083" max="14084" width="8.81640625" style="28" customWidth="1"/>
    <col min="14085" max="14085" width="10.81640625" style="28" customWidth="1"/>
    <col min="14086" max="14086" width="8.81640625" style="28" customWidth="1"/>
    <col min="14087" max="14087" width="7.81640625" style="28" customWidth="1"/>
    <col min="14088" max="14088" width="8.81640625" style="28" customWidth="1"/>
    <col min="14089" max="14089" width="2.81640625" style="28" customWidth="1"/>
    <col min="14090" max="14090" width="1.81640625" style="28" customWidth="1"/>
    <col min="14091" max="14332" width="11.1796875" style="28"/>
    <col min="14333" max="14333" width="1.81640625" style="28" customWidth="1"/>
    <col min="14334" max="14335" width="3.81640625" style="28" customWidth="1"/>
    <col min="14336" max="14336" width="11.81640625" style="28" customWidth="1"/>
    <col min="14337" max="14338" width="7.81640625" style="28" customWidth="1"/>
    <col min="14339" max="14340" width="8.81640625" style="28" customWidth="1"/>
    <col min="14341" max="14341" width="10.81640625" style="28" customWidth="1"/>
    <col min="14342" max="14342" width="8.81640625" style="28" customWidth="1"/>
    <col min="14343" max="14343" width="7.81640625" style="28" customWidth="1"/>
    <col min="14344" max="14344" width="8.81640625" style="28" customWidth="1"/>
    <col min="14345" max="14345" width="2.81640625" style="28" customWidth="1"/>
    <col min="14346" max="14346" width="1.81640625" style="28" customWidth="1"/>
    <col min="14347" max="14588" width="11.1796875" style="28"/>
    <col min="14589" max="14589" width="1.81640625" style="28" customWidth="1"/>
    <col min="14590" max="14591" width="3.81640625" style="28" customWidth="1"/>
    <col min="14592" max="14592" width="11.81640625" style="28" customWidth="1"/>
    <col min="14593" max="14594" width="7.81640625" style="28" customWidth="1"/>
    <col min="14595" max="14596" width="8.81640625" style="28" customWidth="1"/>
    <col min="14597" max="14597" width="10.81640625" style="28" customWidth="1"/>
    <col min="14598" max="14598" width="8.81640625" style="28" customWidth="1"/>
    <col min="14599" max="14599" width="7.81640625" style="28" customWidth="1"/>
    <col min="14600" max="14600" width="8.81640625" style="28" customWidth="1"/>
    <col min="14601" max="14601" width="2.81640625" style="28" customWidth="1"/>
    <col min="14602" max="14602" width="1.81640625" style="28" customWidth="1"/>
    <col min="14603" max="14844" width="11.1796875" style="28"/>
    <col min="14845" max="14845" width="1.81640625" style="28" customWidth="1"/>
    <col min="14846" max="14847" width="3.81640625" style="28" customWidth="1"/>
    <col min="14848" max="14848" width="11.81640625" style="28" customWidth="1"/>
    <col min="14849" max="14850" width="7.81640625" style="28" customWidth="1"/>
    <col min="14851" max="14852" width="8.81640625" style="28" customWidth="1"/>
    <col min="14853" max="14853" width="10.81640625" style="28" customWidth="1"/>
    <col min="14854" max="14854" width="8.81640625" style="28" customWidth="1"/>
    <col min="14855" max="14855" width="7.81640625" style="28" customWidth="1"/>
    <col min="14856" max="14856" width="8.81640625" style="28" customWidth="1"/>
    <col min="14857" max="14857" width="2.81640625" style="28" customWidth="1"/>
    <col min="14858" max="14858" width="1.81640625" style="28" customWidth="1"/>
    <col min="14859" max="15100" width="11.1796875" style="28"/>
    <col min="15101" max="15101" width="1.81640625" style="28" customWidth="1"/>
    <col min="15102" max="15103" width="3.81640625" style="28" customWidth="1"/>
    <col min="15104" max="15104" width="11.81640625" style="28" customWidth="1"/>
    <col min="15105" max="15106" width="7.81640625" style="28" customWidth="1"/>
    <col min="15107" max="15108" width="8.81640625" style="28" customWidth="1"/>
    <col min="15109" max="15109" width="10.81640625" style="28" customWidth="1"/>
    <col min="15110" max="15110" width="8.81640625" style="28" customWidth="1"/>
    <col min="15111" max="15111" width="7.81640625" style="28" customWidth="1"/>
    <col min="15112" max="15112" width="8.81640625" style="28" customWidth="1"/>
    <col min="15113" max="15113" width="2.81640625" style="28" customWidth="1"/>
    <col min="15114" max="15114" width="1.81640625" style="28" customWidth="1"/>
    <col min="15115" max="15356" width="11.1796875" style="28"/>
    <col min="15357" max="15357" width="1.81640625" style="28" customWidth="1"/>
    <col min="15358" max="15359" width="3.81640625" style="28" customWidth="1"/>
    <col min="15360" max="15360" width="11.81640625" style="28" customWidth="1"/>
    <col min="15361" max="15362" width="7.81640625" style="28" customWidth="1"/>
    <col min="15363" max="15364" width="8.81640625" style="28" customWidth="1"/>
    <col min="15365" max="15365" width="10.81640625" style="28" customWidth="1"/>
    <col min="15366" max="15366" width="8.81640625" style="28" customWidth="1"/>
    <col min="15367" max="15367" width="7.81640625" style="28" customWidth="1"/>
    <col min="15368" max="15368" width="8.81640625" style="28" customWidth="1"/>
    <col min="15369" max="15369" width="2.81640625" style="28" customWidth="1"/>
    <col min="15370" max="15370" width="1.81640625" style="28" customWidth="1"/>
    <col min="15371" max="15612" width="11.1796875" style="28"/>
    <col min="15613" max="15613" width="1.81640625" style="28" customWidth="1"/>
    <col min="15614" max="15615" width="3.81640625" style="28" customWidth="1"/>
    <col min="15616" max="15616" width="11.81640625" style="28" customWidth="1"/>
    <col min="15617" max="15618" width="7.81640625" style="28" customWidth="1"/>
    <col min="15619" max="15620" width="8.81640625" style="28" customWidth="1"/>
    <col min="15621" max="15621" width="10.81640625" style="28" customWidth="1"/>
    <col min="15622" max="15622" width="8.81640625" style="28" customWidth="1"/>
    <col min="15623" max="15623" width="7.81640625" style="28" customWidth="1"/>
    <col min="15624" max="15624" width="8.81640625" style="28" customWidth="1"/>
    <col min="15625" max="15625" width="2.81640625" style="28" customWidth="1"/>
    <col min="15626" max="15626" width="1.81640625" style="28" customWidth="1"/>
    <col min="15627" max="15868" width="11.1796875" style="28"/>
    <col min="15869" max="15869" width="1.81640625" style="28" customWidth="1"/>
    <col min="15870" max="15871" width="3.81640625" style="28" customWidth="1"/>
    <col min="15872" max="15872" width="11.81640625" style="28" customWidth="1"/>
    <col min="15873" max="15874" width="7.81640625" style="28" customWidth="1"/>
    <col min="15875" max="15876" width="8.81640625" style="28" customWidth="1"/>
    <col min="15877" max="15877" width="10.81640625" style="28" customWidth="1"/>
    <col min="15878" max="15878" width="8.81640625" style="28" customWidth="1"/>
    <col min="15879" max="15879" width="7.81640625" style="28" customWidth="1"/>
    <col min="15880" max="15880" width="8.81640625" style="28" customWidth="1"/>
    <col min="15881" max="15881" width="2.81640625" style="28" customWidth="1"/>
    <col min="15882" max="15882" width="1.81640625" style="28" customWidth="1"/>
    <col min="15883" max="16124" width="11.1796875" style="28"/>
    <col min="16125" max="16125" width="1.81640625" style="28" customWidth="1"/>
    <col min="16126" max="16127" width="3.81640625" style="28" customWidth="1"/>
    <col min="16128" max="16128" width="11.81640625" style="28" customWidth="1"/>
    <col min="16129" max="16130" width="7.81640625" style="28" customWidth="1"/>
    <col min="16131" max="16132" width="8.81640625" style="28" customWidth="1"/>
    <col min="16133" max="16133" width="10.81640625" style="28" customWidth="1"/>
    <col min="16134" max="16134" width="8.81640625" style="28" customWidth="1"/>
    <col min="16135" max="16135" width="7.81640625" style="28" customWidth="1"/>
    <col min="16136" max="16136" width="8.81640625" style="28" customWidth="1"/>
    <col min="16137" max="16137" width="2.81640625" style="28" customWidth="1"/>
    <col min="16138" max="16138" width="1.81640625" style="28" customWidth="1"/>
    <col min="16139" max="16384" width="11.1796875" style="28"/>
  </cols>
  <sheetData>
    <row r="1" spans="1:26" ht="15.6" thickBot="1"/>
    <row r="2" spans="1:26" ht="21" customHeight="1" thickTop="1">
      <c r="B2" s="29"/>
      <c r="C2" s="30"/>
      <c r="D2" s="31"/>
      <c r="E2" s="31"/>
      <c r="F2" s="31"/>
      <c r="G2" s="31"/>
      <c r="H2" s="31"/>
      <c r="I2" s="31"/>
      <c r="J2" s="30"/>
      <c r="K2" s="30"/>
      <c r="L2" s="30"/>
      <c r="M2" s="30"/>
      <c r="N2" s="30"/>
      <c r="O2" s="30"/>
      <c r="P2" s="30"/>
      <c r="Q2" s="30"/>
      <c r="R2" s="32"/>
      <c r="T2" s="246" cm="1">
        <f t="array" ref="T2">INDEX(DATA!$B$99:$B$104,$T$8)</f>
      </c>
      <c r="U2" s="246"/>
      <c r="V2" s="246">
        <f>TEXT($T$2,"[$-21]dd mmmm yyyy")</f>
      </c>
      <c r="W2" s="261">
        <f>TEXT(T2,"[$-21]dd mmmm yyyy")</f>
      </c>
    </row>
    <row r="3" spans="1:26" ht="17.399999999999999">
      <c r="B3" s="33"/>
      <c r="C3" s="34"/>
      <c r="D3" s="53"/>
      <c r="E3" s="53"/>
      <c r="F3" s="53"/>
      <c r="G3" s="53"/>
      <c r="H3" s="53"/>
      <c r="I3" s="53"/>
      <c r="J3" s="34"/>
      <c r="K3" s="34"/>
      <c r="L3" s="35"/>
      <c r="M3" s="35"/>
      <c r="N3" s="35"/>
      <c r="O3" s="35"/>
      <c r="P3" s="35"/>
      <c r="Q3" s="35"/>
      <c r="R3" s="36"/>
      <c r="T3" s="246">
        <f>TEXT($T$2,"[$-21]dddd")</f>
      </c>
      <c r="U3" s="61"/>
      <c r="V3" s="246"/>
      <c r="W3" s="61"/>
      <c r="X3" s="61"/>
      <c r="Y3" s="61"/>
      <c r="Z3" s="61"/>
    </row>
    <row r="4" spans="1:26">
      <c r="A4" s="37"/>
      <c r="B4" s="38"/>
      <c r="C4" s="39"/>
      <c r="D4" s="40"/>
      <c r="E4" s="40"/>
      <c r="F4" s="40"/>
      <c r="G4" s="40"/>
      <c r="H4" s="40"/>
      <c r="I4" s="40"/>
      <c r="J4" s="40"/>
      <c r="K4" s="37"/>
      <c r="L4" s="37"/>
      <c r="M4" s="37"/>
      <c r="N4" s="37"/>
      <c r="O4" s="37"/>
      <c r="P4" s="37"/>
      <c r="Q4" s="37"/>
      <c r="R4" s="41"/>
      <c r="S4" s="37"/>
      <c r="T4" s="246">
        <f>VLOOKUP(DAY($T$2),HELPER!$A$2:$B$100,2,0)</f>
      </c>
      <c r="U4" s="61"/>
      <c r="V4" s="246"/>
      <c r="W4" s="61"/>
      <c r="X4" s="61"/>
      <c r="Y4" s="61"/>
      <c r="Z4" s="61"/>
    </row>
    <row r="5" spans="1:26">
      <c r="A5" s="37"/>
      <c r="B5" s="38"/>
      <c r="C5" s="39"/>
      <c r="D5" s="40"/>
      <c r="E5" s="40"/>
      <c r="F5" s="40"/>
      <c r="G5" s="40"/>
      <c r="H5" s="40"/>
      <c r="I5" s="40"/>
      <c r="J5" s="40"/>
      <c r="K5" s="37"/>
      <c r="L5" s="37"/>
      <c r="M5" s="37"/>
      <c r="N5" s="37"/>
      <c r="O5" s="37"/>
      <c r="P5" s="37"/>
      <c r="Q5" s="37"/>
      <c r="R5" s="41"/>
      <c r="S5" s="37"/>
      <c r="T5" s="246">
        <f>TEXT($T$2,"[$-21]mmmm")</f>
      </c>
      <c r="U5" s="61"/>
      <c r="V5" s="61"/>
      <c r="W5" s="61"/>
      <c r="X5" s="61"/>
      <c r="Y5" s="61"/>
      <c r="Z5" s="61"/>
    </row>
    <row r="6" spans="1:26" ht="9" customHeight="1">
      <c r="A6" s="37"/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4"/>
      <c r="S6" s="37"/>
      <c r="T6" s="246">
        <f>"Dua Ribu"&amp;IF(MOD(YEAR($T$2),100)=0,""," "&amp;VLOOKUP(MOD(YEAR($T$2),100),HELPER!$A$2:$B$100,2,0))</f>
      </c>
      <c r="U6" s="61"/>
      <c r="V6" s="61"/>
      <c r="W6" s="61"/>
      <c r="X6" s="61"/>
      <c r="Y6" s="61"/>
      <c r="Z6" s="61"/>
    </row>
    <row r="7" spans="1:26" ht="15.6">
      <c r="A7" s="37"/>
      <c r="B7" s="645"/>
      <c r="C7" s="646"/>
      <c r="D7" s="646"/>
      <c r="E7" s="646"/>
      <c r="F7" s="646"/>
      <c r="G7" s="646"/>
      <c r="H7" s="646"/>
      <c r="I7" s="646"/>
      <c r="J7" s="646"/>
      <c r="K7" s="646"/>
      <c r="L7" s="646"/>
      <c r="M7" s="646"/>
      <c r="N7" s="646"/>
      <c r="O7" s="646"/>
      <c r="P7" s="646"/>
      <c r="Q7" s="646"/>
      <c r="R7" s="647"/>
      <c r="S7" s="37"/>
      <c r="T7" s="468" t="s">
        <v>51</v>
      </c>
      <c r="U7" s="61"/>
      <c r="V7" s="61"/>
      <c r="W7" s="61"/>
      <c r="X7" s="61"/>
      <c r="Y7" s="61"/>
      <c r="Z7" s="61"/>
    </row>
    <row r="8" spans="1:26">
      <c r="A8" s="37"/>
      <c r="B8" s="429"/>
      <c r="C8" s="430"/>
      <c r="D8" s="430"/>
      <c r="E8" s="430"/>
      <c r="F8" s="430"/>
      <c r="G8" s="430"/>
      <c r="H8" s="430"/>
      <c r="I8" s="430"/>
      <c r="J8" s="430"/>
      <c r="K8" s="430"/>
      <c r="L8" s="430"/>
      <c r="M8" s="430"/>
      <c r="N8" s="430"/>
      <c r="O8" s="430"/>
      <c r="P8" s="430"/>
      <c r="Q8" s="430"/>
      <c r="R8" s="431"/>
      <c r="S8" s="37"/>
      <c r="T8" s="469">
        <v>2</v>
      </c>
      <c r="U8" s="61"/>
      <c r="V8" s="61"/>
      <c r="W8" s="61"/>
      <c r="X8" s="61"/>
      <c r="Y8" s="61"/>
      <c r="Z8" s="61"/>
    </row>
    <row r="9" spans="1:26" ht="21">
      <c r="A9" s="37"/>
      <c r="B9" s="642" t="s">
        <v>87</v>
      </c>
      <c r="C9" s="643"/>
      <c r="D9" s="643"/>
      <c r="E9" s="643"/>
      <c r="F9" s="643"/>
      <c r="G9" s="643"/>
      <c r="H9" s="643"/>
      <c r="I9" s="643"/>
      <c r="J9" s="643"/>
      <c r="K9" s="643"/>
      <c r="L9" s="643"/>
      <c r="M9" s="643"/>
      <c r="N9" s="643"/>
      <c r="O9" s="643"/>
      <c r="P9" s="643"/>
      <c r="Q9" s="643"/>
      <c r="R9" s="644"/>
      <c r="S9" s="37"/>
      <c r="T9" s="246"/>
      <c r="U9" s="62"/>
      <c r="V9" s="62"/>
      <c r="W9" s="62"/>
      <c r="X9" s="62"/>
      <c r="Y9" s="62"/>
      <c r="Z9" s="62"/>
    </row>
    <row r="10" spans="1:26">
      <c r="A10" s="37"/>
      <c r="B10" s="645">
        <f>TEXT($T$8,"00")&amp;"/BAPP/"&amp;DATA!$B$4</f>
      </c>
      <c r="C10" s="646"/>
      <c r="D10" s="646"/>
      <c r="E10" s="646"/>
      <c r="F10" s="646"/>
      <c r="G10" s="646"/>
      <c r="H10" s="646"/>
      <c r="I10" s="646"/>
      <c r="J10" s="646"/>
      <c r="K10" s="646"/>
      <c r="L10" s="646"/>
      <c r="M10" s="646"/>
      <c r="N10" s="646"/>
      <c r="O10" s="646"/>
      <c r="P10" s="646"/>
      <c r="Q10" s="646"/>
      <c r="R10" s="647"/>
      <c r="S10" s="37"/>
      <c r="T10" s="246"/>
      <c r="U10" s="62"/>
      <c r="V10" s="62"/>
      <c r="W10" s="62"/>
      <c r="X10" s="62"/>
      <c r="Y10" s="62"/>
      <c r="Z10" s="62"/>
    </row>
    <row r="11" spans="1:26">
      <c r="A11" s="37"/>
      <c r="B11" s="429"/>
      <c r="C11" s="430"/>
      <c r="D11" s="430"/>
      <c r="E11" s="430"/>
      <c r="F11" s="430"/>
      <c r="G11" s="430"/>
      <c r="H11" s="430"/>
      <c r="I11" s="430"/>
      <c r="J11" s="430"/>
      <c r="K11" s="430"/>
      <c r="L11" s="430"/>
      <c r="M11" s="430"/>
      <c r="N11" s="430"/>
      <c r="O11" s="430"/>
      <c r="P11" s="430"/>
      <c r="Q11" s="430"/>
      <c r="R11" s="431"/>
      <c r="S11" s="37"/>
      <c r="T11" s="246"/>
      <c r="U11" s="62"/>
      <c r="V11" s="62"/>
      <c r="W11" s="62"/>
      <c r="X11" s="62"/>
      <c r="Y11" s="62"/>
      <c r="Z11" s="62"/>
    </row>
    <row r="12" spans="1:26" ht="21" customHeight="1">
      <c r="A12" s="37"/>
      <c r="B12" s="38"/>
      <c r="C12" s="648">
        <f>"Pada hari ini "&amp;T3&amp;" tanggal "&amp;T4&amp;" bulan "&amp;T5&amp;" tahun "&amp;T6&amp;" ("&amp;V2&amp;"), kami yang bertandatangan di bawah ini:"</f>
      </c>
      <c r="D12" s="648"/>
      <c r="E12" s="648"/>
      <c r="F12" s="648"/>
      <c r="G12" s="648"/>
      <c r="H12" s="648"/>
      <c r="I12" s="648"/>
      <c r="J12" s="648"/>
      <c r="K12" s="648"/>
      <c r="L12" s="648"/>
      <c r="M12" s="648"/>
      <c r="N12" s="648"/>
      <c r="O12" s="648"/>
      <c r="P12" s="648"/>
      <c r="Q12" s="648"/>
      <c r="R12" s="46"/>
      <c r="S12" s="37"/>
      <c r="T12" s="62"/>
      <c r="U12" s="62"/>
      <c r="V12" s="62"/>
      <c r="W12" s="62"/>
      <c r="X12" s="62"/>
      <c r="Y12" s="62"/>
      <c r="Z12" s="62"/>
    </row>
    <row r="13" spans="1:26" ht="5.25" customHeight="1">
      <c r="A13" s="37"/>
      <c r="B13" s="38"/>
      <c r="C13" s="43"/>
      <c r="D13" s="60"/>
      <c r="E13" s="60"/>
      <c r="F13" s="60"/>
      <c r="G13" s="60"/>
      <c r="H13" s="60"/>
      <c r="I13" s="60"/>
      <c r="J13" s="43"/>
      <c r="K13" s="43"/>
      <c r="L13" s="43"/>
      <c r="M13" s="43"/>
      <c r="N13" s="43"/>
      <c r="O13" s="43"/>
      <c r="P13" s="43"/>
      <c r="Q13" s="43"/>
      <c r="R13" s="46"/>
      <c r="S13" s="37"/>
      <c r="T13" s="62"/>
      <c r="U13" s="62"/>
      <c r="V13" s="62"/>
      <c r="W13" s="62"/>
      <c r="X13" s="62"/>
      <c r="Y13" s="62"/>
      <c r="Z13" s="62"/>
    </row>
    <row r="14" spans="1:26" ht="18" customHeight="1">
      <c r="A14" s="37"/>
      <c r="B14" s="38"/>
      <c r="C14" s="221" t="s">
        <v>88</v>
      </c>
      <c r="D14" s="222">
        <f>DATA!$B$14</f>
      </c>
      <c r="E14" s="222" t="s">
        <v>2</v>
      </c>
      <c r="F14" s="630">
        <f>"Selaku "&amp;DATA!$B$16&amp;", Proyek "&amp;DATA!$B$7&amp;", dalam hal ini bertindak untuk dan atas nama "&amp;DATA!$B$17&amp;", yang berkedudukan di "&amp;DATA!$B$18</f>
      </c>
      <c r="G14" s="630"/>
      <c r="H14" s="630"/>
      <c r="I14" s="630"/>
      <c r="J14" s="630"/>
      <c r="K14" s="630"/>
      <c r="L14" s="630"/>
      <c r="M14" s="630"/>
      <c r="N14" s="630"/>
      <c r="O14" s="630"/>
      <c r="P14" s="630"/>
      <c r="Q14" s="630"/>
      <c r="R14" s="631"/>
      <c r="S14" s="37" t="s">
        <v>89</v>
      </c>
    </row>
    <row r="15" spans="1:26" ht="12.45" customHeight="1">
      <c r="A15" s="37"/>
      <c r="B15" s="38"/>
      <c r="C15" s="43"/>
      <c r="D15" s="60"/>
      <c r="E15" s="60"/>
      <c r="F15" s="630"/>
      <c r="G15" s="630"/>
      <c r="H15" s="630"/>
      <c r="I15" s="630"/>
      <c r="J15" s="630"/>
      <c r="K15" s="630"/>
      <c r="L15" s="630"/>
      <c r="M15" s="630"/>
      <c r="N15" s="630"/>
      <c r="O15" s="630"/>
      <c r="P15" s="630"/>
      <c r="Q15" s="630"/>
      <c r="R15" s="631"/>
      <c r="S15" s="37"/>
      <c r="U15" s="253" t="s">
        <v>90</v>
      </c>
    </row>
    <row r="16" spans="1:26">
      <c r="A16" s="37"/>
      <c r="B16" s="38"/>
      <c r="C16" s="43"/>
      <c r="D16" s="60"/>
      <c r="E16" s="60"/>
      <c r="F16" s="44" t="s">
        <v>91</v>
      </c>
      <c r="G16" s="44"/>
      <c r="H16" s="44"/>
      <c r="I16" s="44"/>
      <c r="J16" s="43"/>
      <c r="M16" s="45"/>
      <c r="N16" s="45"/>
      <c r="O16" s="45"/>
      <c r="P16" s="45"/>
      <c r="Q16" s="45"/>
      <c r="R16" s="46"/>
      <c r="S16" s="37"/>
    </row>
    <row r="17" spans="1:19" ht="7.5" customHeight="1">
      <c r="A17" s="37"/>
      <c r="B17" s="38"/>
      <c r="C17" s="43"/>
      <c r="D17" s="60"/>
      <c r="E17" s="60"/>
      <c r="F17" s="60"/>
      <c r="G17" s="60"/>
      <c r="H17" s="60"/>
      <c r="I17" s="60"/>
      <c r="J17" s="43"/>
      <c r="K17" s="43"/>
      <c r="L17" s="45"/>
      <c r="M17" s="45"/>
      <c r="N17" s="45"/>
      <c r="O17" s="45"/>
      <c r="P17" s="45"/>
      <c r="Q17" s="45"/>
      <c r="R17" s="46"/>
      <c r="S17" s="37"/>
    </row>
    <row r="18" spans="1:19" ht="30.45" customHeight="1">
      <c r="A18" s="37"/>
      <c r="B18" s="38"/>
      <c r="C18" s="221" t="s">
        <v>92</v>
      </c>
      <c r="D18" s="222">
        <f>DATA!$B$22</f>
      </c>
      <c r="E18" s="222" t="s">
        <v>2</v>
      </c>
      <c r="F18" s="630">
        <f>"Selaku "&amp;DATA!$B$23&amp;" "&amp;DATA!$B$24&amp;", dalam hal ini bertindak untuk dan atas nama "&amp;DATA!$B$24&amp;" yang berkedudukan di "&amp;DATA!$B$25</f>
      </c>
      <c r="G18" s="630"/>
      <c r="H18" s="630"/>
      <c r="I18" s="630"/>
      <c r="J18" s="630"/>
      <c r="K18" s="630"/>
      <c r="L18" s="630"/>
      <c r="M18" s="630"/>
      <c r="N18" s="630"/>
      <c r="O18" s="630"/>
      <c r="P18" s="630"/>
      <c r="Q18" s="630"/>
      <c r="R18" s="631"/>
      <c r="S18" s="37" t="s">
        <v>89</v>
      </c>
    </row>
    <row r="19" spans="1:19">
      <c r="A19" s="37"/>
      <c r="B19" s="38"/>
      <c r="C19" s="43"/>
      <c r="D19" s="60"/>
      <c r="E19" s="60"/>
      <c r="F19" s="44" t="s">
        <v>93</v>
      </c>
      <c r="G19" s="44"/>
      <c r="H19" s="44"/>
      <c r="I19" s="44"/>
      <c r="J19" s="43"/>
      <c r="M19" s="45"/>
      <c r="N19" s="45"/>
      <c r="O19" s="45"/>
      <c r="P19" s="45"/>
      <c r="Q19" s="45"/>
      <c r="R19" s="46"/>
      <c r="S19" s="37"/>
    </row>
    <row r="20" spans="1:19" ht="8.4" customHeight="1">
      <c r="A20" s="37"/>
      <c r="B20" s="38"/>
      <c r="C20" s="43"/>
      <c r="D20" s="60"/>
      <c r="E20" s="60"/>
      <c r="F20" s="60"/>
      <c r="G20" s="60"/>
      <c r="H20" s="60"/>
      <c r="I20" s="60"/>
      <c r="J20" s="43"/>
      <c r="K20" s="43"/>
      <c r="L20" s="45"/>
      <c r="M20" s="45"/>
      <c r="N20" s="45"/>
      <c r="O20" s="45"/>
      <c r="P20" s="45"/>
      <c r="Q20" s="45"/>
      <c r="R20" s="46"/>
      <c r="S20" s="37"/>
    </row>
    <row r="21" spans="1:19">
      <c r="A21" s="37"/>
      <c r="B21" s="38"/>
      <c r="C21" s="632">
        <f>"Menerangkan bahwa kedua belah pihak telah setuju dan sepakat melakukan pemeriksaan pekerjaan sesuai dengan lampiran SPKP Nomor "&amp;DATA!$B$4&amp;", dan menyetujui prestasi pekerjaan berdasakan :"</f>
      </c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3"/>
      <c r="S21" s="37"/>
    </row>
    <row r="22" spans="1:19" ht="17.25" customHeight="1">
      <c r="A22" s="37"/>
      <c r="B22" s="38"/>
      <c r="C22" s="632"/>
      <c r="D22" s="632"/>
      <c r="E22" s="632"/>
      <c r="F22" s="632"/>
      <c r="G22" s="63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3"/>
      <c r="S22" s="37"/>
    </row>
    <row r="23" spans="1:19">
      <c r="A23" s="37"/>
      <c r="B23" s="38"/>
      <c r="C23" s="204">
        <v>1</v>
      </c>
      <c r="D23" s="205" t="s">
        <v>53</v>
      </c>
      <c r="E23" s="205"/>
      <c r="F23" s="205"/>
      <c r="G23" s="205" t="s">
        <v>2</v>
      </c>
      <c r="H23" s="206">
        <f>DATA!$B$4</f>
      </c>
      <c r="I23" s="204"/>
      <c r="J23" s="204"/>
      <c r="K23" s="204"/>
      <c r="L23" s="207" t="s">
        <v>94</v>
      </c>
      <c r="M23" s="616">
        <f>TEXT(DATA!$B$5,"[$-21]dd mmmm yyyy")</f>
      </c>
      <c r="N23" s="616"/>
      <c r="R23" s="208"/>
      <c r="S23" s="37"/>
    </row>
    <row r="24" spans="1:19">
      <c r="A24" s="37"/>
      <c r="B24" s="38"/>
      <c r="C24" s="204">
        <v>2</v>
      </c>
      <c r="D24" s="205" t="s">
        <v>59</v>
      </c>
      <c r="E24" s="205"/>
      <c r="F24" s="205"/>
      <c r="G24" s="205" t="s">
        <v>2</v>
      </c>
      <c r="H24" s="207" t="s">
        <v>95</v>
      </c>
      <c r="I24" s="614">
        <f>#REF!</f>
      </c>
      <c r="J24" s="614"/>
      <c r="K24" s="615" t="s">
        <v>60</v>
      </c>
      <c r="L24" s="615"/>
      <c r="N24" s="209"/>
      <c r="O24" s="204"/>
      <c r="P24" s="204"/>
      <c r="Q24" s="204"/>
      <c r="R24" s="208"/>
      <c r="S24" s="37"/>
    </row>
    <row r="25" spans="1:19">
      <c r="A25" s="37"/>
      <c r="B25" s="38"/>
      <c r="C25" s="204">
        <v>3</v>
      </c>
      <c r="D25" s="205" t="s">
        <v>96</v>
      </c>
      <c r="E25" s="205"/>
      <c r="F25" s="205"/>
      <c r="G25" s="205" t="s">
        <v>2</v>
      </c>
      <c r="H25" s="616">
        <f>TEXT(DATA!$B$8,"[$-21]dd mmmm yyyy")</f>
      </c>
      <c r="I25" s="616"/>
      <c r="J25" s="210" t="s">
        <v>97</v>
      </c>
      <c r="K25" s="635">
        <f>TEXT(DATA!$B$9,"[$-21]dd mmmm yyyy")</f>
      </c>
      <c r="L25" s="635"/>
      <c r="M25" s="211"/>
      <c r="Q25" s="204"/>
      <c r="R25" s="208"/>
      <c r="S25" s="37"/>
    </row>
    <row r="26" spans="1:19">
      <c r="A26" s="37"/>
      <c r="B26" s="38"/>
      <c r="C26" s="205" t="s">
        <v>98</v>
      </c>
      <c r="D26" s="204"/>
      <c r="E26" s="204"/>
      <c r="F26" s="204"/>
      <c r="G26" s="204"/>
      <c r="H26" s="204"/>
      <c r="I26" s="205"/>
      <c r="J26" s="204"/>
      <c r="K26" s="204"/>
      <c r="L26" s="204"/>
      <c r="M26" s="204"/>
      <c r="N26" s="204"/>
      <c r="O26" s="204"/>
      <c r="P26" s="204"/>
      <c r="Q26" s="204"/>
      <c r="R26" s="208"/>
      <c r="S26" s="37"/>
    </row>
    <row r="27" spans="1:19" ht="5.25" customHeight="1">
      <c r="A27" s="37"/>
      <c r="B27" s="38"/>
      <c r="C27" s="212"/>
      <c r="D27" s="209"/>
      <c r="E27" s="209"/>
      <c r="F27" s="209"/>
      <c r="G27" s="209"/>
      <c r="H27" s="209"/>
      <c r="I27" s="209"/>
      <c r="J27" s="212"/>
      <c r="K27" s="212"/>
      <c r="L27" s="204"/>
      <c r="M27" s="212"/>
      <c r="N27" s="212"/>
      <c r="O27" s="212"/>
      <c r="P27" s="212"/>
      <c r="Q27" s="212"/>
      <c r="R27" s="208"/>
      <c r="S27" s="37"/>
    </row>
    <row r="28" spans="1:19">
      <c r="A28" s="37"/>
      <c r="B28" s="82"/>
      <c r="C28" s="65"/>
      <c r="D28" s="83"/>
      <c r="E28" s="83"/>
      <c r="F28" s="83"/>
      <c r="G28" s="83"/>
      <c r="H28" s="83"/>
      <c r="I28" s="83"/>
      <c r="J28" s="80" t="s">
        <v>99</v>
      </c>
      <c r="K28" s="80" t="s">
        <v>100</v>
      </c>
      <c r="L28" s="84"/>
      <c r="M28" s="84"/>
      <c r="N28" s="84"/>
      <c r="O28" s="84"/>
      <c r="P28" s="65"/>
      <c r="Q28" s="80" t="s">
        <v>36</v>
      </c>
      <c r="R28" s="47"/>
    </row>
    <row r="29" spans="1:19" ht="15" customHeight="1">
      <c r="A29" s="37"/>
      <c r="B29" s="85"/>
      <c r="C29" s="86"/>
      <c r="D29" s="79"/>
      <c r="E29" s="79"/>
      <c r="F29" s="79"/>
      <c r="G29" s="79"/>
      <c r="H29" s="79"/>
      <c r="I29" s="79"/>
      <c r="J29" s="81" t="s">
        <v>101</v>
      </c>
      <c r="K29" s="80" t="s">
        <v>102</v>
      </c>
      <c r="L29" s="637" t="s">
        <v>103</v>
      </c>
      <c r="M29" s="54" t="s">
        <v>102</v>
      </c>
      <c r="N29" s="80" t="s">
        <v>102</v>
      </c>
      <c r="O29" s="80" t="s">
        <v>104</v>
      </c>
      <c r="P29" s="87" t="s">
        <v>105</v>
      </c>
      <c r="Q29" s="81" t="s">
        <v>105</v>
      </c>
      <c r="R29" s="42"/>
    </row>
    <row r="30" spans="1:19" ht="15" customHeight="1">
      <c r="A30" s="37"/>
      <c r="B30" s="88" t="s">
        <v>106</v>
      </c>
      <c r="C30" s="81" t="s">
        <v>107</v>
      </c>
      <c r="D30" s="89"/>
      <c r="E30" s="89"/>
      <c r="F30" s="89"/>
      <c r="G30" s="89"/>
      <c r="H30" s="89"/>
      <c r="I30" s="89"/>
      <c r="J30" s="81" t="s">
        <v>108</v>
      </c>
      <c r="K30" s="81" t="s">
        <v>109</v>
      </c>
      <c r="L30" s="638"/>
      <c r="M30" s="55" t="s">
        <v>109</v>
      </c>
      <c r="N30" s="81" t="s">
        <v>110</v>
      </c>
      <c r="O30" s="81" t="s">
        <v>111</v>
      </c>
      <c r="P30" s="87" t="s">
        <v>112</v>
      </c>
      <c r="Q30" s="81" t="s">
        <v>110</v>
      </c>
      <c r="R30" s="42"/>
    </row>
    <row r="31" spans="1:19" ht="15.75" customHeight="1">
      <c r="A31" s="37"/>
      <c r="B31" s="85"/>
      <c r="C31" s="86"/>
      <c r="D31" s="79"/>
      <c r="E31" s="79"/>
      <c r="F31" s="79"/>
      <c r="G31" s="79"/>
      <c r="H31" s="79"/>
      <c r="I31" s="79"/>
      <c r="J31" s="81" t="s">
        <v>113</v>
      </c>
      <c r="K31" s="81" t="s">
        <v>114</v>
      </c>
      <c r="L31" s="639"/>
      <c r="M31" s="69" t="s">
        <v>115</v>
      </c>
      <c r="N31" s="81" t="s">
        <v>116</v>
      </c>
      <c r="O31" s="81" t="s">
        <v>117</v>
      </c>
      <c r="P31" s="86"/>
      <c r="Q31" s="81" t="s">
        <v>116</v>
      </c>
      <c r="R31" s="42"/>
    </row>
    <row r="32" spans="1:19">
      <c r="A32" s="37"/>
      <c r="B32" s="48" t="s">
        <v>118</v>
      </c>
      <c r="C32" s="49" t="s">
        <v>119</v>
      </c>
      <c r="D32" s="50"/>
      <c r="E32" s="50"/>
      <c r="F32" s="50"/>
      <c r="G32" s="50"/>
      <c r="H32" s="50"/>
      <c r="I32" s="50"/>
      <c r="J32" s="49">
        <v>3</v>
      </c>
      <c r="K32" s="49">
        <v>4</v>
      </c>
      <c r="L32" s="49">
        <v>5</v>
      </c>
      <c r="M32" s="49" t="s">
        <v>120</v>
      </c>
      <c r="N32" s="49">
        <v>7</v>
      </c>
      <c r="O32" s="49" t="s">
        <v>121</v>
      </c>
      <c r="P32" s="51">
        <v>9</v>
      </c>
      <c r="Q32" s="49" t="s">
        <v>122</v>
      </c>
      <c r="R32" s="52"/>
    </row>
    <row r="33" spans="1:18" ht="18" customHeight="1">
      <c r="A33" s="37"/>
      <c r="B33" s="175"/>
      <c r="C33" s="177"/>
      <c r="D33" s="176"/>
      <c r="E33" s="176"/>
      <c r="F33" s="176"/>
      <c r="G33" s="176"/>
      <c r="H33" s="176"/>
      <c r="I33" s="176"/>
      <c r="J33" s="78"/>
      <c r="K33" s="78"/>
      <c r="L33" s="78"/>
      <c r="M33" s="78"/>
      <c r="N33" s="78"/>
      <c r="O33" s="78"/>
      <c r="P33" s="78"/>
      <c r="Q33" s="608"/>
      <c r="R33" s="609"/>
    </row>
    <row r="34" spans="1:18" ht="31.2" customHeight="1">
      <c r="A34" s="37"/>
      <c r="B34" s="175"/>
      <c r="C34" s="649">
        <f>'rincian 2'!C11</f>
      </c>
      <c r="D34" s="650"/>
      <c r="E34" s="650"/>
      <c r="F34" s="650"/>
      <c r="G34" s="650"/>
      <c r="H34" s="650"/>
      <c r="I34" s="651"/>
      <c r="J34" s="91"/>
      <c r="K34" s="78"/>
      <c r="L34" s="78"/>
      <c r="M34" s="78"/>
      <c r="N34" s="78"/>
      <c r="O34" s="78"/>
      <c r="P34" s="78"/>
      <c r="Q34" s="608"/>
      <c r="R34" s="609"/>
    </row>
    <row r="35" spans="1:18" ht="18" customHeight="1">
      <c r="A35" s="37"/>
      <c r="B35" s="406">
        <f>#REF!</f>
      </c>
      <c r="C35" s="407"/>
      <c r="D35" s="408">
        <f>IF(#REF!&lt;&gt;"",#REF!,IF(#REF!&lt;&gt;"",#REF!,""))</f>
      </c>
      <c r="E35" s="408"/>
      <c r="F35" s="408"/>
      <c r="G35" s="408"/>
      <c r="H35" s="408"/>
      <c r="I35" s="408"/>
      <c r="J35" s="409"/>
      <c r="K35" s="409"/>
      <c r="L35" s="409"/>
      <c r="M35" s="409"/>
      <c r="N35" s="409"/>
      <c r="O35" s="409"/>
      <c r="P35" s="410"/>
      <c r="Q35" s="652"/>
      <c r="R35" s="609"/>
    </row>
    <row r="36" spans="1:18" ht="18" customHeight="1">
      <c r="A36" s="37"/>
      <c r="B36" s="404">
        <f>#REF!</f>
      </c>
      <c r="C36" s="233"/>
      <c r="D36" s="405">
        <f>IF(#REF!&lt;&gt;"",#REF!,IF(#REF!&lt;&gt;"",#REF!,""))</f>
      </c>
      <c r="E36" s="405"/>
      <c r="F36" s="405"/>
      <c r="G36" s="405"/>
      <c r="H36" s="405"/>
      <c r="I36" s="405"/>
      <c r="J36" s="252"/>
      <c r="K36" s="252"/>
      <c r="L36" s="252"/>
      <c r="M36" s="252"/>
      <c r="N36" s="252"/>
      <c r="O36" s="252"/>
      <c r="P36" s="78"/>
      <c r="Q36" s="624"/>
      <c r="R36" s="625"/>
    </row>
    <row r="37" spans="1:18" ht="21" customHeight="1">
      <c r="A37" s="37"/>
      <c r="B37" s="175">
        <f>#REF!</f>
      </c>
      <c r="C37" s="177"/>
      <c r="D37" s="653">
        <f>IF(#REF!&lt;&gt;"",#REF!,IF(#REF!&lt;&gt;"",#REF!,""))</f>
      </c>
      <c r="E37" s="653"/>
      <c r="F37" s="653"/>
      <c r="G37" s="653"/>
      <c r="H37" s="653"/>
      <c r="I37" s="654"/>
      <c r="J37" s="252">
        <f>#REF!</f>
      </c>
      <c r="K37" s="252">
        <f ca="1">'rincian 2'!S14</f>
      </c>
      <c r="L37" s="252">
        <f>'rincian 2'!U14</f>
      </c>
      <c r="M37" s="252">
        <f ca="1">K37+L37</f>
      </c>
      <c r="N37" s="252">
        <f>L37</f>
      </c>
      <c r="O37" s="252">
        <f ca="1">J37-M37</f>
      </c>
      <c r="P37" s="78">
        <f>#REF!</f>
      </c>
      <c r="Q37" s="608">
        <f>N37*P37</f>
      </c>
      <c r="R37" s="609"/>
    </row>
    <row r="38" spans="1:18" ht="36" customHeight="1">
      <c r="A38" s="37"/>
      <c r="B38" s="175">
        <f>#REF!</f>
      </c>
      <c r="C38" s="177"/>
      <c r="D38" s="653">
        <f>IF(#REF!&lt;&gt;"",#REF!,IF(#REF!&lt;&gt;"",#REF!,""))</f>
      </c>
      <c r="E38" s="653"/>
      <c r="F38" s="653"/>
      <c r="G38" s="653"/>
      <c r="H38" s="653"/>
      <c r="I38" s="654"/>
      <c r="J38" s="252">
        <f>#REF!</f>
      </c>
      <c r="K38" s="252">
        <f ca="1">'rincian 2'!S15</f>
      </c>
      <c r="L38" s="252">
        <f>'rincian 2'!U15</f>
      </c>
      <c r="M38" s="252">
        <f ca="1">K38+L38</f>
      </c>
      <c r="N38" s="252">
        <f>L38</f>
      </c>
      <c r="O38" s="252">
        <f ca="1">J38-M38</f>
      </c>
      <c r="P38" s="78">
        <f>#REF!</f>
      </c>
      <c r="Q38" s="608">
        <f>N38*P38</f>
      </c>
      <c r="R38" s="609"/>
    </row>
    <row r="39" spans="1:18" ht="36" customHeight="1">
      <c r="A39" s="37"/>
      <c r="B39" s="175">
        <f>#REF!</f>
      </c>
      <c r="C39" s="177"/>
      <c r="D39" s="653">
        <f>IF(#REF!&lt;&gt;"",#REF!,IF(#REF!&lt;&gt;"",#REF!,""))</f>
      </c>
      <c r="E39" s="653"/>
      <c r="F39" s="653"/>
      <c r="G39" s="653"/>
      <c r="H39" s="653"/>
      <c r="I39" s="654"/>
      <c r="J39" s="252">
        <f>#REF!</f>
      </c>
      <c r="K39" s="252">
        <f ca="1">'rincian 2'!S16</f>
      </c>
      <c r="L39" s="252">
        <f>'rincian 2'!U16</f>
      </c>
      <c r="M39" s="252">
        <f ca="1">K39+L39</f>
      </c>
      <c r="N39" s="252">
        <f>L39</f>
      </c>
      <c r="O39" s="252">
        <f ca="1">J39-M39</f>
      </c>
      <c r="P39" s="78">
        <f>#REF!</f>
      </c>
      <c r="Q39" s="608">
        <f>N39*P39</f>
      </c>
      <c r="R39" s="609"/>
    </row>
    <row r="40" spans="1:18" ht="36" customHeight="1">
      <c r="A40" s="37"/>
      <c r="B40" s="175">
        <f>#REF!</f>
      </c>
      <c r="C40" s="233"/>
      <c r="D40" s="653">
        <f>IF(#REF!&lt;&gt;"",#REF!,IF(#REF!&lt;&gt;"",#REF!,""))</f>
      </c>
      <c r="E40" s="653"/>
      <c r="F40" s="653"/>
      <c r="G40" s="653"/>
      <c r="H40" s="653"/>
      <c r="I40" s="654"/>
      <c r="J40" s="252">
        <f>#REF!</f>
      </c>
      <c r="K40" s="252">
        <f ca="1">'rincian 2'!S17</f>
      </c>
      <c r="L40" s="252">
        <f>'rincian 2'!U17</f>
      </c>
      <c r="M40" s="252">
        <f ca="1">K40+L40</f>
      </c>
      <c r="N40" s="252">
        <f>L40</f>
      </c>
      <c r="O40" s="252">
        <f ca="1">J40-M40</f>
      </c>
      <c r="P40" s="78">
        <f>#REF!</f>
      </c>
      <c r="Q40" s="608">
        <f>N40*P40</f>
      </c>
      <c r="R40" s="609"/>
    </row>
    <row r="41" spans="1:18" ht="18" customHeight="1">
      <c r="A41" s="37"/>
      <c r="B41" s="404">
        <f>#REF!</f>
      </c>
      <c r="C41" s="233"/>
      <c r="D41" s="405">
        <f>IF(#REF!&lt;&gt;"",#REF!,IF(#REF!&lt;&gt;"",#REF!,""))</f>
      </c>
      <c r="E41" s="405"/>
      <c r="F41" s="405"/>
      <c r="G41" s="405"/>
      <c r="H41" s="405"/>
      <c r="I41" s="405"/>
      <c r="J41" s="252"/>
      <c r="K41" s="252"/>
      <c r="L41" s="252"/>
      <c r="M41" s="252"/>
      <c r="N41" s="252"/>
      <c r="O41" s="252"/>
      <c r="P41" s="78"/>
      <c r="Q41" s="624"/>
      <c r="R41" s="625"/>
    </row>
    <row r="42" spans="1:18" ht="18" customHeight="1">
      <c r="A42" s="37"/>
      <c r="B42" s="175">
        <f>#REF!</f>
      </c>
      <c r="C42" s="233"/>
      <c r="D42" s="176">
        <f>IF(#REF!&lt;&gt;"",#REF!,IF(#REF!&lt;&gt;"",#REF!,""))</f>
      </c>
      <c r="E42" s="176"/>
      <c r="F42" s="176"/>
      <c r="G42" s="176"/>
      <c r="H42" s="176"/>
      <c r="I42" s="176"/>
      <c r="J42" s="252">
        <f>#REF!</f>
      </c>
      <c r="K42" s="252">
        <f ca="1">'rincian 2'!S19</f>
      </c>
      <c r="L42" s="252">
        <f>'rincian 2'!U19</f>
      </c>
      <c r="M42" s="252">
        <f t="shared" ref="M42:M47" ca="1" si="0">K42+L42</f>
      </c>
      <c r="N42" s="252">
        <f t="shared" ref="N42:N47" si="1">L42</f>
      </c>
      <c r="O42" s="252">
        <f t="shared" ref="O42:O47" ca="1" si="2">J42-M42</f>
      </c>
      <c r="P42" s="78">
        <f>#REF!</f>
      </c>
      <c r="Q42" s="608">
        <f t="shared" ref="Q42:Q47" si="3">N42*P42</f>
      </c>
      <c r="R42" s="609"/>
    </row>
    <row r="43" spans="1:18" ht="18" customHeight="1">
      <c r="A43" s="37"/>
      <c r="B43" s="175">
        <f>#REF!</f>
      </c>
      <c r="C43" s="233"/>
      <c r="D43" s="176">
        <f>IF(#REF!&lt;&gt;"",#REF!,IF(#REF!&lt;&gt;"",#REF!,""))</f>
      </c>
      <c r="E43" s="176"/>
      <c r="F43" s="176"/>
      <c r="G43" s="176"/>
      <c r="H43" s="176"/>
      <c r="I43" s="176"/>
      <c r="J43" s="252">
        <f>#REF!</f>
      </c>
      <c r="K43" s="252">
        <f ca="1">'rincian 2'!S20</f>
      </c>
      <c r="L43" s="252">
        <f>'rincian 2'!U20</f>
      </c>
      <c r="M43" s="252">
        <f t="shared" ca="1" si="0"/>
      </c>
      <c r="N43" s="252">
        <f t="shared" si="1"/>
      </c>
      <c r="O43" s="252">
        <f t="shared" ca="1" si="2"/>
      </c>
      <c r="P43" s="78">
        <f>#REF!</f>
      </c>
      <c r="Q43" s="608">
        <f t="shared" si="3"/>
      </c>
      <c r="R43" s="609"/>
    </row>
    <row r="44" spans="1:18" ht="18" customHeight="1">
      <c r="A44" s="37"/>
      <c r="B44" s="175">
        <f>#REF!</f>
      </c>
      <c r="C44" s="233"/>
      <c r="D44" s="176">
        <f>IF(#REF!&lt;&gt;"",#REF!,IF(#REF!&lt;&gt;"",#REF!,""))</f>
      </c>
      <c r="E44" s="176"/>
      <c r="F44" s="176"/>
      <c r="G44" s="176"/>
      <c r="H44" s="176"/>
      <c r="I44" s="176"/>
      <c r="J44" s="252">
        <f>#REF!</f>
      </c>
      <c r="K44" s="252">
        <f ca="1">'rincian 2'!S21</f>
      </c>
      <c r="L44" s="252">
        <f>'rincian 2'!U21</f>
      </c>
      <c r="M44" s="252">
        <f t="shared" ca="1" si="0"/>
      </c>
      <c r="N44" s="252">
        <f t="shared" si="1"/>
      </c>
      <c r="O44" s="252">
        <f t="shared" ca="1" si="2"/>
      </c>
      <c r="P44" s="78">
        <f>#REF!</f>
      </c>
      <c r="Q44" s="608">
        <f t="shared" si="3"/>
      </c>
      <c r="R44" s="609"/>
    </row>
    <row r="45" spans="1:18" ht="18" customHeight="1">
      <c r="A45" s="37"/>
      <c r="B45" s="175">
        <f>#REF!</f>
      </c>
      <c r="C45" s="233"/>
      <c r="D45" s="176">
        <f>IF(#REF!&lt;&gt;"",#REF!,IF(#REF!&lt;&gt;"",#REF!,""))</f>
      </c>
      <c r="E45" s="176"/>
      <c r="F45" s="176"/>
      <c r="G45" s="176"/>
      <c r="H45" s="176"/>
      <c r="I45" s="176"/>
      <c r="J45" s="252">
        <f>#REF!</f>
      </c>
      <c r="K45" s="252">
        <f ca="1">'rincian 2'!S22</f>
      </c>
      <c r="L45" s="252">
        <f>'rincian 2'!U22</f>
      </c>
      <c r="M45" s="252">
        <f t="shared" ca="1" si="0"/>
      </c>
      <c r="N45" s="252">
        <f t="shared" si="1"/>
      </c>
      <c r="O45" s="252">
        <f t="shared" ca="1" si="2"/>
      </c>
      <c r="P45" s="78">
        <f>#REF!</f>
      </c>
      <c r="Q45" s="608">
        <f t="shared" si="3"/>
      </c>
      <c r="R45" s="609"/>
    </row>
    <row r="46" spans="1:18" ht="18" customHeight="1">
      <c r="A46" s="37"/>
      <c r="B46" s="175">
        <f>#REF!</f>
      </c>
      <c r="C46" s="233"/>
      <c r="D46" s="176">
        <f>IF(#REF!&lt;&gt;"",#REF!,IF(#REF!&lt;&gt;"",#REF!,""))</f>
      </c>
      <c r="E46" s="176"/>
      <c r="F46" s="176"/>
      <c r="G46" s="176"/>
      <c r="H46" s="176"/>
      <c r="I46" s="176"/>
      <c r="J46" s="252">
        <f>#REF!</f>
      </c>
      <c r="K46" s="252">
        <f ca="1">'rincian 2'!S23</f>
      </c>
      <c r="L46" s="252">
        <f>'rincian 2'!U23</f>
      </c>
      <c r="M46" s="252">
        <f t="shared" ca="1" si="0"/>
      </c>
      <c r="N46" s="252">
        <f t="shared" si="1"/>
      </c>
      <c r="O46" s="252">
        <f t="shared" ca="1" si="2"/>
      </c>
      <c r="P46" s="78">
        <f>#REF!</f>
      </c>
      <c r="Q46" s="608">
        <f t="shared" si="3"/>
      </c>
      <c r="R46" s="609"/>
    </row>
    <row r="47" spans="1:18" ht="18" customHeight="1">
      <c r="A47" s="37"/>
      <c r="B47" s="404">
        <f>#REF!</f>
      </c>
      <c r="C47" s="233"/>
      <c r="D47" s="405">
        <f>IF(#REF!&lt;&gt;"",#REF!,IF(#REF!&lt;&gt;"",#REF!,""))</f>
      </c>
      <c r="E47" s="405"/>
      <c r="F47" s="405"/>
      <c r="G47" s="405"/>
      <c r="H47" s="405"/>
      <c r="I47" s="405"/>
      <c r="J47" s="252">
        <f>#REF!</f>
      </c>
      <c r="K47" s="252">
        <f ca="1">'rincian 2'!S24</f>
      </c>
      <c r="L47" s="252">
        <f>'rincian 2'!U24</f>
      </c>
      <c r="M47" s="252">
        <f t="shared" ca="1" si="0"/>
      </c>
      <c r="N47" s="252">
        <f t="shared" si="1"/>
      </c>
      <c r="O47" s="252">
        <f t="shared" ca="1" si="2"/>
      </c>
      <c r="P47" s="78">
        <f>#REF!</f>
      </c>
      <c r="Q47" s="608">
        <f t="shared" si="3"/>
      </c>
      <c r="R47" s="609"/>
    </row>
    <row r="48" spans="1:18" ht="18" customHeight="1">
      <c r="A48" s="37"/>
      <c r="B48" s="404">
        <f>#REF!</f>
      </c>
      <c r="C48" s="233"/>
      <c r="D48" s="405">
        <f>IF(#REF!&lt;&gt;"",#REF!,IF(#REF!&lt;&gt;"",#REF!,""))</f>
      </c>
      <c r="E48" s="405"/>
      <c r="F48" s="405"/>
      <c r="G48" s="405"/>
      <c r="H48" s="405"/>
      <c r="I48" s="405"/>
      <c r="J48" s="252"/>
      <c r="K48" s="252"/>
      <c r="L48" s="252"/>
      <c r="M48" s="252"/>
      <c r="N48" s="252"/>
      <c r="O48" s="252"/>
      <c r="P48" s="78"/>
      <c r="Q48" s="624"/>
      <c r="R48" s="625"/>
    </row>
    <row r="49" spans="1:18" ht="18" customHeight="1">
      <c r="A49" s="37"/>
      <c r="B49" s="175">
        <f>#REF!</f>
      </c>
      <c r="C49" s="233"/>
      <c r="D49" s="176">
        <f>IF(#REF!&lt;&gt;"",#REF!,IF(#REF!&lt;&gt;"",#REF!,""))</f>
      </c>
      <c r="E49" s="176"/>
      <c r="F49" s="176"/>
      <c r="G49" s="176"/>
      <c r="H49" s="176"/>
      <c r="I49" s="176"/>
      <c r="J49" s="252">
        <f>#REF!</f>
      </c>
      <c r="K49" s="252">
        <f ca="1">'rincian 2'!S26</f>
      </c>
      <c r="L49" s="252">
        <f>'rincian 2'!U26</f>
      </c>
      <c r="M49" s="252">
        <f ca="1">K49+L49</f>
      </c>
      <c r="N49" s="252">
        <f>L49</f>
      </c>
      <c r="O49" s="252">
        <f ca="1">J49-M49</f>
      </c>
      <c r="P49" s="78">
        <f>#REF!</f>
      </c>
      <c r="Q49" s="608">
        <f>N49*P49</f>
      </c>
      <c r="R49" s="609"/>
    </row>
    <row r="50" spans="1:18" ht="18" customHeight="1">
      <c r="A50" s="37"/>
      <c r="B50" s="175">
        <f>#REF!</f>
      </c>
      <c r="C50" s="233"/>
      <c r="D50" s="176">
        <f>IF(#REF!&lt;&gt;"",#REF!,IF(#REF!&lt;&gt;"",#REF!,""))</f>
      </c>
      <c r="E50" s="176"/>
      <c r="F50" s="176"/>
      <c r="G50" s="176"/>
      <c r="H50" s="176"/>
      <c r="I50" s="176"/>
      <c r="J50" s="252">
        <f>#REF!</f>
      </c>
      <c r="K50" s="252">
        <f ca="1">'rincian 2'!S27</f>
      </c>
      <c r="L50" s="252">
        <f>'rincian 2'!U27</f>
      </c>
      <c r="M50" s="252">
        <f ca="1">K50+L50</f>
      </c>
      <c r="N50" s="252">
        <f>L50</f>
      </c>
      <c r="O50" s="252">
        <f ca="1">J50-M50</f>
      </c>
      <c r="P50" s="78">
        <f>#REF!</f>
      </c>
      <c r="Q50" s="608">
        <f>N50*P50</f>
      </c>
      <c r="R50" s="609"/>
    </row>
    <row r="51" spans="1:18" ht="18" customHeight="1">
      <c r="A51" s="37"/>
      <c r="B51" s="175">
        <f>#REF!</f>
      </c>
      <c r="C51" s="233"/>
      <c r="D51" s="176">
        <f>IF(#REF!&lt;&gt;"",#REF!,IF(#REF!&lt;&gt;"",#REF!,""))</f>
      </c>
      <c r="E51" s="176"/>
      <c r="F51" s="176"/>
      <c r="G51" s="176"/>
      <c r="H51" s="176"/>
      <c r="I51" s="176"/>
      <c r="J51" s="252">
        <f>#REF!</f>
      </c>
      <c r="K51" s="252">
        <f ca="1">'rincian 2'!S28</f>
      </c>
      <c r="L51" s="252">
        <f>'rincian 2'!U28</f>
      </c>
      <c r="M51" s="252">
        <f ca="1">K51+L51</f>
      </c>
      <c r="N51" s="252">
        <f>L51</f>
      </c>
      <c r="O51" s="252">
        <f ca="1">J51-M51</f>
      </c>
      <c r="P51" s="78">
        <f>#REF!</f>
      </c>
      <c r="Q51" s="608">
        <f>N51*P51</f>
      </c>
      <c r="R51" s="609"/>
    </row>
    <row r="52" spans="1:18" ht="18" customHeight="1">
      <c r="A52" s="37"/>
      <c r="B52" s="175">
        <f>#REF!</f>
      </c>
      <c r="C52" s="233"/>
      <c r="D52" s="176">
        <f>IF(#REF!&lt;&gt;"",#REF!,IF(#REF!&lt;&gt;"",#REF!,""))</f>
      </c>
      <c r="E52" s="176"/>
      <c r="F52" s="176"/>
      <c r="G52" s="176"/>
      <c r="H52" s="176"/>
      <c r="I52" s="176"/>
      <c r="J52" s="252">
        <f>#REF!</f>
      </c>
      <c r="K52" s="252">
        <f ca="1">'rincian 2'!S29</f>
      </c>
      <c r="L52" s="252">
        <f>'rincian 2'!U29</f>
      </c>
      <c r="M52" s="252">
        <f ca="1">K52+L52</f>
      </c>
      <c r="N52" s="252">
        <f>L52</f>
      </c>
      <c r="O52" s="252">
        <f ca="1">J52-M52</f>
      </c>
      <c r="P52" s="78">
        <f>#REF!</f>
      </c>
      <c r="Q52" s="608">
        <f>N52*P52</f>
      </c>
      <c r="R52" s="609"/>
    </row>
    <row r="53" spans="1:18" ht="18" customHeight="1">
      <c r="A53" s="37"/>
      <c r="B53" s="404">
        <f>#REF!</f>
      </c>
      <c r="C53" s="233"/>
      <c r="D53" s="405">
        <f>IF(#REF!&lt;&gt;"",#REF!,IF(#REF!&lt;&gt;"",#REF!,""))</f>
      </c>
      <c r="E53" s="405"/>
      <c r="F53" s="405"/>
      <c r="G53" s="405"/>
      <c r="H53" s="405"/>
      <c r="I53" s="405"/>
      <c r="J53" s="252"/>
      <c r="K53" s="252"/>
      <c r="L53" s="252"/>
      <c r="M53" s="252"/>
      <c r="N53" s="252"/>
      <c r="O53" s="252"/>
      <c r="P53" s="78"/>
      <c r="Q53" s="624"/>
      <c r="R53" s="625"/>
    </row>
    <row r="54" spans="1:18" ht="18" customHeight="1">
      <c r="A54" s="37"/>
      <c r="B54" s="175">
        <f>#REF!</f>
      </c>
      <c r="C54" s="233"/>
      <c r="D54" s="176">
        <f>IF(#REF!&lt;&gt;"",#REF!,IF(#REF!&lt;&gt;"",#REF!,""))</f>
      </c>
      <c r="E54" s="176"/>
      <c r="F54" s="176"/>
      <c r="G54" s="176"/>
      <c r="H54" s="176"/>
      <c r="I54" s="176"/>
      <c r="J54" s="252">
        <f>#REF!</f>
      </c>
      <c r="K54" s="252">
        <f ca="1">'rincian 2'!S31</f>
      </c>
      <c r="L54" s="252">
        <f>'rincian 2'!U31</f>
      </c>
      <c r="M54" s="252">
        <f ca="1">K54+L54</f>
      </c>
      <c r="N54" s="252">
        <f>L54</f>
      </c>
      <c r="O54" s="252">
        <f ca="1">J54-M54</f>
      </c>
      <c r="P54" s="78">
        <f>#REF!</f>
      </c>
      <c r="Q54" s="608">
        <f>N54*P54</f>
      </c>
      <c r="R54" s="609"/>
    </row>
    <row r="55" spans="1:18" ht="18" customHeight="1">
      <c r="A55" s="37"/>
      <c r="B55" s="175">
        <f>#REF!</f>
      </c>
      <c r="C55" s="233"/>
      <c r="D55" s="176">
        <f>IF(#REF!&lt;&gt;"",#REF!,IF(#REF!&lt;&gt;"",#REF!,""))</f>
      </c>
      <c r="E55" s="176"/>
      <c r="F55" s="176"/>
      <c r="G55" s="176"/>
      <c r="H55" s="176"/>
      <c r="I55" s="176"/>
      <c r="J55" s="252">
        <f>#REF!</f>
      </c>
      <c r="K55" s="252">
        <f ca="1">'rincian 2'!S32</f>
      </c>
      <c r="L55" s="252">
        <f>'rincian 2'!U32</f>
      </c>
      <c r="M55" s="252">
        <f ca="1">K55+L55</f>
      </c>
      <c r="N55" s="252">
        <f>L55</f>
      </c>
      <c r="O55" s="252">
        <f ca="1">J55-M55</f>
      </c>
      <c r="P55" s="78">
        <f>#REF!</f>
      </c>
      <c r="Q55" s="608">
        <f>N55*P55</f>
      </c>
      <c r="R55" s="609"/>
    </row>
    <row r="56" spans="1:18" ht="18" customHeight="1">
      <c r="A56" s="37"/>
      <c r="B56" s="175">
        <f>#REF!</f>
      </c>
      <c r="C56" s="233"/>
      <c r="D56" s="176">
        <f>IF(#REF!&lt;&gt;"",#REF!,IF(#REF!&lt;&gt;"",#REF!,""))</f>
      </c>
      <c r="E56" s="176"/>
      <c r="F56" s="176"/>
      <c r="G56" s="176"/>
      <c r="H56" s="176"/>
      <c r="I56" s="176"/>
      <c r="J56" s="252">
        <f>#REF!</f>
      </c>
      <c r="K56" s="252">
        <f ca="1">'rincian 2'!S33</f>
      </c>
      <c r="L56" s="252">
        <f>'rincian 2'!U33</f>
      </c>
      <c r="M56" s="252">
        <f ca="1">K56+L56</f>
      </c>
      <c r="N56" s="252">
        <f>L56</f>
      </c>
      <c r="O56" s="252">
        <f ca="1">J56-M56</f>
      </c>
      <c r="P56" s="78">
        <f>#REF!</f>
      </c>
      <c r="Q56" s="608">
        <f>N56*P56</f>
      </c>
      <c r="R56" s="609"/>
    </row>
    <row r="57" spans="1:18" ht="18" customHeight="1">
      <c r="A57" s="37"/>
      <c r="B57" s="175">
        <f>#REF!</f>
      </c>
      <c r="C57" s="233"/>
      <c r="D57" s="176">
        <f>IF(#REF!&lt;&gt;"",#REF!,IF(#REF!&lt;&gt;"",#REF!,""))</f>
      </c>
      <c r="E57" s="176"/>
      <c r="F57" s="176"/>
      <c r="G57" s="176"/>
      <c r="H57" s="176"/>
      <c r="I57" s="176"/>
      <c r="J57" s="252">
        <f>#REF!</f>
      </c>
      <c r="K57" s="252">
        <f ca="1">'rincian 2'!S34</f>
      </c>
      <c r="L57" s="252">
        <f>'rincian 2'!U34</f>
      </c>
      <c r="M57" s="252">
        <f ca="1">K57+L57</f>
      </c>
      <c r="N57" s="252">
        <f>L57</f>
      </c>
      <c r="O57" s="252">
        <f ca="1">J57-M57</f>
      </c>
      <c r="P57" s="78">
        <f>#REF!</f>
      </c>
      <c r="Q57" s="608">
        <f>N57*P57</f>
      </c>
      <c r="R57" s="609"/>
    </row>
    <row r="58" spans="1:18" ht="18" customHeight="1">
      <c r="A58" s="37"/>
      <c r="B58" s="175">
        <f>#REF!</f>
      </c>
      <c r="C58" s="233"/>
      <c r="D58" s="176">
        <f>IF(#REF!&lt;&gt;"",#REF!,IF(#REF!&lt;&gt;"",#REF!,""))</f>
      </c>
      <c r="E58" s="176"/>
      <c r="F58" s="176"/>
      <c r="G58" s="176"/>
      <c r="H58" s="176"/>
      <c r="I58" s="176"/>
      <c r="J58" s="252">
        <f>#REF!</f>
      </c>
      <c r="K58" s="252">
        <f ca="1">'rincian 2'!S35</f>
      </c>
      <c r="L58" s="252">
        <f>'rincian 2'!U35</f>
      </c>
      <c r="M58" s="252">
        <f ca="1">K58+L58</f>
      </c>
      <c r="N58" s="252">
        <f>L58</f>
      </c>
      <c r="O58" s="252">
        <f ca="1">J58-M58</f>
      </c>
      <c r="P58" s="78">
        <f>#REF!</f>
      </c>
      <c r="Q58" s="608">
        <f>N58*P58</f>
      </c>
      <c r="R58" s="609"/>
    </row>
    <row r="59" spans="1:18" ht="18" customHeight="1">
      <c r="A59" s="37"/>
      <c r="B59" s="175">
        <f>#REF!</f>
      </c>
      <c r="C59" s="233"/>
      <c r="D59" s="176">
        <f>IF(#REF!&lt;&gt;"",#REF!,IF(#REF!&lt;&gt;"",#REF!,""))</f>
      </c>
      <c r="E59" s="176"/>
      <c r="F59" s="176"/>
      <c r="G59" s="176"/>
      <c r="H59" s="176"/>
      <c r="I59" s="176"/>
      <c r="J59" s="252"/>
      <c r="K59" s="252"/>
      <c r="L59" s="252"/>
      <c r="M59" s="252"/>
      <c r="N59" s="252"/>
      <c r="O59" s="252"/>
      <c r="P59" s="78"/>
      <c r="Q59" s="624"/>
      <c r="R59" s="625"/>
    </row>
    <row r="60" spans="1:18" ht="18" customHeight="1">
      <c r="A60" s="37"/>
      <c r="B60" s="175">
        <f>#REF!</f>
      </c>
      <c r="C60" s="233"/>
      <c r="D60" s="176">
        <f>IF(#REF!&lt;&gt;"",#REF!,IF(#REF!&lt;&gt;"",#REF!,""))</f>
      </c>
      <c r="E60" s="176"/>
      <c r="F60" s="176"/>
      <c r="G60" s="176"/>
      <c r="H60" s="176"/>
      <c r="I60" s="176"/>
      <c r="J60" s="252">
        <f>#REF!</f>
      </c>
      <c r="K60" s="252">
        <f ca="1">'rincian 2'!S37</f>
      </c>
      <c r="L60" s="252">
        <f>'rincian 2'!U37</f>
      </c>
      <c r="M60" s="252">
        <f t="shared" ref="M60:M76" ca="1" si="4">K60+L60</f>
      </c>
      <c r="N60" s="252">
        <f t="shared" ref="N60:N76" si="5">L60</f>
      </c>
      <c r="O60" s="252">
        <f t="shared" ref="O60:O76" ca="1" si="6">J60-M60</f>
      </c>
      <c r="P60" s="78">
        <f>#REF!</f>
      </c>
      <c r="Q60" s="608">
        <f t="shared" ref="Q60:Q76" si="7">N60*P60</f>
      </c>
      <c r="R60" s="609"/>
    </row>
    <row r="61" spans="1:18" ht="18" customHeight="1">
      <c r="A61" s="37"/>
      <c r="B61" s="175">
        <f>#REF!</f>
      </c>
      <c r="C61" s="233"/>
      <c r="D61" s="176">
        <f>IF(#REF!&lt;&gt;"",#REF!,IF(#REF!&lt;&gt;"",#REF!,""))</f>
      </c>
      <c r="E61" s="176"/>
      <c r="F61" s="176"/>
      <c r="G61" s="176"/>
      <c r="H61" s="176"/>
      <c r="I61" s="176"/>
      <c r="J61" s="252">
        <f>#REF!</f>
      </c>
      <c r="K61" s="252">
        <f ca="1">'rincian 2'!S38</f>
      </c>
      <c r="L61" s="252">
        <f>'rincian 2'!U38</f>
      </c>
      <c r="M61" s="252">
        <f t="shared" ca="1" si="4"/>
      </c>
      <c r="N61" s="252">
        <f t="shared" si="5"/>
      </c>
      <c r="O61" s="252">
        <f t="shared" ca="1" si="6"/>
      </c>
      <c r="P61" s="78">
        <f>#REF!</f>
      </c>
      <c r="Q61" s="608">
        <f t="shared" si="7"/>
      </c>
      <c r="R61" s="609"/>
    </row>
    <row r="62" spans="1:18" ht="18" customHeight="1">
      <c r="A62" s="37"/>
      <c r="B62" s="175">
        <f>#REF!</f>
      </c>
      <c r="C62" s="233"/>
      <c r="D62" s="176">
        <f>IF(#REF!&lt;&gt;"",#REF!,IF(#REF!&lt;&gt;"",#REF!,""))</f>
      </c>
      <c r="E62" s="176"/>
      <c r="F62" s="176"/>
      <c r="G62" s="176"/>
      <c r="H62" s="176"/>
      <c r="I62" s="176"/>
      <c r="J62" s="252">
        <f>#REF!</f>
      </c>
      <c r="K62" s="252">
        <f ca="1">'rincian 2'!S39</f>
      </c>
      <c r="L62" s="252">
        <f>'rincian 2'!U39</f>
      </c>
      <c r="M62" s="252">
        <f t="shared" ca="1" si="4"/>
      </c>
      <c r="N62" s="252">
        <f t="shared" si="5"/>
      </c>
      <c r="O62" s="252">
        <f t="shared" ca="1" si="6"/>
      </c>
      <c r="P62" s="78">
        <f>#REF!</f>
      </c>
      <c r="Q62" s="608">
        <f t="shared" si="7"/>
      </c>
      <c r="R62" s="609"/>
    </row>
    <row r="63" spans="1:18" ht="36" customHeight="1">
      <c r="A63" s="37"/>
      <c r="B63" s="175">
        <f>#REF!</f>
      </c>
      <c r="C63" s="233"/>
      <c r="D63" s="653">
        <f>IF(#REF!&lt;&gt;"",#REF!,IF(#REF!&lt;&gt;"",#REF!,""))</f>
      </c>
      <c r="E63" s="653"/>
      <c r="F63" s="653"/>
      <c r="G63" s="653"/>
      <c r="H63" s="653"/>
      <c r="I63" s="654"/>
      <c r="J63" s="252">
        <f>#REF!</f>
      </c>
      <c r="K63" s="252">
        <f ca="1">'rincian 2'!S40</f>
      </c>
      <c r="L63" s="252">
        <f>'rincian 2'!U40</f>
      </c>
      <c r="M63" s="252">
        <f t="shared" ca="1" si="4"/>
      </c>
      <c r="N63" s="252">
        <f t="shared" si="5"/>
      </c>
      <c r="O63" s="252">
        <f t="shared" ca="1" si="6"/>
      </c>
      <c r="P63" s="78">
        <f>#REF!</f>
      </c>
      <c r="Q63" s="608">
        <f t="shared" si="7"/>
      </c>
      <c r="R63" s="609"/>
    </row>
    <row r="64" spans="1:18" ht="18" customHeight="1">
      <c r="A64" s="37"/>
      <c r="B64" s="175">
        <f>#REF!</f>
      </c>
      <c r="C64" s="233"/>
      <c r="D64" s="176">
        <f>IF(#REF!&lt;&gt;"",#REF!,IF(#REF!&lt;&gt;"",#REF!,""))</f>
      </c>
      <c r="E64" s="176"/>
      <c r="F64" s="176"/>
      <c r="G64" s="176"/>
      <c r="H64" s="176"/>
      <c r="I64" s="176"/>
      <c r="J64" s="252">
        <f>#REF!</f>
      </c>
      <c r="K64" s="252">
        <f ca="1">'rincian 2'!S41</f>
      </c>
      <c r="L64" s="252">
        <f>'rincian 2'!U41</f>
      </c>
      <c r="M64" s="252">
        <f t="shared" ca="1" si="4"/>
      </c>
      <c r="N64" s="252">
        <f t="shared" si="5"/>
      </c>
      <c r="O64" s="252">
        <f t="shared" ca="1" si="6"/>
      </c>
      <c r="P64" s="78">
        <f>#REF!</f>
      </c>
      <c r="Q64" s="608">
        <f t="shared" si="7"/>
      </c>
      <c r="R64" s="609"/>
    </row>
    <row r="65" spans="1:18" ht="18" customHeight="1">
      <c r="A65" s="37"/>
      <c r="B65" s="175">
        <f>#REF!</f>
      </c>
      <c r="C65" s="233"/>
      <c r="D65" s="176">
        <f>IF(#REF!&lt;&gt;"",#REF!,IF(#REF!&lt;&gt;"",#REF!,""))</f>
      </c>
      <c r="E65" s="176"/>
      <c r="F65" s="176"/>
      <c r="G65" s="176"/>
      <c r="H65" s="176"/>
      <c r="I65" s="176"/>
      <c r="J65" s="252">
        <f>#REF!</f>
      </c>
      <c r="K65" s="252">
        <f ca="1">'rincian 2'!S42</f>
      </c>
      <c r="L65" s="252">
        <f>'rincian 2'!U42</f>
      </c>
      <c r="M65" s="252">
        <f t="shared" ca="1" si="4"/>
      </c>
      <c r="N65" s="252">
        <f t="shared" si="5"/>
      </c>
      <c r="O65" s="252">
        <f t="shared" ca="1" si="6"/>
      </c>
      <c r="P65" s="78">
        <f>#REF!</f>
      </c>
      <c r="Q65" s="608">
        <f t="shared" si="7"/>
      </c>
      <c r="R65" s="609"/>
    </row>
    <row r="66" spans="1:18" ht="18" customHeight="1">
      <c r="A66" s="37"/>
      <c r="B66" s="175">
        <f>#REF!</f>
      </c>
      <c r="C66" s="233"/>
      <c r="D66" s="176">
        <f>IF(#REF!&lt;&gt;"",#REF!,IF(#REF!&lt;&gt;"",#REF!,""))</f>
      </c>
      <c r="E66" s="176"/>
      <c r="F66" s="176"/>
      <c r="G66" s="176"/>
      <c r="H66" s="176"/>
      <c r="I66" s="176"/>
      <c r="J66" s="252">
        <f>#REF!</f>
      </c>
      <c r="K66" s="252">
        <f ca="1">'rincian 2'!S43</f>
      </c>
      <c r="L66" s="252">
        <f>'rincian 2'!U43</f>
      </c>
      <c r="M66" s="252">
        <f t="shared" ca="1" si="4"/>
      </c>
      <c r="N66" s="252">
        <f t="shared" si="5"/>
      </c>
      <c r="O66" s="252">
        <f t="shared" ca="1" si="6"/>
      </c>
      <c r="P66" s="78">
        <f>#REF!</f>
      </c>
      <c r="Q66" s="608">
        <f t="shared" si="7"/>
      </c>
      <c r="R66" s="609"/>
    </row>
    <row r="67" spans="1:18" ht="18" customHeight="1">
      <c r="A67" s="37"/>
      <c r="B67" s="175">
        <f>#REF!</f>
      </c>
      <c r="C67" s="233"/>
      <c r="D67" s="176">
        <f>IF(#REF!&lt;&gt;"",#REF!,IF(#REF!&lt;&gt;"",#REF!,""))</f>
      </c>
      <c r="E67" s="176"/>
      <c r="F67" s="176"/>
      <c r="G67" s="176"/>
      <c r="H67" s="176"/>
      <c r="I67" s="176"/>
      <c r="J67" s="252">
        <f>#REF!</f>
      </c>
      <c r="K67" s="252">
        <f ca="1">'rincian 2'!S44</f>
      </c>
      <c r="L67" s="252">
        <f>'rincian 2'!U44</f>
      </c>
      <c r="M67" s="252">
        <f t="shared" ca="1" si="4"/>
      </c>
      <c r="N67" s="252">
        <f t="shared" si="5"/>
      </c>
      <c r="O67" s="252">
        <f t="shared" ca="1" si="6"/>
      </c>
      <c r="P67" s="78">
        <f>#REF!</f>
      </c>
      <c r="Q67" s="608">
        <f t="shared" si="7"/>
      </c>
      <c r="R67" s="609"/>
    </row>
    <row r="68" spans="1:18" ht="18" customHeight="1">
      <c r="A68" s="37"/>
      <c r="B68" s="175">
        <f>#REF!</f>
      </c>
      <c r="C68" s="233"/>
      <c r="D68" s="176">
        <f>IF(#REF!&lt;&gt;"",#REF!,IF(#REF!&lt;&gt;"",#REF!,""))</f>
      </c>
      <c r="E68" s="176"/>
      <c r="F68" s="176"/>
      <c r="G68" s="176"/>
      <c r="H68" s="176"/>
      <c r="I68" s="176"/>
      <c r="J68" s="252">
        <f>#REF!</f>
      </c>
      <c r="K68" s="252">
        <f ca="1">'rincian 2'!S45</f>
      </c>
      <c r="L68" s="252">
        <f>'rincian 2'!U45</f>
      </c>
      <c r="M68" s="252">
        <f t="shared" ca="1" si="4"/>
      </c>
      <c r="N68" s="252">
        <f t="shared" si="5"/>
      </c>
      <c r="O68" s="252">
        <f t="shared" ca="1" si="6"/>
      </c>
      <c r="P68" s="78">
        <f>#REF!</f>
      </c>
      <c r="Q68" s="608">
        <f t="shared" si="7"/>
      </c>
      <c r="R68" s="609"/>
    </row>
    <row r="69" spans="1:18" ht="18" customHeight="1">
      <c r="A69" s="37"/>
      <c r="B69" s="175">
        <f>#REF!</f>
      </c>
      <c r="C69" s="233"/>
      <c r="D69" s="176">
        <f>IF(#REF!&lt;&gt;"",#REF!,IF(#REF!&lt;&gt;"",#REF!,""))</f>
      </c>
      <c r="E69" s="176"/>
      <c r="F69" s="176"/>
      <c r="G69" s="176"/>
      <c r="H69" s="176"/>
      <c r="I69" s="176"/>
      <c r="J69" s="252">
        <f>#REF!</f>
      </c>
      <c r="K69" s="252">
        <f ca="1">'rincian 2'!S46</f>
      </c>
      <c r="L69" s="252">
        <f>'rincian 2'!U46</f>
      </c>
      <c r="M69" s="252">
        <f t="shared" ca="1" si="4"/>
      </c>
      <c r="N69" s="252">
        <f t="shared" si="5"/>
      </c>
      <c r="O69" s="252">
        <f t="shared" ca="1" si="6"/>
      </c>
      <c r="P69" s="78">
        <f>#REF!</f>
      </c>
      <c r="Q69" s="608">
        <f t="shared" si="7"/>
      </c>
      <c r="R69" s="609"/>
    </row>
    <row r="70" spans="1:18" ht="18" customHeight="1">
      <c r="A70" s="37"/>
      <c r="B70" s="175">
        <f>#REF!</f>
      </c>
      <c r="C70" s="233"/>
      <c r="D70" s="176">
        <f>IF(#REF!&lt;&gt;"",#REF!,IF(#REF!&lt;&gt;"",#REF!,""))</f>
      </c>
      <c r="E70" s="176"/>
      <c r="F70" s="176"/>
      <c r="G70" s="176"/>
      <c r="H70" s="176"/>
      <c r="I70" s="176"/>
      <c r="J70" s="252">
        <f>#REF!</f>
      </c>
      <c r="K70" s="252">
        <f ca="1">'rincian 2'!S47</f>
      </c>
      <c r="L70" s="252">
        <f>'rincian 2'!U47</f>
      </c>
      <c r="M70" s="252">
        <f t="shared" ca="1" si="4"/>
      </c>
      <c r="N70" s="252">
        <f t="shared" si="5"/>
      </c>
      <c r="O70" s="252">
        <f t="shared" ca="1" si="6"/>
      </c>
      <c r="P70" s="78">
        <f>#REF!</f>
      </c>
      <c r="Q70" s="608">
        <f t="shared" si="7"/>
      </c>
      <c r="R70" s="609"/>
    </row>
    <row r="71" spans="1:18" ht="18" customHeight="1">
      <c r="A71" s="37"/>
      <c r="B71" s="175">
        <f>#REF!</f>
      </c>
      <c r="C71" s="233"/>
      <c r="D71" s="176">
        <f>IF(#REF!&lt;&gt;"",#REF!,IF(#REF!&lt;&gt;"",#REF!,""))</f>
      </c>
      <c r="E71" s="176"/>
      <c r="F71" s="176"/>
      <c r="G71" s="176"/>
      <c r="H71" s="176"/>
      <c r="I71" s="176"/>
      <c r="J71" s="252">
        <f>#REF!</f>
      </c>
      <c r="K71" s="252">
        <f ca="1">'rincian 2'!S48</f>
      </c>
      <c r="L71" s="252">
        <f>'rincian 2'!U48</f>
      </c>
      <c r="M71" s="252">
        <f t="shared" ca="1" si="4"/>
      </c>
      <c r="N71" s="252">
        <f t="shared" si="5"/>
      </c>
      <c r="O71" s="252">
        <f t="shared" ca="1" si="6"/>
      </c>
      <c r="P71" s="78">
        <f>#REF!</f>
      </c>
      <c r="Q71" s="608">
        <f t="shared" si="7"/>
      </c>
      <c r="R71" s="609"/>
    </row>
    <row r="72" spans="1:18" ht="18" customHeight="1">
      <c r="A72" s="37"/>
      <c r="B72" s="175">
        <f>#REF!</f>
      </c>
      <c r="C72" s="233"/>
      <c r="D72" s="176">
        <f>IF(#REF!&lt;&gt;"",#REF!,IF(#REF!&lt;&gt;"",#REF!,""))</f>
      </c>
      <c r="E72" s="176"/>
      <c r="F72" s="176"/>
      <c r="G72" s="176"/>
      <c r="H72" s="176"/>
      <c r="I72" s="176"/>
      <c r="J72" s="252">
        <f>#REF!</f>
      </c>
      <c r="K72" s="252">
        <f ca="1">'rincian 2'!S49</f>
      </c>
      <c r="L72" s="252">
        <f>'rincian 2'!U49</f>
      </c>
      <c r="M72" s="252">
        <f t="shared" ca="1" si="4"/>
      </c>
      <c r="N72" s="252">
        <f t="shared" si="5"/>
      </c>
      <c r="O72" s="252">
        <f t="shared" ca="1" si="6"/>
      </c>
      <c r="P72" s="78">
        <f>#REF!</f>
      </c>
      <c r="Q72" s="608">
        <f t="shared" si="7"/>
      </c>
      <c r="R72" s="609"/>
    </row>
    <row r="73" spans="1:18" ht="18" customHeight="1">
      <c r="A73" s="37"/>
      <c r="B73" s="175">
        <f>#REF!</f>
      </c>
      <c r="C73" s="233"/>
      <c r="D73" s="176">
        <f>IF(#REF!&lt;&gt;"",#REF!,IF(#REF!&lt;&gt;"",#REF!,""))</f>
      </c>
      <c r="E73" s="176"/>
      <c r="F73" s="176"/>
      <c r="G73" s="176"/>
      <c r="H73" s="176"/>
      <c r="I73" s="176"/>
      <c r="J73" s="252">
        <f>#REF!</f>
      </c>
      <c r="K73" s="252">
        <f ca="1">'rincian 2'!S50</f>
      </c>
      <c r="L73" s="252">
        <f>'rincian 2'!U50</f>
      </c>
      <c r="M73" s="252">
        <f t="shared" ca="1" si="4"/>
      </c>
      <c r="N73" s="252">
        <f t="shared" si="5"/>
      </c>
      <c r="O73" s="252">
        <f t="shared" ca="1" si="6"/>
      </c>
      <c r="P73" s="78">
        <f>#REF!</f>
      </c>
      <c r="Q73" s="608">
        <f t="shared" si="7"/>
      </c>
      <c r="R73" s="609"/>
    </row>
    <row r="74" spans="1:18" ht="18" customHeight="1">
      <c r="A74" s="37"/>
      <c r="B74" s="175">
        <f>#REF!</f>
      </c>
      <c r="C74" s="233"/>
      <c r="D74" s="176">
        <f>IF(#REF!&lt;&gt;"",#REF!,IF(#REF!&lt;&gt;"",#REF!,""))</f>
      </c>
      <c r="E74" s="176"/>
      <c r="F74" s="176"/>
      <c r="G74" s="176"/>
      <c r="H74" s="176"/>
      <c r="I74" s="176"/>
      <c r="J74" s="252">
        <f>#REF!</f>
      </c>
      <c r="K74" s="252">
        <f ca="1">'rincian 2'!S51</f>
      </c>
      <c r="L74" s="252">
        <f>'rincian 2'!U51</f>
      </c>
      <c r="M74" s="252">
        <f t="shared" ca="1" si="4"/>
      </c>
      <c r="N74" s="252">
        <f t="shared" si="5"/>
      </c>
      <c r="O74" s="252">
        <f t="shared" ca="1" si="6"/>
      </c>
      <c r="P74" s="78">
        <f>#REF!</f>
      </c>
      <c r="Q74" s="608">
        <f t="shared" si="7"/>
      </c>
      <c r="R74" s="609"/>
    </row>
    <row r="75" spans="1:18" ht="18" customHeight="1">
      <c r="A75" s="37"/>
      <c r="B75" s="175">
        <f>#REF!</f>
      </c>
      <c r="C75" s="233"/>
      <c r="D75" s="176">
        <f>IF(#REF!&lt;&gt;"",#REF!,IF(#REF!&lt;&gt;"",#REF!,""))</f>
      </c>
      <c r="E75" s="176"/>
      <c r="F75" s="176"/>
      <c r="G75" s="176"/>
      <c r="H75" s="176"/>
      <c r="I75" s="176"/>
      <c r="J75" s="252">
        <f>#REF!</f>
      </c>
      <c r="K75" s="252">
        <f ca="1">'rincian 2'!S52</f>
      </c>
      <c r="L75" s="252">
        <f>'rincian 2'!U52</f>
      </c>
      <c r="M75" s="252">
        <f t="shared" ca="1" si="4"/>
      </c>
      <c r="N75" s="252">
        <f t="shared" si="5"/>
      </c>
      <c r="O75" s="252">
        <f t="shared" ca="1" si="6"/>
      </c>
      <c r="P75" s="78">
        <f>#REF!</f>
      </c>
      <c r="Q75" s="608">
        <f t="shared" si="7"/>
      </c>
      <c r="R75" s="609"/>
    </row>
    <row r="76" spans="1:18" ht="18" customHeight="1">
      <c r="A76" s="37"/>
      <c r="B76" s="175">
        <f>#REF!</f>
      </c>
      <c r="C76" s="233"/>
      <c r="D76" s="176">
        <f>IF(#REF!&lt;&gt;"",#REF!,IF(#REF!&lt;&gt;"",#REF!,""))</f>
      </c>
      <c r="E76" s="176"/>
      <c r="F76" s="176"/>
      <c r="G76" s="176"/>
      <c r="H76" s="176"/>
      <c r="I76" s="176"/>
      <c r="J76" s="252">
        <f>#REF!</f>
      </c>
      <c r="K76" s="252">
        <f ca="1">'rincian 2'!S53</f>
      </c>
      <c r="L76" s="252">
        <f>'rincian 2'!U53</f>
      </c>
      <c r="M76" s="252">
        <f t="shared" ca="1" si="4"/>
      </c>
      <c r="N76" s="252">
        <f t="shared" si="5"/>
      </c>
      <c r="O76" s="252">
        <f t="shared" ca="1" si="6"/>
      </c>
      <c r="P76" s="78">
        <f>#REF!</f>
      </c>
      <c r="Q76" s="608">
        <f t="shared" si="7"/>
      </c>
      <c r="R76" s="609"/>
    </row>
    <row r="77" spans="1:18" ht="18" customHeight="1">
      <c r="A77" s="37"/>
      <c r="B77" s="406">
        <f>#REF!</f>
      </c>
      <c r="C77" s="407"/>
      <c r="D77" s="408">
        <f>IF(#REF!&lt;&gt;"",#REF!,IF(#REF!&lt;&gt;"",#REF!,""))</f>
      </c>
      <c r="E77" s="408"/>
      <c r="F77" s="408"/>
      <c r="G77" s="408"/>
      <c r="H77" s="408"/>
      <c r="I77" s="408"/>
      <c r="J77" s="409"/>
      <c r="K77" s="409"/>
      <c r="L77" s="409"/>
      <c r="M77" s="409"/>
      <c r="N77" s="409"/>
      <c r="O77" s="409"/>
      <c r="P77" s="410"/>
      <c r="Q77" s="624"/>
      <c r="R77" s="625"/>
    </row>
    <row r="78" spans="1:18" ht="18" customHeight="1">
      <c r="A78" s="37"/>
      <c r="B78" s="404">
        <f>#REF!</f>
      </c>
      <c r="C78" s="233"/>
      <c r="D78" s="405">
        <f>IF(#REF!&lt;&gt;"",#REF!,IF(#REF!&lt;&gt;"",#REF!,""))</f>
      </c>
      <c r="E78" s="405"/>
      <c r="F78" s="405"/>
      <c r="G78" s="405"/>
      <c r="H78" s="405"/>
      <c r="I78" s="405"/>
      <c r="J78" s="252"/>
      <c r="K78" s="252"/>
      <c r="L78" s="252"/>
      <c r="M78" s="252"/>
      <c r="N78" s="252"/>
      <c r="O78" s="252"/>
      <c r="P78" s="78"/>
      <c r="Q78" s="624"/>
      <c r="R78" s="625"/>
    </row>
    <row r="79" spans="1:18" ht="18" customHeight="1">
      <c r="A79" s="37"/>
      <c r="B79" s="404">
        <f>#REF!</f>
      </c>
      <c r="C79" s="233"/>
      <c r="D79" s="405">
        <f>IF(#REF!&lt;&gt;"",#REF!,IF(#REF!&lt;&gt;"",#REF!,""))</f>
      </c>
      <c r="E79" s="405"/>
      <c r="F79" s="405"/>
      <c r="G79" s="405"/>
      <c r="H79" s="405"/>
      <c r="I79" s="405"/>
      <c r="J79" s="252"/>
      <c r="K79" s="252"/>
      <c r="L79" s="252"/>
      <c r="M79" s="252"/>
      <c r="N79" s="252"/>
      <c r="O79" s="252"/>
      <c r="P79" s="78"/>
      <c r="Q79" s="624"/>
      <c r="R79" s="625"/>
    </row>
    <row r="80" spans="1:18" ht="21" customHeight="1">
      <c r="A80" s="37"/>
      <c r="B80" s="175">
        <f>#REF!</f>
      </c>
      <c r="C80" s="233"/>
      <c r="D80" s="653">
        <f>IF(#REF!&lt;&gt;"",#REF!,IF(#REF!&lt;&gt;"",#REF!,""))</f>
      </c>
      <c r="E80" s="653"/>
      <c r="F80" s="653"/>
      <c r="G80" s="653"/>
      <c r="H80" s="653"/>
      <c r="I80" s="654"/>
      <c r="J80" s="252">
        <f>#REF!</f>
      </c>
      <c r="K80" s="252">
        <f ca="1">'rincian 2'!S57</f>
      </c>
      <c r="L80" s="252">
        <f>'rincian 2'!U57</f>
      </c>
      <c r="M80" s="252">
        <f ca="1">K80+L80</f>
      </c>
      <c r="N80" s="252">
        <f>L80</f>
      </c>
      <c r="O80" s="252">
        <f ca="1">J80-M80</f>
      </c>
      <c r="P80" s="78">
        <f>#REF!</f>
      </c>
      <c r="Q80" s="608">
        <f>N80*P80</f>
      </c>
      <c r="R80" s="609"/>
    </row>
    <row r="81" spans="1:18" ht="36" customHeight="1">
      <c r="A81" s="37"/>
      <c r="B81" s="175">
        <f>#REF!</f>
      </c>
      <c r="C81" s="233"/>
      <c r="D81" s="653">
        <f>IF(#REF!&lt;&gt;"",#REF!,IF(#REF!&lt;&gt;"",#REF!,""))</f>
      </c>
      <c r="E81" s="653"/>
      <c r="F81" s="653"/>
      <c r="G81" s="653"/>
      <c r="H81" s="653"/>
      <c r="I81" s="654"/>
      <c r="J81" s="252">
        <f>#REF!</f>
      </c>
      <c r="K81" s="252">
        <f ca="1">'rincian 2'!S58</f>
      </c>
      <c r="L81" s="252">
        <f>'rincian 2'!U58</f>
      </c>
      <c r="M81" s="252">
        <f ca="1">K81+L81</f>
      </c>
      <c r="N81" s="252">
        <f>L81</f>
      </c>
      <c r="O81" s="252">
        <f ca="1">J81-M81</f>
      </c>
      <c r="P81" s="78">
        <f>#REF!</f>
      </c>
      <c r="Q81" s="608">
        <f>N81*P81</f>
      </c>
      <c r="R81" s="609"/>
    </row>
    <row r="82" spans="1:18" ht="36" customHeight="1">
      <c r="A82" s="37"/>
      <c r="B82" s="175">
        <f>#REF!</f>
      </c>
      <c r="C82" s="233"/>
      <c r="D82" s="653">
        <f>IF(#REF!&lt;&gt;"",#REF!,IF(#REF!&lt;&gt;"",#REF!,""))</f>
      </c>
      <c r="E82" s="653"/>
      <c r="F82" s="653"/>
      <c r="G82" s="653"/>
      <c r="H82" s="653"/>
      <c r="I82" s="654"/>
      <c r="J82" s="252">
        <f>#REF!</f>
      </c>
      <c r="K82" s="252">
        <f ca="1">'rincian 2'!S59</f>
      </c>
      <c r="L82" s="252">
        <f>'rincian 2'!U59</f>
      </c>
      <c r="M82" s="252">
        <f ca="1">K82+L82</f>
      </c>
      <c r="N82" s="252">
        <f>L82</f>
      </c>
      <c r="O82" s="252">
        <f ca="1">J82-M82</f>
      </c>
      <c r="P82" s="78">
        <f>#REF!</f>
      </c>
      <c r="Q82" s="608">
        <f>N82*P82</f>
      </c>
      <c r="R82" s="609"/>
    </row>
    <row r="83" spans="1:18" ht="36" customHeight="1">
      <c r="A83" s="37"/>
      <c r="B83" s="175">
        <f>#REF!</f>
      </c>
      <c r="C83" s="233"/>
      <c r="D83" s="653">
        <f>IF(#REF!&lt;&gt;"",#REF!,IF(#REF!&lt;&gt;"",#REF!,""))</f>
      </c>
      <c r="E83" s="653"/>
      <c r="F83" s="653"/>
      <c r="G83" s="653"/>
      <c r="H83" s="653"/>
      <c r="I83" s="654"/>
      <c r="J83" s="252">
        <f>#REF!</f>
      </c>
      <c r="K83" s="252">
        <f ca="1">'rincian 2'!S60</f>
      </c>
      <c r="L83" s="252">
        <f>'rincian 2'!U60</f>
      </c>
      <c r="M83" s="252">
        <f ca="1">K83+L83</f>
      </c>
      <c r="N83" s="252">
        <f>L83</f>
      </c>
      <c r="O83" s="252">
        <f ca="1">J83-M83</f>
      </c>
      <c r="P83" s="78">
        <f>#REF!</f>
      </c>
      <c r="Q83" s="608">
        <f>N83*P83</f>
      </c>
      <c r="R83" s="609"/>
    </row>
    <row r="84" spans="1:18" ht="18" customHeight="1">
      <c r="A84" s="37"/>
      <c r="B84" s="404">
        <f>#REF!</f>
      </c>
      <c r="C84" s="233"/>
      <c r="D84" s="405">
        <f>IF(#REF!&lt;&gt;"",#REF!,IF(#REF!&lt;&gt;"",#REF!,""))</f>
      </c>
      <c r="E84" s="405"/>
      <c r="F84" s="405"/>
      <c r="G84" s="405"/>
      <c r="H84" s="405"/>
      <c r="I84" s="405"/>
      <c r="J84" s="252"/>
      <c r="K84" s="252"/>
      <c r="L84" s="252"/>
      <c r="M84" s="252"/>
      <c r="N84" s="252"/>
      <c r="O84" s="252"/>
      <c r="P84" s="78"/>
      <c r="Q84" s="624"/>
      <c r="R84" s="625"/>
    </row>
    <row r="85" spans="1:18" ht="18" customHeight="1">
      <c r="A85" s="37"/>
      <c r="B85" s="175">
        <f>#REF!</f>
      </c>
      <c r="C85" s="233"/>
      <c r="D85" s="176">
        <f>IF(#REF!&lt;&gt;"",#REF!,IF(#REF!&lt;&gt;"",#REF!,""))</f>
      </c>
      <c r="E85" s="176"/>
      <c r="F85" s="176"/>
      <c r="G85" s="176"/>
      <c r="H85" s="176"/>
      <c r="I85" s="176"/>
      <c r="J85" s="252">
        <f>#REF!</f>
      </c>
      <c r="K85" s="252">
        <f ca="1">'rincian 2'!S62</f>
      </c>
      <c r="L85" s="252">
        <f>'rincian 2'!U62</f>
      </c>
      <c r="M85" s="252">
        <f ca="1">K85+L85</f>
      </c>
      <c r="N85" s="252">
        <f>L85</f>
      </c>
      <c r="O85" s="252">
        <f ca="1">J85-M85</f>
      </c>
      <c r="P85" s="78">
        <f>#REF!</f>
      </c>
      <c r="Q85" s="608">
        <f>N85*P85</f>
      </c>
      <c r="R85" s="609"/>
    </row>
    <row r="86" spans="1:18" ht="18" customHeight="1">
      <c r="A86" s="37"/>
      <c r="B86" s="175">
        <f>#REF!</f>
      </c>
      <c r="C86" s="233"/>
      <c r="D86" s="176">
        <f>IF(#REF!&lt;&gt;"",#REF!,IF(#REF!&lt;&gt;"",#REF!,""))</f>
      </c>
      <c r="E86" s="176"/>
      <c r="F86" s="176"/>
      <c r="G86" s="176"/>
      <c r="H86" s="176"/>
      <c r="I86" s="176"/>
      <c r="J86" s="252">
        <f>#REF!</f>
      </c>
      <c r="K86" s="252">
        <f ca="1">'rincian 2'!S63</f>
      </c>
      <c r="L86" s="252">
        <f>'rincian 2'!U63</f>
      </c>
      <c r="M86" s="252">
        <f ca="1">K86+L86</f>
      </c>
      <c r="N86" s="252">
        <f>L86</f>
      </c>
      <c r="O86" s="252">
        <f ca="1">J86-M86</f>
      </c>
      <c r="P86" s="78">
        <f>#REF!</f>
      </c>
      <c r="Q86" s="608">
        <f>N86*P86</f>
      </c>
      <c r="R86" s="609"/>
    </row>
    <row r="87" spans="1:18" ht="18" customHeight="1">
      <c r="A87" s="37"/>
      <c r="B87" s="175">
        <f>#REF!</f>
      </c>
      <c r="C87" s="233"/>
      <c r="D87" s="176">
        <f>IF(#REF!&lt;&gt;"",#REF!,IF(#REF!&lt;&gt;"",#REF!,""))</f>
      </c>
      <c r="E87" s="176"/>
      <c r="F87" s="176"/>
      <c r="G87" s="176"/>
      <c r="H87" s="176"/>
      <c r="I87" s="176"/>
      <c r="J87" s="252">
        <f>#REF!</f>
      </c>
      <c r="K87" s="252">
        <f ca="1">'rincian 2'!S64</f>
      </c>
      <c r="L87" s="252">
        <f>'rincian 2'!U64</f>
      </c>
      <c r="M87" s="252">
        <f ca="1">K87+L87</f>
      </c>
      <c r="N87" s="252">
        <f>L87</f>
      </c>
      <c r="O87" s="252">
        <f ca="1">J87-M87</f>
      </c>
      <c r="P87" s="78">
        <f>#REF!</f>
      </c>
      <c r="Q87" s="608">
        <f>N87*P87</f>
      </c>
      <c r="R87" s="609"/>
    </row>
    <row r="88" spans="1:18" ht="18" customHeight="1">
      <c r="A88" s="37"/>
      <c r="B88" s="175">
        <f>#REF!</f>
      </c>
      <c r="C88" s="233"/>
      <c r="D88" s="176">
        <f>IF(#REF!&lt;&gt;"",#REF!,IF(#REF!&lt;&gt;"",#REF!,""))</f>
      </c>
      <c r="E88" s="176"/>
      <c r="F88" s="176"/>
      <c r="G88" s="176"/>
      <c r="H88" s="176"/>
      <c r="I88" s="176"/>
      <c r="J88" s="252">
        <f>#REF!</f>
      </c>
      <c r="K88" s="252">
        <f ca="1">'rincian 2'!S65</f>
      </c>
      <c r="L88" s="252">
        <f>'rincian 2'!U65</f>
      </c>
      <c r="M88" s="252">
        <f ca="1">K88+L88</f>
      </c>
      <c r="N88" s="252">
        <f>L88</f>
      </c>
      <c r="O88" s="252">
        <f ca="1">J88-M88</f>
      </c>
      <c r="P88" s="78">
        <f>#REF!</f>
      </c>
      <c r="Q88" s="608">
        <f>N88*P88</f>
      </c>
      <c r="R88" s="609"/>
    </row>
    <row r="89" spans="1:18" ht="18" customHeight="1">
      <c r="A89" s="37"/>
      <c r="B89" s="175">
        <f>#REF!</f>
      </c>
      <c r="C89" s="233"/>
      <c r="D89" s="176">
        <f>IF(#REF!&lt;&gt;"",#REF!,IF(#REF!&lt;&gt;"",#REF!,""))</f>
      </c>
      <c r="E89" s="176"/>
      <c r="F89" s="176"/>
      <c r="G89" s="176"/>
      <c r="H89" s="176"/>
      <c r="I89" s="176"/>
      <c r="J89" s="252">
        <f>#REF!</f>
      </c>
      <c r="K89" s="252">
        <f ca="1">'rincian 2'!S66</f>
      </c>
      <c r="L89" s="252">
        <f>'rincian 2'!U66</f>
      </c>
      <c r="M89" s="252">
        <f ca="1">K89+L89</f>
      </c>
      <c r="N89" s="252">
        <f>L89</f>
      </c>
      <c r="O89" s="252">
        <f ca="1">J89-M89</f>
      </c>
      <c r="P89" s="78">
        <f>#REF!</f>
      </c>
      <c r="Q89" s="608">
        <f>N89*P89</f>
      </c>
      <c r="R89" s="609"/>
    </row>
    <row r="90" spans="1:18" ht="18" customHeight="1">
      <c r="A90" s="37"/>
      <c r="B90" s="404">
        <f>#REF!</f>
      </c>
      <c r="C90" s="233"/>
      <c r="D90" s="405">
        <f>IF(#REF!&lt;&gt;"",#REF!,IF(#REF!&lt;&gt;"",#REF!,""))</f>
      </c>
      <c r="E90" s="405"/>
      <c r="F90" s="405"/>
      <c r="G90" s="405"/>
      <c r="H90" s="405"/>
      <c r="I90" s="405"/>
      <c r="J90" s="252"/>
      <c r="K90" s="252"/>
      <c r="L90" s="252"/>
      <c r="M90" s="252"/>
      <c r="N90" s="252"/>
      <c r="O90" s="252"/>
      <c r="P90" s="78"/>
      <c r="Q90" s="624"/>
      <c r="R90" s="625"/>
    </row>
    <row r="91" spans="1:18" ht="18" customHeight="1">
      <c r="A91" s="37"/>
      <c r="B91" s="175">
        <f>#REF!</f>
      </c>
      <c r="C91" s="233"/>
      <c r="D91" s="176">
        <f>IF(#REF!&lt;&gt;"",#REF!,IF(#REF!&lt;&gt;"",#REF!,""))</f>
      </c>
      <c r="E91" s="176"/>
      <c r="F91" s="176"/>
      <c r="G91" s="176"/>
      <c r="H91" s="176"/>
      <c r="I91" s="176"/>
      <c r="J91" s="252">
        <f>#REF!</f>
      </c>
      <c r="K91" s="252">
        <f ca="1">'rincian 2'!S68</f>
      </c>
      <c r="L91" s="252">
        <f>'rincian 2'!U68</f>
      </c>
      <c r="M91" s="252">
        <f t="shared" ref="M91:M101" ca="1" si="8">K91+L91</f>
      </c>
      <c r="N91" s="252">
        <f t="shared" ref="N91:N101" si="9">L91</f>
      </c>
      <c r="O91" s="252">
        <f t="shared" ref="O91:O101" ca="1" si="10">J91-M91</f>
      </c>
      <c r="P91" s="78">
        <f>#REF!</f>
      </c>
      <c r="Q91" s="608">
        <f t="shared" ref="Q91:Q101" si="11">N91*P91</f>
      </c>
      <c r="R91" s="609"/>
    </row>
    <row r="92" spans="1:18" ht="18" customHeight="1">
      <c r="A92" s="37"/>
      <c r="B92" s="175">
        <f>#REF!</f>
      </c>
      <c r="C92" s="233"/>
      <c r="D92" s="176">
        <f>IF(#REF!&lt;&gt;"",#REF!,IF(#REF!&lt;&gt;"",#REF!,""))</f>
      </c>
      <c r="E92" s="176"/>
      <c r="F92" s="176"/>
      <c r="G92" s="176"/>
      <c r="H92" s="176"/>
      <c r="I92" s="176"/>
      <c r="J92" s="252">
        <f>#REF!</f>
      </c>
      <c r="K92" s="252">
        <f ca="1">'rincian 2'!S69</f>
      </c>
      <c r="L92" s="252">
        <f>'rincian 2'!U69</f>
      </c>
      <c r="M92" s="252">
        <f t="shared" ca="1" si="8"/>
      </c>
      <c r="N92" s="252">
        <f t="shared" si="9"/>
      </c>
      <c r="O92" s="252">
        <f t="shared" ca="1" si="10"/>
      </c>
      <c r="P92" s="78">
        <f>#REF!</f>
      </c>
      <c r="Q92" s="608">
        <f t="shared" si="11"/>
      </c>
      <c r="R92" s="609"/>
    </row>
    <row r="93" spans="1:18" ht="18" customHeight="1">
      <c r="A93" s="37"/>
      <c r="B93" s="175">
        <f>#REF!</f>
      </c>
      <c r="C93" s="233"/>
      <c r="D93" s="176">
        <f>IF(#REF!&lt;&gt;"",#REF!,IF(#REF!&lt;&gt;"",#REF!,""))</f>
      </c>
      <c r="E93" s="176"/>
      <c r="F93" s="176"/>
      <c r="G93" s="176"/>
      <c r="H93" s="176"/>
      <c r="I93" s="176"/>
      <c r="J93" s="252">
        <f>#REF!</f>
      </c>
      <c r="K93" s="252">
        <f ca="1">'rincian 2'!S70</f>
      </c>
      <c r="L93" s="252">
        <f>'rincian 2'!U70</f>
      </c>
      <c r="M93" s="252">
        <f t="shared" ca="1" si="8"/>
      </c>
      <c r="N93" s="252">
        <f t="shared" si="9"/>
      </c>
      <c r="O93" s="252">
        <f t="shared" ca="1" si="10"/>
      </c>
      <c r="P93" s="78">
        <f>#REF!</f>
      </c>
      <c r="Q93" s="608">
        <f t="shared" si="11"/>
      </c>
      <c r="R93" s="609"/>
    </row>
    <row r="94" spans="1:18" ht="18" customHeight="1">
      <c r="A94" s="37"/>
      <c r="B94" s="175">
        <f>#REF!</f>
      </c>
      <c r="C94" s="233"/>
      <c r="D94" s="176">
        <f>IF(#REF!&lt;&gt;"",#REF!,IF(#REF!&lt;&gt;"",#REF!,""))</f>
      </c>
      <c r="E94" s="176"/>
      <c r="F94" s="176"/>
      <c r="G94" s="176"/>
      <c r="H94" s="176"/>
      <c r="I94" s="176"/>
      <c r="J94" s="252">
        <f>#REF!</f>
      </c>
      <c r="K94" s="252">
        <f ca="1">'rincian 2'!S71</f>
      </c>
      <c r="L94" s="252">
        <f>'rincian 2'!U71</f>
      </c>
      <c r="M94" s="252">
        <f t="shared" ca="1" si="8"/>
      </c>
      <c r="N94" s="252">
        <f t="shared" si="9"/>
      </c>
      <c r="O94" s="252">
        <f t="shared" ca="1" si="10"/>
      </c>
      <c r="P94" s="78">
        <f>#REF!</f>
      </c>
      <c r="Q94" s="608">
        <f t="shared" si="11"/>
      </c>
      <c r="R94" s="609"/>
    </row>
    <row r="95" spans="1:18" ht="18" customHeight="1">
      <c r="A95" s="37"/>
      <c r="B95" s="175">
        <f>#REF!</f>
      </c>
      <c r="C95" s="233"/>
      <c r="D95" s="176">
        <f>IF(#REF!&lt;&gt;"",#REF!,IF(#REF!&lt;&gt;"",#REF!,""))</f>
      </c>
      <c r="E95" s="176"/>
      <c r="F95" s="176"/>
      <c r="G95" s="176"/>
      <c r="H95" s="176"/>
      <c r="I95" s="176"/>
      <c r="J95" s="252">
        <f>#REF!</f>
      </c>
      <c r="K95" s="252">
        <f ca="1">'rincian 2'!S72</f>
      </c>
      <c r="L95" s="252">
        <f>'rincian 2'!U72</f>
      </c>
      <c r="M95" s="252">
        <f t="shared" ca="1" si="8"/>
      </c>
      <c r="N95" s="252">
        <f t="shared" si="9"/>
      </c>
      <c r="O95" s="252">
        <f t="shared" ca="1" si="10"/>
      </c>
      <c r="P95" s="78">
        <f>#REF!</f>
      </c>
      <c r="Q95" s="608">
        <f t="shared" si="11"/>
      </c>
      <c r="R95" s="609"/>
    </row>
    <row r="96" spans="1:18" ht="18" customHeight="1">
      <c r="A96" s="37"/>
      <c r="B96" s="175">
        <f>#REF!</f>
      </c>
      <c r="C96" s="233"/>
      <c r="D96" s="176">
        <f>IF(#REF!&lt;&gt;"",#REF!,IF(#REF!&lt;&gt;"",#REF!,""))</f>
      </c>
      <c r="E96" s="176"/>
      <c r="F96" s="176"/>
      <c r="G96" s="176"/>
      <c r="H96" s="176"/>
      <c r="I96" s="176"/>
      <c r="J96" s="252">
        <f>#REF!</f>
      </c>
      <c r="K96" s="252">
        <f ca="1">'rincian 2'!S73</f>
      </c>
      <c r="L96" s="252">
        <f>'rincian 2'!U73</f>
      </c>
      <c r="M96" s="252">
        <f t="shared" ca="1" si="8"/>
      </c>
      <c r="N96" s="252">
        <f t="shared" si="9"/>
      </c>
      <c r="O96" s="252">
        <f t="shared" ca="1" si="10"/>
      </c>
      <c r="P96" s="78">
        <f>#REF!</f>
      </c>
      <c r="Q96" s="608">
        <f t="shared" si="11"/>
      </c>
      <c r="R96" s="609"/>
    </row>
    <row r="97" spans="1:18" ht="18" customHeight="1">
      <c r="A97" s="37"/>
      <c r="B97" s="175">
        <f>#REF!</f>
      </c>
      <c r="C97" s="233"/>
      <c r="D97" s="176">
        <f>IF(#REF!&lt;&gt;"",#REF!,IF(#REF!&lt;&gt;"",#REF!,""))</f>
      </c>
      <c r="E97" s="176"/>
      <c r="F97" s="176"/>
      <c r="G97" s="176"/>
      <c r="H97" s="176"/>
      <c r="I97" s="176"/>
      <c r="J97" s="252">
        <f>#REF!</f>
      </c>
      <c r="K97" s="252">
        <f ca="1">'rincian 2'!S74</f>
      </c>
      <c r="L97" s="252">
        <f>'rincian 2'!U74</f>
      </c>
      <c r="M97" s="252">
        <f t="shared" ca="1" si="8"/>
      </c>
      <c r="N97" s="252">
        <f t="shared" si="9"/>
      </c>
      <c r="O97" s="252">
        <f t="shared" ca="1" si="10"/>
      </c>
      <c r="P97" s="78">
        <f>#REF!</f>
      </c>
      <c r="Q97" s="608">
        <f t="shared" si="11"/>
      </c>
      <c r="R97" s="609"/>
    </row>
    <row r="98" spans="1:18" ht="18" customHeight="1">
      <c r="A98" s="37"/>
      <c r="B98" s="175">
        <f>#REF!</f>
      </c>
      <c r="C98" s="233"/>
      <c r="D98" s="176">
        <f>IF(#REF!&lt;&gt;"",#REF!,IF(#REF!&lt;&gt;"",#REF!,""))</f>
      </c>
      <c r="E98" s="176"/>
      <c r="F98" s="176"/>
      <c r="G98" s="176"/>
      <c r="H98" s="176"/>
      <c r="I98" s="176"/>
      <c r="J98" s="252">
        <f>#REF!</f>
      </c>
      <c r="K98" s="252">
        <f ca="1">'rincian 2'!S75</f>
      </c>
      <c r="L98" s="252">
        <f>'rincian 2'!U75</f>
      </c>
      <c r="M98" s="252">
        <f t="shared" ca="1" si="8"/>
      </c>
      <c r="N98" s="252">
        <f t="shared" si="9"/>
      </c>
      <c r="O98" s="252">
        <f t="shared" ca="1" si="10"/>
      </c>
      <c r="P98" s="78">
        <f>#REF!</f>
      </c>
      <c r="Q98" s="608">
        <f t="shared" si="11"/>
      </c>
      <c r="R98" s="609"/>
    </row>
    <row r="99" spans="1:18" ht="18" customHeight="1">
      <c r="A99" s="37"/>
      <c r="B99" s="175">
        <f>#REF!</f>
      </c>
      <c r="C99" s="233"/>
      <c r="D99" s="176">
        <f>IF(#REF!&lt;&gt;"",#REF!,IF(#REF!&lt;&gt;"",#REF!,""))</f>
      </c>
      <c r="E99" s="176"/>
      <c r="F99" s="176"/>
      <c r="G99" s="176"/>
      <c r="H99" s="176"/>
      <c r="I99" s="176"/>
      <c r="J99" s="252">
        <f>#REF!</f>
      </c>
      <c r="K99" s="252">
        <f ca="1">'rincian 2'!S76</f>
      </c>
      <c r="L99" s="252">
        <f>'rincian 2'!U76</f>
      </c>
      <c r="M99" s="252">
        <f t="shared" ca="1" si="8"/>
      </c>
      <c r="N99" s="252">
        <f t="shared" si="9"/>
      </c>
      <c r="O99" s="252">
        <f t="shared" ca="1" si="10"/>
      </c>
      <c r="P99" s="78">
        <f>#REF!</f>
      </c>
      <c r="Q99" s="608">
        <f t="shared" si="11"/>
      </c>
      <c r="R99" s="609"/>
    </row>
    <row r="100" spans="1:18" ht="18" customHeight="1">
      <c r="A100" s="37"/>
      <c r="B100" s="175">
        <f>#REF!</f>
      </c>
      <c r="C100" s="233"/>
      <c r="D100" s="176">
        <f>IF(#REF!&lt;&gt;"",#REF!,IF(#REF!&lt;&gt;"",#REF!,""))</f>
      </c>
      <c r="E100" s="176"/>
      <c r="F100" s="176"/>
      <c r="G100" s="176"/>
      <c r="H100" s="176"/>
      <c r="I100" s="176"/>
      <c r="J100" s="252">
        <f>#REF!</f>
      </c>
      <c r="K100" s="252">
        <f ca="1">'rincian 2'!S77</f>
      </c>
      <c r="L100" s="252">
        <f>'rincian 2'!U77</f>
      </c>
      <c r="M100" s="252">
        <f t="shared" ca="1" si="8"/>
      </c>
      <c r="N100" s="252">
        <f t="shared" si="9"/>
      </c>
      <c r="O100" s="252">
        <f t="shared" ca="1" si="10"/>
      </c>
      <c r="P100" s="78">
        <f>#REF!</f>
      </c>
      <c r="Q100" s="608">
        <f t="shared" si="11"/>
      </c>
      <c r="R100" s="609"/>
    </row>
    <row r="101" spans="1:18" ht="18" customHeight="1">
      <c r="A101" s="37"/>
      <c r="B101" s="175">
        <f>#REF!</f>
      </c>
      <c r="C101" s="233"/>
      <c r="D101" s="176">
        <f>IF(#REF!&lt;&gt;"",#REF!,IF(#REF!&lt;&gt;"",#REF!,""))</f>
      </c>
      <c r="E101" s="176"/>
      <c r="F101" s="176"/>
      <c r="G101" s="176"/>
      <c r="H101" s="176"/>
      <c r="I101" s="176"/>
      <c r="J101" s="252">
        <f>#REF!</f>
      </c>
      <c r="K101" s="252">
        <f ca="1">'rincian 2'!S78</f>
      </c>
      <c r="L101" s="252">
        <f>'rincian 2'!U78</f>
      </c>
      <c r="M101" s="252">
        <f t="shared" ca="1" si="8"/>
      </c>
      <c r="N101" s="252">
        <f t="shared" si="9"/>
      </c>
      <c r="O101" s="252">
        <f t="shared" ca="1" si="10"/>
      </c>
      <c r="P101" s="78">
        <f>#REF!</f>
      </c>
      <c r="Q101" s="608">
        <f t="shared" si="11"/>
      </c>
      <c r="R101" s="609"/>
    </row>
    <row r="102" spans="1:18" ht="18" customHeight="1">
      <c r="A102" s="37"/>
      <c r="B102" s="406">
        <f>#REF!</f>
      </c>
      <c r="C102" s="407"/>
      <c r="D102" s="408">
        <f>IF(#REF!&lt;&gt;"",#REF!,IF(#REF!&lt;&gt;"",#REF!,""))</f>
      </c>
      <c r="E102" s="408"/>
      <c r="F102" s="408"/>
      <c r="G102" s="408"/>
      <c r="H102" s="408"/>
      <c r="I102" s="408"/>
      <c r="J102" s="409"/>
      <c r="K102" s="409"/>
      <c r="L102" s="409"/>
      <c r="M102" s="409"/>
      <c r="N102" s="409"/>
      <c r="O102" s="409"/>
      <c r="P102" s="410"/>
      <c r="Q102" s="624"/>
      <c r="R102" s="625"/>
    </row>
    <row r="103" spans="1:18" ht="18" customHeight="1">
      <c r="A103" s="37"/>
      <c r="B103" s="404">
        <f>#REF!</f>
      </c>
      <c r="C103" s="233"/>
      <c r="D103" s="405">
        <f>IF(#REF!&lt;&gt;"",#REF!,IF(#REF!&lt;&gt;"",#REF!,""))</f>
      </c>
      <c r="E103" s="405"/>
      <c r="F103" s="405"/>
      <c r="G103" s="405"/>
      <c r="H103" s="405"/>
      <c r="I103" s="405"/>
      <c r="J103" s="252">
        <f>#REF!</f>
      </c>
      <c r="K103" s="252">
        <f>'rincian 2'!S80</f>
      </c>
      <c r="L103" s="252">
        <f>'rincian 2'!U80</f>
      </c>
      <c r="M103" s="252">
        <f>K103+L103</f>
      </c>
      <c r="N103" s="252">
        <f>L103</f>
      </c>
      <c r="O103" s="252">
        <f>J103-M103</f>
      </c>
      <c r="P103" s="78">
        <f>#REF!</f>
      </c>
      <c r="Q103" s="608">
        <f>N103*P103</f>
      </c>
      <c r="R103" s="609"/>
    </row>
    <row r="104" spans="1:18" ht="18" customHeight="1">
      <c r="A104" s="37"/>
      <c r="B104" s="175">
        <f>#REF!</f>
      </c>
      <c r="C104" s="233"/>
      <c r="D104" s="176">
        <f>IF(#REF!&lt;&gt;"",#REF!,IF(#REF!&lt;&gt;"",#REF!,""))</f>
      </c>
      <c r="E104" s="176"/>
      <c r="F104" s="176"/>
      <c r="G104" s="176"/>
      <c r="H104" s="176"/>
      <c r="I104" s="176"/>
      <c r="J104" s="252">
        <f>#REF!</f>
      </c>
      <c r="K104" s="252">
        <f ca="1">'rincian 2'!S81</f>
      </c>
      <c r="L104" s="252">
        <f>'rincian 2'!U81</f>
      </c>
      <c r="M104" s="252">
        <f ca="1">K104+L104</f>
      </c>
      <c r="N104" s="252">
        <f>L104</f>
      </c>
      <c r="O104" s="252">
        <f ca="1">J104-M104</f>
      </c>
      <c r="P104" s="78">
        <f>#REF!</f>
      </c>
      <c r="Q104" s="608">
        <f>N104*P104</f>
      </c>
      <c r="R104" s="609"/>
    </row>
    <row r="105" spans="1:18" ht="18" customHeight="1">
      <c r="A105" s="37"/>
      <c r="B105" s="175">
        <f>#REF!</f>
      </c>
      <c r="C105" s="233"/>
      <c r="D105" s="176">
        <f>IF(#REF!&lt;&gt;"",#REF!,IF(#REF!&lt;&gt;"",#REF!,""))</f>
      </c>
      <c r="E105" s="176"/>
      <c r="F105" s="176"/>
      <c r="G105" s="176"/>
      <c r="H105" s="176"/>
      <c r="I105" s="176"/>
      <c r="J105" s="252">
        <f>#REF!</f>
      </c>
      <c r="K105" s="252">
        <f ca="1">'rincian 2'!S82</f>
      </c>
      <c r="L105" s="252">
        <f>'rincian 2'!U82</f>
      </c>
      <c r="M105" s="252">
        <f ca="1">K105+L105</f>
      </c>
      <c r="N105" s="252">
        <f>L105</f>
      </c>
      <c r="O105" s="252">
        <f ca="1">J105-M105</f>
      </c>
      <c r="P105" s="78">
        <f>#REF!</f>
      </c>
      <c r="Q105" s="608">
        <f>N105*P105</f>
      </c>
      <c r="R105" s="609"/>
    </row>
    <row r="106" spans="1:18" ht="18" customHeight="1">
      <c r="A106" s="37"/>
      <c r="B106" s="404">
        <f>#REF!</f>
      </c>
      <c r="C106" s="233"/>
      <c r="D106" s="405">
        <f>IF(#REF!&lt;&gt;"",#REF!,IF(#REF!&lt;&gt;"",#REF!,""))</f>
      </c>
      <c r="E106" s="405"/>
      <c r="F106" s="405"/>
      <c r="G106" s="405"/>
      <c r="H106" s="405"/>
      <c r="I106" s="405"/>
      <c r="J106" s="252"/>
      <c r="K106" s="252"/>
      <c r="L106" s="252"/>
      <c r="M106" s="252"/>
      <c r="N106" s="252"/>
      <c r="O106" s="252"/>
      <c r="P106" s="78"/>
      <c r="Q106" s="608"/>
      <c r="R106" s="609"/>
    </row>
    <row r="107" spans="1:18" ht="18" customHeight="1">
      <c r="A107" s="37"/>
      <c r="B107" s="175">
        <f>#REF!</f>
      </c>
      <c r="C107" s="233"/>
      <c r="D107" s="176">
        <f>IF(#REF!&lt;&gt;"",#REF!,IF(#REF!&lt;&gt;"",#REF!,""))</f>
      </c>
      <c r="E107" s="176"/>
      <c r="F107" s="176"/>
      <c r="G107" s="176"/>
      <c r="H107" s="176"/>
      <c r="I107" s="176"/>
      <c r="J107" s="252">
        <f>#REF!</f>
      </c>
      <c r="K107" s="252">
        <f ca="1">'rincian 2'!S84</f>
      </c>
      <c r="L107" s="252">
        <f>'rincian 2'!U84</f>
      </c>
      <c r="M107" s="252">
        <f ca="1">K107+L107</f>
      </c>
      <c r="N107" s="252">
        <f>L107</f>
      </c>
      <c r="O107" s="252">
        <f ca="1">J107-M107</f>
      </c>
      <c r="P107" s="78">
        <f>#REF!</f>
      </c>
      <c r="Q107" s="608">
        <f>N107*P107</f>
      </c>
      <c r="R107" s="609"/>
    </row>
    <row r="108" spans="1:18" ht="18" customHeight="1">
      <c r="A108" s="37"/>
      <c r="B108" s="175">
        <f>#REF!</f>
      </c>
      <c r="C108" s="233"/>
      <c r="D108" s="176">
        <f>IF(#REF!&lt;&gt;"",#REF!,IF(#REF!&lt;&gt;"",#REF!,""))</f>
      </c>
      <c r="E108" s="176"/>
      <c r="F108" s="176"/>
      <c r="G108" s="176"/>
      <c r="H108" s="176"/>
      <c r="I108" s="176"/>
      <c r="J108" s="252">
        <f>#REF!</f>
      </c>
      <c r="K108" s="252">
        <f ca="1">'rincian 2'!S85</f>
      </c>
      <c r="L108" s="252">
        <f>'rincian 2'!U85</f>
      </c>
      <c r="M108" s="252">
        <f ca="1">K108+L108</f>
      </c>
      <c r="N108" s="252">
        <f>L108</f>
      </c>
      <c r="O108" s="252">
        <f ca="1">J108-M108</f>
      </c>
      <c r="P108" s="78">
        <f>#REF!</f>
      </c>
      <c r="Q108" s="608">
        <f>N108*P108</f>
      </c>
      <c r="R108" s="609"/>
    </row>
    <row r="109" spans="1:18" ht="18" customHeight="1">
      <c r="A109" s="37"/>
      <c r="B109" s="175">
        <f>#REF!</f>
      </c>
      <c r="C109" s="233"/>
      <c r="D109" s="176">
        <f>IF(#REF!&lt;&gt;"",#REF!,IF(#REF!&lt;&gt;"",#REF!,""))</f>
      </c>
      <c r="E109" s="176"/>
      <c r="F109" s="176"/>
      <c r="G109" s="176"/>
      <c r="H109" s="176"/>
      <c r="I109" s="176"/>
      <c r="J109" s="252">
        <f>#REF!</f>
      </c>
      <c r="K109" s="252">
        <f ca="1">'rincian 2'!S86</f>
      </c>
      <c r="L109" s="252">
        <f>'rincian 2'!U86</f>
      </c>
      <c r="M109" s="252">
        <f ca="1">K109+L109</f>
      </c>
      <c r="N109" s="252">
        <f>L109</f>
      </c>
      <c r="O109" s="252">
        <f ca="1">J109-M109</f>
      </c>
      <c r="P109" s="78">
        <f>#REF!</f>
      </c>
      <c r="Q109" s="608">
        <f>N109*P109</f>
      </c>
      <c r="R109" s="609"/>
    </row>
    <row r="110" spans="1:18" ht="18" customHeight="1">
      <c r="A110" s="37"/>
      <c r="B110" s="404">
        <f>#REF!</f>
      </c>
      <c r="C110" s="233"/>
      <c r="D110" s="405">
        <f>IF(#REF!&lt;&gt;"",#REF!,IF(#REF!&lt;&gt;"",#REF!,""))</f>
      </c>
      <c r="E110" s="405"/>
      <c r="F110" s="405"/>
      <c r="G110" s="405"/>
      <c r="H110" s="405"/>
      <c r="I110" s="405"/>
      <c r="J110" s="252"/>
      <c r="K110" s="252"/>
      <c r="L110" s="252"/>
      <c r="M110" s="252"/>
      <c r="N110" s="252"/>
      <c r="O110" s="252"/>
      <c r="P110" s="78"/>
      <c r="Q110" s="608"/>
      <c r="R110" s="609"/>
    </row>
    <row r="111" spans="1:18" ht="18" customHeight="1">
      <c r="A111" s="37"/>
      <c r="B111" s="175">
        <f>#REF!</f>
      </c>
      <c r="C111" s="233"/>
      <c r="D111" s="176">
        <f>IF(#REF!&lt;&gt;"",#REF!,IF(#REF!&lt;&gt;"",#REF!,""))</f>
      </c>
      <c r="E111" s="176"/>
      <c r="F111" s="176"/>
      <c r="G111" s="176"/>
      <c r="H111" s="176"/>
      <c r="I111" s="176"/>
      <c r="J111" s="252">
        <f>#REF!</f>
      </c>
      <c r="K111" s="252">
        <f ca="1">'rincian 2'!S88</f>
      </c>
      <c r="L111" s="252">
        <f>'rincian 2'!U88</f>
      </c>
      <c r="M111" s="252">
        <f ca="1">K111+L111</f>
      </c>
      <c r="N111" s="252">
        <f>L111</f>
      </c>
      <c r="O111" s="252">
        <f ca="1">J111-M111</f>
      </c>
      <c r="P111" s="78">
        <f>#REF!</f>
      </c>
      <c r="Q111" s="608">
        <f>N111*P111</f>
      </c>
      <c r="R111" s="609"/>
    </row>
    <row r="112" spans="1:18" ht="18" customHeight="1">
      <c r="A112" s="37"/>
      <c r="B112" s="175">
        <f>#REF!</f>
      </c>
      <c r="C112" s="233"/>
      <c r="D112" s="176">
        <f>IF(#REF!&lt;&gt;"",#REF!,IF(#REF!&lt;&gt;"",#REF!,""))</f>
      </c>
      <c r="E112" s="176"/>
      <c r="F112" s="176"/>
      <c r="G112" s="176"/>
      <c r="H112" s="176"/>
      <c r="I112" s="176"/>
      <c r="J112" s="252">
        <f>#REF!</f>
      </c>
      <c r="K112" s="252">
        <f ca="1">'rincian 2'!S89</f>
      </c>
      <c r="L112" s="252">
        <f>'rincian 2'!U89</f>
      </c>
      <c r="M112" s="252">
        <f ca="1">K112+L112</f>
      </c>
      <c r="N112" s="252">
        <f>L112</f>
      </c>
      <c r="O112" s="252">
        <f ca="1">J112-M112</f>
      </c>
      <c r="P112" s="78">
        <f>#REF!</f>
      </c>
      <c r="Q112" s="608">
        <f>N112*P112</f>
      </c>
      <c r="R112" s="609"/>
    </row>
    <row r="113" spans="1:18" ht="18" customHeight="1">
      <c r="A113" s="37"/>
      <c r="B113" s="175">
        <f>#REF!</f>
      </c>
      <c r="C113" s="233"/>
      <c r="D113" s="176">
        <f>IF(#REF!&lt;&gt;"",#REF!,IF(#REF!&lt;&gt;"",#REF!,""))</f>
      </c>
      <c r="E113" s="176"/>
      <c r="F113" s="176"/>
      <c r="G113" s="176"/>
      <c r="H113" s="176"/>
      <c r="I113" s="176"/>
      <c r="J113" s="252">
        <f>#REF!</f>
      </c>
      <c r="K113" s="252">
        <f ca="1">'rincian 2'!S90</f>
      </c>
      <c r="L113" s="252">
        <f>'rincian 2'!U90</f>
      </c>
      <c r="M113" s="252">
        <f ca="1">K113+L113</f>
      </c>
      <c r="N113" s="252">
        <f>L113</f>
      </c>
      <c r="O113" s="252">
        <f ca="1">J113-M113</f>
      </c>
      <c r="P113" s="78">
        <f>#REF!</f>
      </c>
      <c r="Q113" s="608">
        <f>N113*P113</f>
      </c>
      <c r="R113" s="609"/>
    </row>
    <row r="114" spans="1:18" ht="18" customHeight="1">
      <c r="A114" s="37"/>
      <c r="B114" s="175">
        <f>#REF!</f>
      </c>
      <c r="C114" s="233"/>
      <c r="D114" s="176">
        <f>IF(#REF!&lt;&gt;"",#REF!,IF(#REF!&lt;&gt;"",#REF!,""))</f>
      </c>
      <c r="E114" s="176"/>
      <c r="F114" s="176"/>
      <c r="G114" s="176"/>
      <c r="H114" s="176"/>
      <c r="I114" s="176"/>
      <c r="J114" s="252">
        <f>#REF!</f>
      </c>
      <c r="K114" s="252">
        <f ca="1">'rincian 2'!S91</f>
      </c>
      <c r="L114" s="252">
        <f>'rincian 2'!U91</f>
      </c>
      <c r="M114" s="252">
        <f ca="1">K114+L114</f>
      </c>
      <c r="N114" s="252">
        <f>L114</f>
      </c>
      <c r="O114" s="252">
        <f ca="1">J114-M114</f>
      </c>
      <c r="P114" s="78">
        <f>#REF!</f>
      </c>
      <c r="Q114" s="608">
        <f>N114*P114</f>
      </c>
      <c r="R114" s="609"/>
    </row>
    <row r="115" spans="1:18" ht="18" customHeight="1">
      <c r="A115" s="37"/>
      <c r="B115" s="404">
        <f>#REF!</f>
      </c>
      <c r="C115" s="233"/>
      <c r="D115" s="405">
        <f>IF(#REF!&lt;&gt;"",#REF!,IF(#REF!&lt;&gt;"",#REF!,""))</f>
      </c>
      <c r="E115" s="405"/>
      <c r="F115" s="405"/>
      <c r="G115" s="405"/>
      <c r="H115" s="405"/>
      <c r="I115" s="405"/>
      <c r="J115" s="252"/>
      <c r="K115" s="252"/>
      <c r="L115" s="252"/>
      <c r="M115" s="252"/>
      <c r="N115" s="252"/>
      <c r="O115" s="252"/>
      <c r="P115" s="78"/>
      <c r="Q115" s="608"/>
      <c r="R115" s="609"/>
    </row>
    <row r="116" spans="1:18" ht="18" customHeight="1">
      <c r="A116" s="37"/>
      <c r="B116" s="175">
        <f>#REF!</f>
      </c>
      <c r="C116" s="233"/>
      <c r="D116" s="176">
        <f>IF(#REF!&lt;&gt;"",#REF!,IF(#REF!&lt;&gt;"",#REF!,""))</f>
      </c>
      <c r="E116" s="176"/>
      <c r="F116" s="176"/>
      <c r="G116" s="176"/>
      <c r="H116" s="176"/>
      <c r="I116" s="176"/>
      <c r="J116" s="252">
        <f>#REF!</f>
      </c>
      <c r="K116" s="252">
        <f ca="1">'rincian 2'!S93</f>
      </c>
      <c r="L116" s="252">
        <f>'rincian 2'!U93</f>
      </c>
      <c r="M116" s="252">
        <f t="shared" ref="M116:M121" ca="1" si="12">K116+L116</f>
      </c>
      <c r="N116" s="252">
        <f t="shared" ref="N116:N121" si="13">L116</f>
      </c>
      <c r="O116" s="252">
        <f t="shared" ref="O116:O121" ca="1" si="14">J116-M116</f>
      </c>
      <c r="P116" s="78">
        <f>#REF!</f>
      </c>
      <c r="Q116" s="608">
        <f t="shared" ref="Q116:Q121" si="15">N116*P116</f>
      </c>
      <c r="R116" s="609"/>
    </row>
    <row r="117" spans="1:18" ht="18" customHeight="1">
      <c r="A117" s="37"/>
      <c r="B117" s="404">
        <f>#REF!</f>
      </c>
      <c r="C117" s="233"/>
      <c r="D117" s="405">
        <f>IF(#REF!&lt;&gt;"",#REF!,IF(#REF!&lt;&gt;"",#REF!,""))</f>
      </c>
      <c r="E117" s="405"/>
      <c r="F117" s="405"/>
      <c r="G117" s="405"/>
      <c r="H117" s="405"/>
      <c r="I117" s="405"/>
      <c r="J117" s="252">
        <f>#REF!</f>
      </c>
      <c r="K117" s="252">
        <f>'rincian 2'!S94</f>
      </c>
      <c r="L117" s="252">
        <f>'rincian 2'!U94</f>
      </c>
      <c r="M117" s="252">
        <f t="shared" si="12"/>
      </c>
      <c r="N117" s="252">
        <f t="shared" si="13"/>
      </c>
      <c r="O117" s="252">
        <f t="shared" si="14"/>
      </c>
      <c r="P117" s="78">
        <f>#REF!</f>
      </c>
      <c r="Q117" s="608">
        <f t="shared" si="15"/>
      </c>
      <c r="R117" s="609"/>
    </row>
    <row r="118" spans="1:18" ht="18" customHeight="1">
      <c r="A118" s="37"/>
      <c r="B118" s="175">
        <f>#REF!</f>
      </c>
      <c r="C118" s="233"/>
      <c r="D118" s="176">
        <f>IF(#REF!&lt;&gt;"",#REF!,IF(#REF!&lt;&gt;"",#REF!,""))</f>
      </c>
      <c r="E118" s="176"/>
      <c r="F118" s="176"/>
      <c r="G118" s="176"/>
      <c r="H118" s="176"/>
      <c r="I118" s="176"/>
      <c r="J118" s="252">
        <f>#REF!</f>
      </c>
      <c r="K118" s="252">
        <f ca="1">'rincian 2'!S95</f>
      </c>
      <c r="L118" s="252">
        <f>'rincian 2'!U95</f>
      </c>
      <c r="M118" s="252">
        <f t="shared" ca="1" si="12"/>
      </c>
      <c r="N118" s="252">
        <f t="shared" si="13"/>
      </c>
      <c r="O118" s="252">
        <f t="shared" ca="1" si="14"/>
      </c>
      <c r="P118" s="78">
        <f>#REF!</f>
      </c>
      <c r="Q118" s="608">
        <f t="shared" si="15"/>
      </c>
      <c r="R118" s="609"/>
    </row>
    <row r="119" spans="1:18" ht="18" customHeight="1">
      <c r="A119" s="37"/>
      <c r="B119" s="175">
        <f>#REF!</f>
      </c>
      <c r="C119" s="233"/>
      <c r="D119" s="176">
        <f>IF(#REF!&lt;&gt;"",#REF!,IF(#REF!&lt;&gt;"",#REF!,""))</f>
      </c>
      <c r="E119" s="176"/>
      <c r="F119" s="176"/>
      <c r="G119" s="176"/>
      <c r="H119" s="176"/>
      <c r="I119" s="176"/>
      <c r="J119" s="252">
        <f>#REF!</f>
      </c>
      <c r="K119" s="252">
        <f ca="1">'rincian 2'!S96</f>
      </c>
      <c r="L119" s="252">
        <f>'rincian 2'!U96</f>
      </c>
      <c r="M119" s="252">
        <f t="shared" ca="1" si="12"/>
      </c>
      <c r="N119" s="252">
        <f t="shared" si="13"/>
      </c>
      <c r="O119" s="252">
        <f t="shared" ca="1" si="14"/>
      </c>
      <c r="P119" s="78">
        <f>#REF!</f>
      </c>
      <c r="Q119" s="608">
        <f t="shared" si="15"/>
      </c>
      <c r="R119" s="609"/>
    </row>
    <row r="120" spans="1:18" ht="18" customHeight="1">
      <c r="A120" s="37"/>
      <c r="B120" s="175">
        <f>#REF!</f>
      </c>
      <c r="C120" s="233"/>
      <c r="D120" s="176">
        <f>IF(#REF!&lt;&gt;"",#REF!,IF(#REF!&lt;&gt;"",#REF!,""))</f>
      </c>
      <c r="E120" s="176"/>
      <c r="F120" s="176"/>
      <c r="G120" s="176"/>
      <c r="H120" s="176"/>
      <c r="I120" s="176"/>
      <c r="J120" s="252">
        <f>#REF!</f>
      </c>
      <c r="K120" s="252">
        <f ca="1">'rincian 2'!S97</f>
      </c>
      <c r="L120" s="252">
        <f>'rincian 2'!U97</f>
      </c>
      <c r="M120" s="252">
        <f t="shared" ca="1" si="12"/>
      </c>
      <c r="N120" s="252">
        <f t="shared" si="13"/>
      </c>
      <c r="O120" s="252">
        <f t="shared" ca="1" si="14"/>
      </c>
      <c r="P120" s="78">
        <f>#REF!</f>
      </c>
      <c r="Q120" s="608">
        <f t="shared" si="15"/>
      </c>
      <c r="R120" s="609"/>
    </row>
    <row r="121" spans="1:18" ht="18" customHeight="1">
      <c r="A121" s="37"/>
      <c r="B121" s="175">
        <f>#REF!</f>
      </c>
      <c r="C121" s="233"/>
      <c r="D121" s="176">
        <f>IF(#REF!&lt;&gt;"",#REF!,IF(#REF!&lt;&gt;"",#REF!,""))</f>
      </c>
      <c r="E121" s="176"/>
      <c r="F121" s="176"/>
      <c r="G121" s="176"/>
      <c r="H121" s="176"/>
      <c r="I121" s="176"/>
      <c r="J121" s="252">
        <f>#REF!</f>
      </c>
      <c r="K121" s="252">
        <f ca="1">'rincian 2'!S98</f>
      </c>
      <c r="L121" s="252">
        <f>'rincian 2'!U98</f>
      </c>
      <c r="M121" s="252">
        <f t="shared" ca="1" si="12"/>
      </c>
      <c r="N121" s="252">
        <f t="shared" si="13"/>
      </c>
      <c r="O121" s="252">
        <f t="shared" ca="1" si="14"/>
      </c>
      <c r="P121" s="78">
        <f>#REF!</f>
      </c>
      <c r="Q121" s="608">
        <f t="shared" si="15"/>
      </c>
      <c r="R121" s="609"/>
    </row>
    <row r="122" spans="1:18" ht="18" customHeight="1">
      <c r="A122" s="37"/>
      <c r="B122" s="404">
        <f>#REF!</f>
      </c>
      <c r="C122" s="233"/>
      <c r="D122" s="405">
        <f>IF(#REF!&lt;&gt;"",#REF!,IF(#REF!&lt;&gt;"",#REF!,""))</f>
      </c>
      <c r="E122" s="405"/>
      <c r="F122" s="405"/>
      <c r="G122" s="405"/>
      <c r="H122" s="405"/>
      <c r="I122" s="405"/>
      <c r="J122" s="252"/>
      <c r="K122" s="252"/>
      <c r="L122" s="252"/>
      <c r="M122" s="252"/>
      <c r="N122" s="252"/>
      <c r="O122" s="252"/>
      <c r="P122" s="78"/>
      <c r="Q122" s="624"/>
      <c r="R122" s="625"/>
    </row>
    <row r="123" spans="1:18" ht="18" customHeight="1">
      <c r="A123" s="37"/>
      <c r="B123" s="175">
        <f>#REF!</f>
      </c>
      <c r="C123" s="233"/>
      <c r="D123" s="176">
        <f>IF(#REF!&lt;&gt;"",#REF!,IF(#REF!&lt;&gt;"",#REF!,""))</f>
      </c>
      <c r="E123" s="176"/>
      <c r="F123" s="176"/>
      <c r="G123" s="176"/>
      <c r="H123" s="176"/>
      <c r="I123" s="176"/>
      <c r="J123" s="252"/>
      <c r="K123" s="252"/>
      <c r="L123" s="252"/>
      <c r="M123" s="252"/>
      <c r="N123" s="252"/>
      <c r="O123" s="252"/>
      <c r="P123" s="78"/>
      <c r="Q123" s="624"/>
      <c r="R123" s="625"/>
    </row>
    <row r="124" spans="1:18" ht="36" customHeight="1">
      <c r="A124" s="37"/>
      <c r="B124" s="175">
        <f>#REF!</f>
      </c>
      <c r="C124" s="233"/>
      <c r="D124" s="653">
        <f>IF(#REF!&lt;&gt;"",#REF!,IF(#REF!&lt;&gt;"",#REF!,""))</f>
      </c>
      <c r="E124" s="653"/>
      <c r="F124" s="653"/>
      <c r="G124" s="653"/>
      <c r="H124" s="653"/>
      <c r="I124" s="654"/>
      <c r="J124" s="252">
        <f>#REF!</f>
      </c>
      <c r="K124" s="252">
        <f ca="1">'rincian 2'!S101</f>
      </c>
      <c r="L124" s="252">
        <f>'rincian 2'!U101</f>
      </c>
      <c r="M124" s="252">
        <f ca="1">K124+L124</f>
      </c>
      <c r="N124" s="252">
        <f>L124</f>
      </c>
      <c r="O124" s="252">
        <f ca="1">J124-M124</f>
      </c>
      <c r="P124" s="78">
        <f>#REF!</f>
      </c>
      <c r="Q124" s="608">
        <f>N124*P124</f>
      </c>
      <c r="R124" s="609"/>
    </row>
    <row r="125" spans="1:18" ht="18" customHeight="1">
      <c r="A125" s="37"/>
      <c r="B125" s="175">
        <f>#REF!</f>
      </c>
      <c r="C125" s="233"/>
      <c r="D125" s="176">
        <f>IF(#REF!&lt;&gt;"",#REF!,IF(#REF!&lt;&gt;"",#REF!,""))</f>
      </c>
      <c r="E125" s="176"/>
      <c r="F125" s="176"/>
      <c r="G125" s="176"/>
      <c r="H125" s="176"/>
      <c r="I125" s="176"/>
      <c r="J125" s="252">
        <f>#REF!</f>
      </c>
      <c r="K125" s="252">
        <f ca="1">'rincian 2'!S102</f>
      </c>
      <c r="L125" s="252">
        <f>'rincian 2'!U102</f>
      </c>
      <c r="M125" s="252">
        <f ca="1">K125+L125</f>
      </c>
      <c r="N125" s="252">
        <f>L125</f>
      </c>
      <c r="O125" s="252">
        <f ca="1">J125-M125</f>
      </c>
      <c r="P125" s="78">
        <f>#REF!</f>
      </c>
      <c r="Q125" s="608">
        <f>N125*P125</f>
      </c>
      <c r="R125" s="609"/>
    </row>
    <row r="126" spans="1:18" ht="18" customHeight="1">
      <c r="A126" s="37"/>
      <c r="B126" s="175">
        <f>#REF!</f>
      </c>
      <c r="C126" s="233"/>
      <c r="D126" s="176">
        <f>IF(#REF!&lt;&gt;"",#REF!,IF(#REF!&lt;&gt;"",#REF!,""))</f>
      </c>
      <c r="E126" s="176"/>
      <c r="F126" s="176"/>
      <c r="G126" s="176"/>
      <c r="H126" s="176"/>
      <c r="I126" s="176"/>
      <c r="J126" s="252">
        <f>#REF!</f>
      </c>
      <c r="K126" s="252">
        <f ca="1">'rincian 2'!S103</f>
      </c>
      <c r="L126" s="252">
        <f>'rincian 2'!U103</f>
      </c>
      <c r="M126" s="252">
        <f ca="1">K126+L126</f>
      </c>
      <c r="N126" s="252">
        <f>L126</f>
      </c>
      <c r="O126" s="252">
        <f ca="1">J126-M126</f>
      </c>
      <c r="P126" s="78">
        <f>#REF!</f>
      </c>
      <c r="Q126" s="608">
        <f>N126*P126</f>
      </c>
      <c r="R126" s="609"/>
    </row>
    <row r="127" spans="1:18" ht="18" customHeight="1">
      <c r="A127" s="37"/>
      <c r="B127" s="175">
        <f>#REF!</f>
      </c>
      <c r="C127" s="233"/>
      <c r="D127" s="176">
        <f>IF(#REF!&lt;&gt;"",#REF!,IF(#REF!&lt;&gt;"",#REF!,""))</f>
      </c>
      <c r="E127" s="176"/>
      <c r="F127" s="176"/>
      <c r="G127" s="176"/>
      <c r="H127" s="176"/>
      <c r="I127" s="176"/>
      <c r="J127" s="252"/>
      <c r="K127" s="252"/>
      <c r="L127" s="252"/>
      <c r="M127" s="252"/>
      <c r="N127" s="252"/>
      <c r="O127" s="252"/>
      <c r="P127" s="78"/>
      <c r="Q127" s="624"/>
      <c r="R127" s="625"/>
    </row>
    <row r="128" spans="1:18" ht="18" customHeight="1">
      <c r="A128" s="37"/>
      <c r="B128" s="175">
        <f>#REF!</f>
      </c>
      <c r="C128" s="233"/>
      <c r="D128" s="176">
        <f>IF(#REF!&lt;&gt;"",#REF!,IF(#REF!&lt;&gt;"",#REF!,""))</f>
      </c>
      <c r="E128" s="176"/>
      <c r="F128" s="176"/>
      <c r="G128" s="176"/>
      <c r="H128" s="176"/>
      <c r="I128" s="176"/>
      <c r="J128" s="252">
        <f>#REF!</f>
      </c>
      <c r="K128" s="252">
        <f ca="1">'rincian 2'!S105</f>
      </c>
      <c r="L128" s="252">
        <f>'rincian 2'!U105</f>
      </c>
      <c r="M128" s="252">
        <f ca="1">K128+L128</f>
      </c>
      <c r="N128" s="252">
        <f>L128</f>
      </c>
      <c r="O128" s="252">
        <f ca="1">J128-M128</f>
      </c>
      <c r="P128" s="78">
        <f>#REF!</f>
      </c>
      <c r="Q128" s="608">
        <f>N128*P128</f>
      </c>
      <c r="R128" s="609"/>
    </row>
    <row r="129" spans="1:18" ht="18" customHeight="1">
      <c r="A129" s="37"/>
      <c r="B129" s="175">
        <f>#REF!</f>
      </c>
      <c r="C129" s="233"/>
      <c r="D129" s="176">
        <f>IF(#REF!&lt;&gt;"",#REF!,IF(#REF!&lt;&gt;"",#REF!,""))</f>
      </c>
      <c r="E129" s="176"/>
      <c r="F129" s="176"/>
      <c r="G129" s="176"/>
      <c r="H129" s="176"/>
      <c r="I129" s="176"/>
      <c r="J129" s="252">
        <f>#REF!</f>
      </c>
      <c r="K129" s="252">
        <f ca="1">'rincian 2'!S106</f>
      </c>
      <c r="L129" s="252">
        <f>'rincian 2'!U106</f>
      </c>
      <c r="M129" s="252">
        <f ca="1">K129+L129</f>
      </c>
      <c r="N129" s="252">
        <f>L129</f>
      </c>
      <c r="O129" s="252">
        <f ca="1">J129-M129</f>
      </c>
      <c r="P129" s="78">
        <f>#REF!</f>
      </c>
      <c r="Q129" s="608">
        <f>N129*P129</f>
      </c>
      <c r="R129" s="609"/>
    </row>
    <row r="130" spans="1:18" ht="18" customHeight="1">
      <c r="A130" s="37"/>
      <c r="B130" s="404">
        <f>#REF!</f>
      </c>
      <c r="C130" s="233"/>
      <c r="D130" s="405">
        <f>IF(#REF!&lt;&gt;"",#REF!,IF(#REF!&lt;&gt;"",#REF!,""))</f>
      </c>
      <c r="E130" s="405"/>
      <c r="F130" s="405"/>
      <c r="G130" s="405"/>
      <c r="H130" s="405"/>
      <c r="I130" s="405"/>
      <c r="J130" s="252"/>
      <c r="K130" s="252"/>
      <c r="L130" s="252"/>
      <c r="M130" s="252"/>
      <c r="N130" s="252"/>
      <c r="O130" s="252"/>
      <c r="P130" s="78"/>
      <c r="Q130" s="624"/>
      <c r="R130" s="625"/>
    </row>
    <row r="131" spans="1:18" ht="18" customHeight="1">
      <c r="A131" s="37"/>
      <c r="B131" s="175">
        <f>#REF!</f>
      </c>
      <c r="C131" s="233"/>
      <c r="D131" s="176">
        <f>IF(#REF!&lt;&gt;"",#REF!,IF(#REF!&lt;&gt;"",#REF!,""))</f>
      </c>
      <c r="E131" s="176"/>
      <c r="F131" s="176"/>
      <c r="G131" s="176"/>
      <c r="H131" s="176"/>
      <c r="I131" s="176"/>
      <c r="J131" s="252">
        <f>#REF!</f>
      </c>
      <c r="K131" s="252">
        <f ca="1">'rincian 2'!S108</f>
      </c>
      <c r="L131" s="252">
        <f>'rincian 2'!U108</f>
      </c>
      <c r="M131" s="252">
        <f ca="1">K131+L131</f>
      </c>
      <c r="N131" s="252">
        <f>L131</f>
      </c>
      <c r="O131" s="252">
        <f ca="1">J131-M131</f>
      </c>
      <c r="P131" s="78">
        <f>#REF!</f>
      </c>
      <c r="Q131" s="608">
        <f>N131*P131</f>
      </c>
      <c r="R131" s="609"/>
    </row>
    <row r="132" spans="1:18" ht="18" customHeight="1">
      <c r="A132" s="37"/>
      <c r="B132" s="175">
        <f>#REF!</f>
      </c>
      <c r="C132" s="233"/>
      <c r="D132" s="176">
        <f>IF(#REF!&lt;&gt;"",#REF!,IF(#REF!&lt;&gt;"",#REF!,""))</f>
      </c>
      <c r="E132" s="176"/>
      <c r="F132" s="176"/>
      <c r="G132" s="176"/>
      <c r="H132" s="176"/>
      <c r="I132" s="176"/>
      <c r="J132" s="252">
        <f>#REF!</f>
      </c>
      <c r="K132" s="252">
        <f ca="1">'rincian 2'!S109</f>
      </c>
      <c r="L132" s="252">
        <f>'rincian 2'!U109</f>
      </c>
      <c r="M132" s="252">
        <f ca="1">K132+L132</f>
      </c>
      <c r="N132" s="252">
        <f>L132</f>
      </c>
      <c r="O132" s="252">
        <f ca="1">J132-M132</f>
      </c>
      <c r="P132" s="78">
        <f>#REF!</f>
      </c>
      <c r="Q132" s="608">
        <f>N132*P132</f>
      </c>
      <c r="R132" s="609"/>
    </row>
    <row r="133" spans="1:18" ht="18" customHeight="1">
      <c r="A133" s="37"/>
      <c r="B133" s="404">
        <f>#REF!</f>
      </c>
      <c r="C133" s="233"/>
      <c r="D133" s="405">
        <f>IF(#REF!&lt;&gt;"",#REF!,IF(#REF!&lt;&gt;"",#REF!,""))</f>
      </c>
      <c r="E133" s="405"/>
      <c r="F133" s="405"/>
      <c r="G133" s="405"/>
      <c r="H133" s="405"/>
      <c r="I133" s="405"/>
      <c r="J133" s="252"/>
      <c r="K133" s="252"/>
      <c r="L133" s="252"/>
      <c r="M133" s="252"/>
      <c r="N133" s="252"/>
      <c r="O133" s="252"/>
      <c r="P133" s="78"/>
      <c r="Q133" s="624"/>
      <c r="R133" s="625"/>
    </row>
    <row r="134" spans="1:18" ht="18" customHeight="1">
      <c r="A134" s="37"/>
      <c r="B134" s="175">
        <f>#REF!</f>
      </c>
      <c r="C134" s="233"/>
      <c r="D134" s="176">
        <f>IF(#REF!&lt;&gt;"",#REF!,IF(#REF!&lt;&gt;"",#REF!,""))</f>
      </c>
      <c r="E134" s="176"/>
      <c r="F134" s="176"/>
      <c r="G134" s="176"/>
      <c r="H134" s="176"/>
      <c r="I134" s="176"/>
      <c r="J134" s="252">
        <f>#REF!</f>
      </c>
      <c r="K134" s="252">
        <f ca="1">'rincian 2'!S111</f>
      </c>
      <c r="L134" s="252">
        <f>'rincian 2'!U111</f>
      </c>
      <c r="M134" s="252">
        <f ca="1">K134+L134</f>
      </c>
      <c r="N134" s="252">
        <f>L134</f>
      </c>
      <c r="O134" s="252">
        <f ca="1">J134-M134</f>
      </c>
      <c r="P134" s="78">
        <f>#REF!</f>
      </c>
      <c r="Q134" s="608">
        <f>N134*P134</f>
      </c>
      <c r="R134" s="609"/>
    </row>
    <row r="135" spans="1:18" ht="18" customHeight="1">
      <c r="A135" s="37"/>
      <c r="B135" s="175">
        <f>#REF!</f>
      </c>
      <c r="C135" s="233"/>
      <c r="D135" s="176">
        <f>IF(#REF!&lt;&gt;"",#REF!,IF(#REF!&lt;&gt;"",#REF!,""))</f>
      </c>
      <c r="E135" s="176"/>
      <c r="F135" s="176"/>
      <c r="G135" s="176"/>
      <c r="H135" s="176"/>
      <c r="I135" s="176"/>
      <c r="J135" s="252">
        <f>#REF!</f>
      </c>
      <c r="K135" s="252">
        <f ca="1">'rincian 2'!S112</f>
      </c>
      <c r="L135" s="252">
        <f>'rincian 2'!U112</f>
      </c>
      <c r="M135" s="252">
        <f ca="1">K135+L135</f>
      </c>
      <c r="N135" s="252">
        <f>L135</f>
      </c>
      <c r="O135" s="252">
        <f ca="1">J135-M135</f>
      </c>
      <c r="P135" s="78">
        <f>#REF!</f>
      </c>
      <c r="Q135" s="608">
        <f>N135*P135</f>
      </c>
      <c r="R135" s="609"/>
    </row>
    <row r="136" spans="1:18" ht="18" customHeight="1">
      <c r="A136" s="37"/>
      <c r="B136" s="175">
        <f>#REF!</f>
      </c>
      <c r="C136" s="233"/>
      <c r="D136" s="176">
        <f>IF(#REF!&lt;&gt;"",#REF!,IF(#REF!&lt;&gt;"",#REF!,""))</f>
      </c>
      <c r="E136" s="176"/>
      <c r="F136" s="176"/>
      <c r="G136" s="176"/>
      <c r="H136" s="176"/>
      <c r="I136" s="176"/>
      <c r="J136" s="252">
        <f>#REF!</f>
      </c>
      <c r="K136" s="252">
        <f ca="1">'rincian 2'!S113</f>
      </c>
      <c r="L136" s="252">
        <f>'rincian 2'!U113</f>
      </c>
      <c r="M136" s="252">
        <f ca="1">K136+L136</f>
      </c>
      <c r="N136" s="252">
        <f>L136</f>
      </c>
      <c r="O136" s="252">
        <f ca="1">J136-M136</f>
      </c>
      <c r="P136" s="78">
        <f>#REF!</f>
      </c>
      <c r="Q136" s="608">
        <f>N136*P136</f>
      </c>
      <c r="R136" s="609"/>
    </row>
    <row r="137" spans="1:18" ht="18" customHeight="1">
      <c r="A137" s="37"/>
      <c r="B137" s="175">
        <f>#REF!</f>
      </c>
      <c r="C137" s="233"/>
      <c r="D137" s="176">
        <f>IF(#REF!&lt;&gt;"",#REF!,IF(#REF!&lt;&gt;"",#REF!,""))</f>
      </c>
      <c r="E137" s="176"/>
      <c r="F137" s="176"/>
      <c r="G137" s="176"/>
      <c r="H137" s="176"/>
      <c r="I137" s="176"/>
      <c r="J137" s="252">
        <f>#REF!</f>
      </c>
      <c r="K137" s="252">
        <f ca="1">'rincian 2'!S114</f>
      </c>
      <c r="L137" s="252">
        <f>'rincian 2'!U114</f>
      </c>
      <c r="M137" s="252">
        <f ca="1">K137+L137</f>
      </c>
      <c r="N137" s="252">
        <f>L137</f>
      </c>
      <c r="O137" s="252">
        <f ca="1">J137-M137</f>
      </c>
      <c r="P137" s="78">
        <f>#REF!</f>
      </c>
      <c r="Q137" s="608">
        <f>N137*P137</f>
      </c>
      <c r="R137" s="609"/>
    </row>
    <row r="138" spans="1:18" ht="18" customHeight="1">
      <c r="A138" s="37"/>
      <c r="B138" s="404">
        <f>#REF!</f>
      </c>
      <c r="C138" s="233"/>
      <c r="D138" s="405">
        <f>IF(#REF!&lt;&gt;"",#REF!,IF(#REF!&lt;&gt;"",#REF!,""))</f>
      </c>
      <c r="E138" s="405"/>
      <c r="F138" s="405"/>
      <c r="G138" s="405"/>
      <c r="H138" s="405"/>
      <c r="I138" s="405"/>
      <c r="J138" s="252"/>
      <c r="K138" s="252"/>
      <c r="L138" s="252"/>
      <c r="M138" s="252"/>
      <c r="N138" s="252"/>
      <c r="O138" s="252"/>
      <c r="P138" s="78"/>
      <c r="Q138" s="624"/>
      <c r="R138" s="625"/>
    </row>
    <row r="139" spans="1:18" ht="18" customHeight="1">
      <c r="A139" s="37"/>
      <c r="B139" s="175">
        <f>#REF!</f>
      </c>
      <c r="C139" s="233"/>
      <c r="D139" s="176">
        <f>IF(#REF!&lt;&gt;"",#REF!,IF(#REF!&lt;&gt;"",#REF!,""))</f>
      </c>
      <c r="E139" s="176"/>
      <c r="F139" s="176"/>
      <c r="G139" s="176"/>
      <c r="H139" s="176"/>
      <c r="I139" s="176"/>
      <c r="J139" s="252">
        <f>#REF!</f>
      </c>
      <c r="K139" s="252">
        <f ca="1">'rincian 2'!S116</f>
      </c>
      <c r="L139" s="252">
        <f>'rincian 2'!U116</f>
      </c>
      <c r="M139" s="252">
        <f ca="1">K139+L139</f>
      </c>
      <c r="N139" s="252">
        <f>L139</f>
      </c>
      <c r="O139" s="252">
        <f ca="1">J139-M139</f>
      </c>
      <c r="P139" s="78">
        <f>#REF!</f>
      </c>
      <c r="Q139" s="608">
        <f>N139*P139</f>
      </c>
      <c r="R139" s="609"/>
    </row>
    <row r="140" spans="1:18" ht="18" customHeight="1">
      <c r="A140" s="37"/>
      <c r="B140" s="175">
        <f>#REF!</f>
      </c>
      <c r="C140" s="233"/>
      <c r="D140" s="176">
        <f>IF(#REF!&lt;&gt;"",#REF!,IF(#REF!&lt;&gt;"",#REF!,""))</f>
      </c>
      <c r="E140" s="176"/>
      <c r="F140" s="176"/>
      <c r="G140" s="176"/>
      <c r="H140" s="176"/>
      <c r="I140" s="176"/>
      <c r="J140" s="252">
        <f>#REF!</f>
      </c>
      <c r="K140" s="252">
        <f ca="1">'rincian 2'!S117</f>
      </c>
      <c r="L140" s="252">
        <f>'rincian 2'!U117</f>
      </c>
      <c r="M140" s="252">
        <f ca="1">K140+L140</f>
      </c>
      <c r="N140" s="252">
        <f>L140</f>
      </c>
      <c r="O140" s="252">
        <f ca="1">J140-M140</f>
      </c>
      <c r="P140" s="78">
        <f>#REF!</f>
      </c>
      <c r="Q140" s="608">
        <f>N140*P140</f>
      </c>
      <c r="R140" s="609"/>
    </row>
    <row r="141" spans="1:18" ht="18" customHeight="1">
      <c r="A141" s="37"/>
      <c r="B141" s="404">
        <f>#REF!</f>
      </c>
      <c r="C141" s="233"/>
      <c r="D141" s="405">
        <f>IF(#REF!&lt;&gt;"",#REF!,IF(#REF!&lt;&gt;"",#REF!,""))</f>
      </c>
      <c r="E141" s="405"/>
      <c r="F141" s="405"/>
      <c r="G141" s="405"/>
      <c r="H141" s="405"/>
      <c r="I141" s="405"/>
      <c r="J141" s="252"/>
      <c r="K141" s="252"/>
      <c r="L141" s="252"/>
      <c r="M141" s="252"/>
      <c r="N141" s="252"/>
      <c r="O141" s="252"/>
      <c r="P141" s="78"/>
      <c r="Q141" s="624"/>
      <c r="R141" s="625"/>
    </row>
    <row r="142" spans="1:18" ht="18" customHeight="1">
      <c r="A142" s="37"/>
      <c r="B142" s="175">
        <f>#REF!</f>
      </c>
      <c r="C142" s="233"/>
      <c r="D142" s="176">
        <f>IF(#REF!&lt;&gt;"",#REF!,IF(#REF!&lt;&gt;"",#REF!,""))</f>
      </c>
      <c r="E142" s="176"/>
      <c r="F142" s="176"/>
      <c r="G142" s="176"/>
      <c r="H142" s="176"/>
      <c r="I142" s="176"/>
      <c r="J142" s="252">
        <f>#REF!</f>
      </c>
      <c r="K142" s="252">
        <f ca="1">'rincian 2'!S119</f>
      </c>
      <c r="L142" s="252">
        <f>'rincian 2'!U119</f>
      </c>
      <c r="M142" s="252">
        <f ca="1">K142+L142</f>
      </c>
      <c r="N142" s="252">
        <f>L142</f>
      </c>
      <c r="O142" s="252">
        <f ca="1">J142-M142</f>
      </c>
      <c r="P142" s="78">
        <f>#REF!</f>
      </c>
      <c r="Q142" s="608">
        <f>N142*P142</f>
      </c>
      <c r="R142" s="609"/>
    </row>
    <row r="143" spans="1:18" ht="18" customHeight="1">
      <c r="A143" s="37"/>
      <c r="B143" s="175">
        <f>#REF!</f>
      </c>
      <c r="C143" s="233"/>
      <c r="D143" s="176">
        <f>IF(#REF!&lt;&gt;"",#REF!,IF(#REF!&lt;&gt;"",#REF!,""))</f>
      </c>
      <c r="E143" s="176"/>
      <c r="F143" s="176"/>
      <c r="G143" s="176"/>
      <c r="H143" s="176"/>
      <c r="I143" s="176"/>
      <c r="J143" s="252">
        <f>#REF!</f>
      </c>
      <c r="K143" s="252">
        <f ca="1">'rincian 2'!S120</f>
      </c>
      <c r="L143" s="252">
        <f>'rincian 2'!U120</f>
      </c>
      <c r="M143" s="252">
        <f ca="1">K143+L143</f>
      </c>
      <c r="N143" s="252">
        <f>L143</f>
      </c>
      <c r="O143" s="252">
        <f ca="1">J143-M143</f>
      </c>
      <c r="P143" s="78">
        <f>#REF!</f>
      </c>
      <c r="Q143" s="608">
        <f>N143*P143</f>
      </c>
      <c r="R143" s="609"/>
    </row>
    <row r="144" spans="1:18" ht="18" customHeight="1">
      <c r="A144" s="37"/>
      <c r="B144" s="175">
        <f>#REF!</f>
      </c>
      <c r="C144" s="233"/>
      <c r="D144" s="176">
        <f>IF(#REF!&lt;&gt;"",#REF!,IF(#REF!&lt;&gt;"",#REF!,""))</f>
      </c>
      <c r="E144" s="176"/>
      <c r="F144" s="176"/>
      <c r="G144" s="176"/>
      <c r="H144" s="176"/>
      <c r="I144" s="176"/>
      <c r="J144" s="252">
        <f>#REF!</f>
      </c>
      <c r="K144" s="252">
        <f ca="1">'rincian 2'!S121</f>
      </c>
      <c r="L144" s="252">
        <f>'rincian 2'!U121</f>
      </c>
      <c r="M144" s="252">
        <f ca="1">K144+L144</f>
      </c>
      <c r="N144" s="252">
        <f>L144</f>
      </c>
      <c r="O144" s="252">
        <f ca="1">J144-M144</f>
      </c>
      <c r="P144" s="78">
        <f>#REF!</f>
      </c>
      <c r="Q144" s="608">
        <f>N144*P144</f>
      </c>
      <c r="R144" s="609"/>
    </row>
    <row r="145" spans="1:18" ht="18" customHeight="1">
      <c r="A145" s="37"/>
      <c r="B145" s="175">
        <f>#REF!</f>
      </c>
      <c r="C145" s="233"/>
      <c r="D145" s="176">
        <f>IF(#REF!&lt;&gt;"",#REF!,IF(#REF!&lt;&gt;"",#REF!,""))</f>
      </c>
      <c r="E145" s="176"/>
      <c r="F145" s="176"/>
      <c r="G145" s="176"/>
      <c r="H145" s="176"/>
      <c r="I145" s="176"/>
      <c r="J145" s="252">
        <f>#REF!</f>
      </c>
      <c r="K145" s="252">
        <f ca="1">'rincian 2'!S122</f>
      </c>
      <c r="L145" s="252">
        <f>'rincian 2'!U122</f>
      </c>
      <c r="M145" s="252">
        <f ca="1">K145+L145</f>
      </c>
      <c r="N145" s="252">
        <f>L145</f>
      </c>
      <c r="O145" s="252">
        <f ca="1">J145-M145</f>
      </c>
      <c r="P145" s="78">
        <f>#REF!</f>
      </c>
      <c r="Q145" s="608">
        <f>N145*P145</f>
      </c>
      <c r="R145" s="609"/>
    </row>
    <row r="146" spans="1:18" ht="18" customHeight="1">
      <c r="A146" s="37"/>
      <c r="B146" s="175">
        <f>#REF!</f>
      </c>
      <c r="C146" s="233"/>
      <c r="D146" s="176">
        <f>IF(#REF!&lt;&gt;"",#REF!,IF(#REF!&lt;&gt;"",#REF!,""))</f>
      </c>
      <c r="E146" s="176"/>
      <c r="F146" s="176"/>
      <c r="G146" s="176"/>
      <c r="H146" s="176"/>
      <c r="I146" s="176"/>
      <c r="J146" s="252">
        <f>#REF!</f>
      </c>
      <c r="K146" s="252">
        <f ca="1">'rincian 2'!S123</f>
      </c>
      <c r="L146" s="252">
        <f>'rincian 2'!U123</f>
      </c>
      <c r="M146" s="252">
        <f ca="1">K146+L146</f>
      </c>
      <c r="N146" s="252">
        <f>L146</f>
      </c>
      <c r="O146" s="252">
        <f ca="1">J146-M146</f>
      </c>
      <c r="P146" s="78">
        <f>#REF!</f>
      </c>
      <c r="Q146" s="608">
        <f>N146*P146</f>
      </c>
      <c r="R146" s="609"/>
    </row>
    <row r="147" spans="1:18" ht="18" customHeight="1">
      <c r="A147" s="37"/>
      <c r="B147" s="404">
        <f>#REF!</f>
      </c>
      <c r="C147" s="233"/>
      <c r="D147" s="405">
        <f>IF(#REF!&lt;&gt;"",#REF!,IF(#REF!&lt;&gt;"",#REF!,""))</f>
      </c>
      <c r="E147" s="405"/>
      <c r="F147" s="405"/>
      <c r="G147" s="405"/>
      <c r="H147" s="405"/>
      <c r="I147" s="405"/>
      <c r="J147" s="252"/>
      <c r="K147" s="252"/>
      <c r="L147" s="252"/>
      <c r="M147" s="252"/>
      <c r="N147" s="252"/>
      <c r="O147" s="252"/>
      <c r="P147" s="78"/>
      <c r="Q147" s="624"/>
      <c r="R147" s="625"/>
    </row>
    <row r="148" spans="1:18" ht="18" customHeight="1">
      <c r="A148" s="37"/>
      <c r="B148" s="175">
        <f>#REF!</f>
      </c>
      <c r="C148" s="233"/>
      <c r="D148" s="176">
        <f>IF(#REF!&lt;&gt;"",#REF!,IF(#REF!&lt;&gt;"",#REF!,""))</f>
      </c>
      <c r="E148" s="176"/>
      <c r="F148" s="176"/>
      <c r="G148" s="176"/>
      <c r="H148" s="176"/>
      <c r="I148" s="176"/>
      <c r="J148" s="252">
        <f>#REF!</f>
      </c>
      <c r="K148" s="252">
        <f ca="1">'rincian 2'!S125</f>
      </c>
      <c r="L148" s="252">
        <f>'rincian 2'!U125</f>
      </c>
      <c r="M148" s="252">
        <f ca="1">K148+L148</f>
      </c>
      <c r="N148" s="252">
        <f>L148</f>
      </c>
      <c r="O148" s="252">
        <f ca="1">J148-M148</f>
      </c>
      <c r="P148" s="78">
        <f>#REF!</f>
      </c>
      <c r="Q148" s="608">
        <f>N148*P148</f>
      </c>
      <c r="R148" s="609"/>
    </row>
    <row r="149" spans="1:18" ht="18" customHeight="1">
      <c r="A149" s="37"/>
      <c r="B149" s="175">
        <f>#REF!</f>
      </c>
      <c r="C149" s="233"/>
      <c r="D149" s="176">
        <f>IF(#REF!&lt;&gt;"",#REF!,IF(#REF!&lt;&gt;"",#REF!,""))</f>
      </c>
      <c r="E149" s="176"/>
      <c r="F149" s="176"/>
      <c r="G149" s="176"/>
      <c r="H149" s="176"/>
      <c r="I149" s="176"/>
      <c r="J149" s="252">
        <f>#REF!</f>
      </c>
      <c r="K149" s="252">
        <f ca="1">'rincian 2'!S126</f>
      </c>
      <c r="L149" s="252">
        <f>'rincian 2'!U126</f>
      </c>
      <c r="M149" s="252">
        <f ca="1">K149+L149</f>
      </c>
      <c r="N149" s="252">
        <f>L149</f>
      </c>
      <c r="O149" s="252">
        <f ca="1">J149-M149</f>
      </c>
      <c r="P149" s="78">
        <f>#REF!</f>
      </c>
      <c r="Q149" s="608">
        <f>N149*P149</f>
      </c>
      <c r="R149" s="609"/>
    </row>
    <row r="150" spans="1:18" ht="18" customHeight="1">
      <c r="A150" s="37"/>
      <c r="B150" s="404">
        <f>#REF!</f>
      </c>
      <c r="C150" s="233"/>
      <c r="D150" s="405">
        <f>IF(#REF!&lt;&gt;"",#REF!,IF(#REF!&lt;&gt;"",#REF!,""))</f>
      </c>
      <c r="E150" s="405"/>
      <c r="F150" s="405"/>
      <c r="G150" s="405"/>
      <c r="H150" s="405"/>
      <c r="I150" s="405"/>
      <c r="J150" s="252"/>
      <c r="K150" s="252"/>
      <c r="L150" s="252"/>
      <c r="M150" s="252"/>
      <c r="N150" s="252"/>
      <c r="O150" s="252"/>
      <c r="P150" s="78"/>
      <c r="Q150" s="624"/>
      <c r="R150" s="625"/>
    </row>
    <row r="151" spans="1:18" ht="18" customHeight="1">
      <c r="A151" s="37"/>
      <c r="B151" s="175">
        <f>#REF!</f>
      </c>
      <c r="C151" s="233"/>
      <c r="D151" s="176">
        <f>IF(#REF!&lt;&gt;"",#REF!,IF(#REF!&lt;&gt;"",#REF!,""))</f>
      </c>
      <c r="E151" s="176"/>
      <c r="F151" s="176"/>
      <c r="G151" s="176"/>
      <c r="H151" s="176"/>
      <c r="I151" s="176"/>
      <c r="J151" s="252">
        <f>#REF!</f>
      </c>
      <c r="K151" s="252">
        <f ca="1">'rincian 2'!S128</f>
      </c>
      <c r="L151" s="252">
        <f>'rincian 2'!U128</f>
      </c>
      <c r="M151" s="252">
        <f ca="1">K151+L151</f>
      </c>
      <c r="N151" s="252">
        <f>L151</f>
      </c>
      <c r="O151" s="252">
        <f ca="1">J151-M151</f>
      </c>
      <c r="P151" s="78">
        <f>#REF!</f>
      </c>
      <c r="Q151" s="608">
        <f>N151*P151</f>
      </c>
      <c r="R151" s="609"/>
    </row>
    <row r="152" spans="1:18" ht="18" customHeight="1">
      <c r="A152" s="37"/>
      <c r="B152" s="175">
        <f>#REF!</f>
      </c>
      <c r="C152" s="233"/>
      <c r="D152" s="176">
        <f>IF(#REF!&lt;&gt;"",#REF!,IF(#REF!&lt;&gt;"",#REF!,""))</f>
      </c>
      <c r="E152" s="176"/>
      <c r="F152" s="176"/>
      <c r="G152" s="176"/>
      <c r="H152" s="176"/>
      <c r="I152" s="176"/>
      <c r="J152" s="252">
        <f>#REF!</f>
      </c>
      <c r="K152" s="252">
        <f ca="1">'rincian 2'!S129</f>
      </c>
      <c r="L152" s="252">
        <f>'rincian 2'!U129</f>
      </c>
      <c r="M152" s="252">
        <f ca="1">K152+L152</f>
      </c>
      <c r="N152" s="252">
        <f>L152</f>
      </c>
      <c r="O152" s="252">
        <f ca="1">J152-M152</f>
      </c>
      <c r="P152" s="78">
        <f>#REF!</f>
      </c>
      <c r="Q152" s="608">
        <f>N152*P152</f>
      </c>
      <c r="R152" s="609"/>
    </row>
    <row r="153" spans="1:18" ht="18" customHeight="1">
      <c r="A153" s="37"/>
      <c r="B153" s="175">
        <f>#REF!</f>
      </c>
      <c r="C153" s="233"/>
      <c r="D153" s="176">
        <f>IF(#REF!&lt;&gt;"",#REF!,IF(#REF!&lt;&gt;"",#REF!,""))</f>
      </c>
      <c r="E153" s="176"/>
      <c r="F153" s="176"/>
      <c r="G153" s="176"/>
      <c r="H153" s="176"/>
      <c r="I153" s="176"/>
      <c r="J153" s="252">
        <f>#REF!</f>
      </c>
      <c r="K153" s="252">
        <f ca="1">'rincian 2'!S130</f>
      </c>
      <c r="L153" s="252">
        <f>'rincian 2'!U130</f>
      </c>
      <c r="M153" s="252">
        <f ca="1">K153+L153</f>
      </c>
      <c r="N153" s="252">
        <f>L153</f>
      </c>
      <c r="O153" s="252">
        <f ca="1">J153-M153</f>
      </c>
      <c r="P153" s="78">
        <f>#REF!</f>
      </c>
      <c r="Q153" s="608">
        <f>N153*P153</f>
      </c>
      <c r="R153" s="609"/>
    </row>
    <row r="154" spans="1:18" ht="18" customHeight="1">
      <c r="A154" s="37"/>
      <c r="B154" s="404">
        <f>#REF!</f>
      </c>
      <c r="C154" s="233"/>
      <c r="D154" s="405">
        <f>IF(#REF!&lt;&gt;"",#REF!,IF(#REF!&lt;&gt;"",#REF!,""))</f>
      </c>
      <c r="E154" s="405"/>
      <c r="F154" s="405"/>
      <c r="G154" s="405"/>
      <c r="H154" s="405"/>
      <c r="I154" s="405"/>
      <c r="J154" s="252"/>
      <c r="K154" s="252"/>
      <c r="L154" s="252"/>
      <c r="M154" s="252"/>
      <c r="N154" s="252"/>
      <c r="O154" s="252"/>
      <c r="P154" s="78"/>
      <c r="Q154" s="624"/>
      <c r="R154" s="625"/>
    </row>
    <row r="155" spans="1:18" ht="18" customHeight="1">
      <c r="A155" s="37"/>
      <c r="B155" s="175">
        <f>#REF!</f>
      </c>
      <c r="C155" s="233"/>
      <c r="D155" s="176">
        <f>IF(#REF!&lt;&gt;"",#REF!,IF(#REF!&lt;&gt;"",#REF!,""))</f>
      </c>
      <c r="E155" s="176"/>
      <c r="F155" s="176"/>
      <c r="G155" s="176"/>
      <c r="H155" s="176"/>
      <c r="I155" s="176"/>
      <c r="J155" s="252">
        <f>#REF!</f>
      </c>
      <c r="K155" s="252">
        <f ca="1">'rincian 2'!S132</f>
      </c>
      <c r="L155" s="252">
        <f>'rincian 2'!U132</f>
      </c>
      <c r="M155" s="252">
        <f ca="1">K155+L155</f>
      </c>
      <c r="N155" s="252">
        <f>L155</f>
      </c>
      <c r="O155" s="252">
        <f ca="1">J155-M155</f>
      </c>
      <c r="P155" s="78">
        <f>#REF!</f>
      </c>
      <c r="Q155" s="608">
        <f>N155*P155</f>
      </c>
      <c r="R155" s="609"/>
    </row>
    <row r="156" spans="1:18" ht="18" customHeight="1">
      <c r="A156" s="37"/>
      <c r="B156" s="175">
        <f>#REF!</f>
      </c>
      <c r="C156" s="233"/>
      <c r="D156" s="176">
        <f>IF(#REF!&lt;&gt;"",#REF!,IF(#REF!&lt;&gt;"",#REF!,""))</f>
      </c>
      <c r="E156" s="176"/>
      <c r="F156" s="176"/>
      <c r="G156" s="176"/>
      <c r="H156" s="176"/>
      <c r="I156" s="176"/>
      <c r="J156" s="252">
        <f>#REF!</f>
      </c>
      <c r="K156" s="252">
        <f ca="1">'rincian 2'!S133</f>
      </c>
      <c r="L156" s="252">
        <f>'rincian 2'!U133</f>
      </c>
      <c r="M156" s="252">
        <f ca="1">K156+L156</f>
      </c>
      <c r="N156" s="252">
        <f>L156</f>
      </c>
      <c r="O156" s="252">
        <f ca="1">J156-M156</f>
      </c>
      <c r="P156" s="78">
        <f>#REF!</f>
      </c>
      <c r="Q156" s="608">
        <f>N156*P156</f>
      </c>
      <c r="R156" s="609"/>
    </row>
    <row r="157" spans="1:18" ht="18" customHeight="1">
      <c r="A157" s="37"/>
      <c r="B157" s="404">
        <f>#REF!</f>
      </c>
      <c r="C157" s="233"/>
      <c r="D157" s="405">
        <f>IF(#REF!&lt;&gt;"",#REF!,IF(#REF!&lt;&gt;"",#REF!,""))</f>
      </c>
      <c r="E157" s="405"/>
      <c r="F157" s="405"/>
      <c r="G157" s="405"/>
      <c r="H157" s="405"/>
      <c r="I157" s="405"/>
      <c r="J157" s="252"/>
      <c r="K157" s="252"/>
      <c r="L157" s="252"/>
      <c r="M157" s="252"/>
      <c r="N157" s="252"/>
      <c r="O157" s="252"/>
      <c r="P157" s="78"/>
      <c r="Q157" s="624"/>
      <c r="R157" s="625"/>
    </row>
    <row r="158" spans="1:18" ht="18" customHeight="1">
      <c r="A158" s="37"/>
      <c r="B158" s="175">
        <f>#REF!</f>
      </c>
      <c r="C158" s="233"/>
      <c r="D158" s="176">
        <f>IF(#REF!&lt;&gt;"",#REF!,IF(#REF!&lt;&gt;"",#REF!,""))</f>
      </c>
      <c r="E158" s="176"/>
      <c r="F158" s="176"/>
      <c r="G158" s="176"/>
      <c r="H158" s="176"/>
      <c r="I158" s="176"/>
      <c r="J158" s="252">
        <f>#REF!</f>
      </c>
      <c r="K158" s="252">
        <f ca="1">'rincian 2'!S135</f>
      </c>
      <c r="L158" s="252">
        <f>'rincian 2'!U135</f>
      </c>
      <c r="M158" s="252">
        <f ca="1">K158+L158</f>
      </c>
      <c r="N158" s="252">
        <f>L158</f>
      </c>
      <c r="O158" s="252">
        <f ca="1">J158-M158</f>
      </c>
      <c r="P158" s="78">
        <f>#REF!</f>
      </c>
      <c r="Q158" s="608">
        <f>N158*P158</f>
      </c>
      <c r="R158" s="609"/>
    </row>
    <row r="159" spans="1:18" ht="18" customHeight="1">
      <c r="A159" s="37"/>
      <c r="B159" s="175">
        <f>#REF!</f>
      </c>
      <c r="C159" s="233"/>
      <c r="D159" s="176">
        <f>IF(#REF!&lt;&gt;"",#REF!,IF(#REF!&lt;&gt;"",#REF!,""))</f>
      </c>
      <c r="E159" s="176"/>
      <c r="F159" s="176"/>
      <c r="G159" s="176"/>
      <c r="H159" s="176"/>
      <c r="I159" s="176"/>
      <c r="J159" s="252">
        <f>#REF!</f>
      </c>
      <c r="K159" s="252">
        <f ca="1">'rincian 2'!S136</f>
      </c>
      <c r="L159" s="252">
        <f>'rincian 2'!U136</f>
      </c>
      <c r="M159" s="252">
        <f ca="1">K159+L159</f>
      </c>
      <c r="N159" s="252">
        <f>L159</f>
      </c>
      <c r="O159" s="252">
        <f ca="1">J159-M159</f>
      </c>
      <c r="P159" s="78">
        <f>#REF!</f>
      </c>
      <c r="Q159" s="608">
        <f>N159*P159</f>
      </c>
      <c r="R159" s="609"/>
    </row>
    <row r="160" spans="1:18" ht="18" customHeight="1">
      <c r="A160" s="37"/>
      <c r="B160" s="175">
        <f>#REF!</f>
      </c>
      <c r="C160" s="233"/>
      <c r="D160" s="176">
        <f>IF(#REF!&lt;&gt;"",#REF!,IF(#REF!&lt;&gt;"",#REF!,""))</f>
      </c>
      <c r="E160" s="176"/>
      <c r="F160" s="176"/>
      <c r="G160" s="176"/>
      <c r="H160" s="176"/>
      <c r="I160" s="176"/>
      <c r="J160" s="252">
        <f>#REF!</f>
      </c>
      <c r="K160" s="252">
        <f ca="1">'rincian 2'!S137</f>
      </c>
      <c r="L160" s="252">
        <f>'rincian 2'!U137</f>
      </c>
      <c r="M160" s="252">
        <f ca="1">K160+L160</f>
      </c>
      <c r="N160" s="252">
        <f>L160</f>
      </c>
      <c r="O160" s="252">
        <f ca="1">J160-M160</f>
      </c>
      <c r="P160" s="78">
        <f>#REF!</f>
      </c>
      <c r="Q160" s="608">
        <f>N160*P160</f>
      </c>
      <c r="R160" s="609"/>
    </row>
    <row r="161" spans="1:18" ht="18" customHeight="1">
      <c r="A161" s="37"/>
      <c r="B161" s="406">
        <f>#REF!</f>
      </c>
      <c r="C161" s="407"/>
      <c r="D161" s="408">
        <f>IF(#REF!&lt;&gt;"",#REF!,IF(#REF!&lt;&gt;"",#REF!,""))</f>
      </c>
      <c r="E161" s="408"/>
      <c r="F161" s="408"/>
      <c r="G161" s="408"/>
      <c r="H161" s="408"/>
      <c r="I161" s="408"/>
      <c r="J161" s="409"/>
      <c r="K161" s="409"/>
      <c r="L161" s="409"/>
      <c r="M161" s="409"/>
      <c r="N161" s="409"/>
      <c r="O161" s="409"/>
      <c r="P161" s="410"/>
      <c r="Q161" s="624"/>
      <c r="R161" s="625"/>
    </row>
    <row r="162" spans="1:18" ht="18" customHeight="1">
      <c r="A162" s="37"/>
      <c r="B162" s="404">
        <f>#REF!</f>
      </c>
      <c r="C162" s="233"/>
      <c r="D162" s="405">
        <f>IF(#REF!&lt;&gt;"",#REF!,IF(#REF!&lt;&gt;"",#REF!,""))</f>
      </c>
      <c r="E162" s="405"/>
      <c r="F162" s="405"/>
      <c r="G162" s="405"/>
      <c r="H162" s="405"/>
      <c r="I162" s="405"/>
      <c r="J162" s="252"/>
      <c r="K162" s="252"/>
      <c r="L162" s="252"/>
      <c r="M162" s="252"/>
      <c r="N162" s="252"/>
      <c r="O162" s="252"/>
      <c r="P162" s="78"/>
      <c r="Q162" s="624"/>
      <c r="R162" s="625"/>
    </row>
    <row r="163" spans="1:18" ht="18" customHeight="1">
      <c r="A163" s="37"/>
      <c r="B163" s="175">
        <f>#REF!</f>
      </c>
      <c r="C163" s="233"/>
      <c r="D163" s="176">
        <f>IF(#REF!&lt;&gt;"",#REF!,IF(#REF!&lt;&gt;"",#REF!,""))</f>
      </c>
      <c r="E163" s="176"/>
      <c r="F163" s="176"/>
      <c r="G163" s="176"/>
      <c r="H163" s="176"/>
      <c r="I163" s="176"/>
      <c r="J163" s="252">
        <f>#REF!</f>
      </c>
      <c r="K163" s="252">
        <f ca="1">'rincian 2'!S140</f>
      </c>
      <c r="L163" s="252">
        <f>'rincian 2'!U140</f>
      </c>
      <c r="M163" s="252">
        <f ca="1">K163+L163</f>
      </c>
      <c r="N163" s="252">
        <f>L163</f>
      </c>
      <c r="O163" s="252">
        <f ca="1">J163-M163</f>
      </c>
      <c r="P163" s="78">
        <f>#REF!</f>
      </c>
      <c r="Q163" s="608">
        <f>N163*P163</f>
      </c>
      <c r="R163" s="609"/>
    </row>
    <row r="164" spans="1:18" ht="18" customHeight="1">
      <c r="A164" s="37"/>
      <c r="B164" s="175">
        <f>#REF!</f>
      </c>
      <c r="C164" s="233"/>
      <c r="D164" s="176">
        <f>IF(#REF!&lt;&gt;"",#REF!,IF(#REF!&lt;&gt;"",#REF!,""))</f>
      </c>
      <c r="E164" s="176"/>
      <c r="F164" s="176"/>
      <c r="G164" s="176"/>
      <c r="H164" s="176"/>
      <c r="I164" s="176"/>
      <c r="J164" s="252">
        <f>#REF!</f>
      </c>
      <c r="K164" s="252">
        <f ca="1">'rincian 2'!S141</f>
      </c>
      <c r="L164" s="252">
        <f>'rincian 2'!U141</f>
      </c>
      <c r="M164" s="252">
        <f ca="1">K164+L164</f>
      </c>
      <c r="N164" s="252">
        <f>L164</f>
      </c>
      <c r="O164" s="252">
        <f ca="1">J164-M164</f>
      </c>
      <c r="P164" s="78">
        <f>#REF!</f>
      </c>
      <c r="Q164" s="608">
        <f>N164*P164</f>
      </c>
      <c r="R164" s="609"/>
    </row>
    <row r="165" spans="1:18" ht="18" customHeight="1">
      <c r="A165" s="37"/>
      <c r="B165" s="175">
        <f>#REF!</f>
      </c>
      <c r="C165" s="233"/>
      <c r="D165" s="176">
        <f>IF(#REF!&lt;&gt;"",#REF!,IF(#REF!&lt;&gt;"",#REF!,""))</f>
      </c>
      <c r="E165" s="176"/>
      <c r="F165" s="176"/>
      <c r="G165" s="176"/>
      <c r="H165" s="176"/>
      <c r="I165" s="176"/>
      <c r="J165" s="252">
        <f>#REF!</f>
      </c>
      <c r="K165" s="252">
        <f ca="1">'rincian 2'!S142</f>
      </c>
      <c r="L165" s="252">
        <f>'rincian 2'!U142</f>
      </c>
      <c r="M165" s="252">
        <f ca="1">K165+L165</f>
      </c>
      <c r="N165" s="252">
        <f>L165</f>
      </c>
      <c r="O165" s="252">
        <f ca="1">J165-M165</f>
      </c>
      <c r="P165" s="78">
        <f>#REF!</f>
      </c>
      <c r="Q165" s="608">
        <f>N165*P165</f>
      </c>
      <c r="R165" s="609"/>
    </row>
    <row r="166" spans="1:18" ht="18" customHeight="1">
      <c r="A166" s="37"/>
      <c r="B166" s="175">
        <f>#REF!</f>
      </c>
      <c r="C166" s="233"/>
      <c r="D166" s="176">
        <f>IF(#REF!&lt;&gt;"",#REF!,IF(#REF!&lt;&gt;"",#REF!,""))</f>
      </c>
      <c r="E166" s="176"/>
      <c r="F166" s="176"/>
      <c r="G166" s="176"/>
      <c r="H166" s="176"/>
      <c r="I166" s="176"/>
      <c r="J166" s="252">
        <f>#REF!</f>
      </c>
      <c r="K166" s="252">
        <f ca="1">'rincian 2'!S143</f>
      </c>
      <c r="L166" s="252">
        <f>'rincian 2'!U143</f>
      </c>
      <c r="M166" s="252">
        <f ca="1">K166+L166</f>
      </c>
      <c r="N166" s="252">
        <f>L166</f>
      </c>
      <c r="O166" s="252">
        <f ca="1">J166-M166</f>
      </c>
      <c r="P166" s="78">
        <f>#REF!</f>
      </c>
      <c r="Q166" s="608">
        <f>N166*P166</f>
      </c>
      <c r="R166" s="609"/>
    </row>
    <row r="167" spans="1:18" ht="18" customHeight="1">
      <c r="A167" s="37"/>
      <c r="B167" s="175">
        <f>#REF!</f>
      </c>
      <c r="C167" s="233"/>
      <c r="D167" s="176">
        <f>IF(#REF!&lt;&gt;"",#REF!,IF(#REF!&lt;&gt;"",#REF!,""))</f>
      </c>
      <c r="E167" s="176"/>
      <c r="F167" s="176"/>
      <c r="G167" s="176"/>
      <c r="H167" s="176"/>
      <c r="I167" s="176"/>
      <c r="J167" s="252"/>
      <c r="K167" s="252"/>
      <c r="L167" s="252"/>
      <c r="M167" s="252"/>
      <c r="N167" s="252"/>
      <c r="O167" s="252"/>
      <c r="P167" s="78"/>
      <c r="Q167" s="624"/>
      <c r="R167" s="625"/>
    </row>
    <row r="168" spans="1:18" ht="18" customHeight="1">
      <c r="A168" s="37"/>
      <c r="B168" s="175">
        <f>#REF!</f>
      </c>
      <c r="C168" s="233"/>
      <c r="D168" s="176">
        <f>IF(#REF!&lt;&gt;"",#REF!,IF(#REF!&lt;&gt;"",#REF!,""))</f>
      </c>
      <c r="E168" s="176"/>
      <c r="F168" s="176"/>
      <c r="G168" s="176"/>
      <c r="H168" s="176"/>
      <c r="I168" s="176"/>
      <c r="J168" s="252"/>
      <c r="K168" s="252"/>
      <c r="L168" s="252"/>
      <c r="M168" s="252"/>
      <c r="N168" s="252"/>
      <c r="O168" s="252"/>
      <c r="P168" s="78"/>
      <c r="Q168" s="624"/>
      <c r="R168" s="625"/>
    </row>
    <row r="169" spans="1:18" ht="36" customHeight="1">
      <c r="A169" s="37"/>
      <c r="B169" s="175">
        <f>#REF!</f>
      </c>
      <c r="C169" s="233"/>
      <c r="D169" s="653">
        <f>IF(#REF!&lt;&gt;"",#REF!,IF(#REF!&lt;&gt;"",#REF!,""))</f>
      </c>
      <c r="E169" s="653"/>
      <c r="F169" s="653"/>
      <c r="G169" s="653"/>
      <c r="H169" s="653"/>
      <c r="I169" s="654"/>
      <c r="J169" s="252"/>
      <c r="K169" s="252"/>
      <c r="L169" s="252"/>
      <c r="M169" s="252"/>
      <c r="N169" s="252"/>
      <c r="O169" s="252"/>
      <c r="P169" s="78"/>
      <c r="Q169" s="624"/>
      <c r="R169" s="625"/>
    </row>
    <row r="170" spans="1:18" ht="18" customHeight="1">
      <c r="A170" s="37"/>
      <c r="B170" s="175">
        <f>#REF!</f>
      </c>
      <c r="C170" s="233"/>
      <c r="D170" s="176">
        <f>IF(#REF!&lt;&gt;"",#REF!,IF(#REF!&lt;&gt;"",#REF!,""))</f>
      </c>
      <c r="E170" s="176"/>
      <c r="F170" s="176"/>
      <c r="G170" s="176"/>
      <c r="H170" s="176"/>
      <c r="I170" s="176"/>
      <c r="J170" s="252">
        <f>#REF!</f>
      </c>
      <c r="K170" s="252">
        <f ca="1">'rincian 2'!S147</f>
      </c>
      <c r="L170" s="252">
        <f>'rincian 2'!U147</f>
      </c>
      <c r="M170" s="252">
        <f ca="1">K170+L170</f>
      </c>
      <c r="N170" s="252">
        <f>L170</f>
      </c>
      <c r="O170" s="252">
        <f ca="1">J170-M170</f>
      </c>
      <c r="P170" s="78">
        <f>#REF!</f>
      </c>
      <c r="Q170" s="608">
        <f>N170*P170</f>
      </c>
      <c r="R170" s="609"/>
    </row>
    <row r="171" spans="1:18" ht="18" customHeight="1">
      <c r="A171" s="37"/>
      <c r="B171" s="175">
        <f>#REF!</f>
      </c>
      <c r="C171" s="233"/>
      <c r="D171" s="176">
        <f>IF(#REF!&lt;&gt;"",#REF!,IF(#REF!&lt;&gt;"",#REF!,""))</f>
      </c>
      <c r="E171" s="176"/>
      <c r="F171" s="176"/>
      <c r="G171" s="176"/>
      <c r="H171" s="176"/>
      <c r="I171" s="176"/>
      <c r="J171" s="252"/>
      <c r="K171" s="252"/>
      <c r="L171" s="252"/>
      <c r="M171" s="252"/>
      <c r="N171" s="252"/>
      <c r="O171" s="252"/>
      <c r="P171" s="78"/>
      <c r="Q171" s="624"/>
      <c r="R171" s="625"/>
    </row>
    <row r="172" spans="1:18" ht="18" customHeight="1">
      <c r="A172" s="37"/>
      <c r="B172" s="175">
        <f>#REF!</f>
      </c>
      <c r="C172" s="233"/>
      <c r="D172" s="176">
        <f>IF(#REF!&lt;&gt;"",#REF!,IF(#REF!&lt;&gt;"",#REF!,""))</f>
      </c>
      <c r="E172" s="176"/>
      <c r="F172" s="176"/>
      <c r="G172" s="176"/>
      <c r="H172" s="176"/>
      <c r="I172" s="176"/>
      <c r="J172" s="252"/>
      <c r="K172" s="252"/>
      <c r="L172" s="252"/>
      <c r="M172" s="252"/>
      <c r="N172" s="252"/>
      <c r="O172" s="252"/>
      <c r="P172" s="78"/>
      <c r="Q172" s="624"/>
      <c r="R172" s="625"/>
    </row>
    <row r="173" spans="1:18" ht="18" customHeight="1">
      <c r="A173" s="37"/>
      <c r="B173" s="175">
        <f>#REF!</f>
      </c>
      <c r="C173" s="233"/>
      <c r="D173" s="176">
        <f>IF(#REF!&lt;&gt;"",#REF!,IF(#REF!&lt;&gt;"",#REF!,""))</f>
      </c>
      <c r="E173" s="176"/>
      <c r="F173" s="176"/>
      <c r="G173" s="176"/>
      <c r="H173" s="176"/>
      <c r="I173" s="176"/>
      <c r="J173" s="252"/>
      <c r="K173" s="252"/>
      <c r="L173" s="252"/>
      <c r="M173" s="252"/>
      <c r="N173" s="252"/>
      <c r="O173" s="252"/>
      <c r="P173" s="78"/>
      <c r="Q173" s="624"/>
      <c r="R173" s="625"/>
    </row>
    <row r="174" spans="1:18" ht="18" customHeight="1">
      <c r="A174" s="37"/>
      <c r="B174" s="175">
        <f>#REF!</f>
      </c>
      <c r="C174" s="233"/>
      <c r="D174" s="176">
        <f>IF(#REF!&lt;&gt;"",#REF!,IF(#REF!&lt;&gt;"",#REF!,""))</f>
      </c>
      <c r="E174" s="176"/>
      <c r="F174" s="176"/>
      <c r="G174" s="176"/>
      <c r="H174" s="176"/>
      <c r="I174" s="176"/>
      <c r="J174" s="252"/>
      <c r="K174" s="252"/>
      <c r="L174" s="252"/>
      <c r="M174" s="252"/>
      <c r="N174" s="252"/>
      <c r="O174" s="252"/>
      <c r="P174" s="78"/>
      <c r="Q174" s="624"/>
      <c r="R174" s="625"/>
    </row>
    <row r="175" spans="1:18" ht="18" customHeight="1">
      <c r="A175" s="37"/>
      <c r="B175" s="175">
        <f>#REF!</f>
      </c>
      <c r="C175" s="233"/>
      <c r="D175" s="176">
        <f>IF(#REF!&lt;&gt;"",#REF!,IF(#REF!&lt;&gt;"",#REF!,""))</f>
      </c>
      <c r="E175" s="176"/>
      <c r="F175" s="176"/>
      <c r="G175" s="176"/>
      <c r="H175" s="176"/>
      <c r="I175" s="176"/>
      <c r="J175" s="252">
        <f>#REF!</f>
      </c>
      <c r="K175" s="252">
        <f ca="1">'rincian 2'!S152</f>
      </c>
      <c r="L175" s="252">
        <f>'rincian 2'!U152</f>
      </c>
      <c r="M175" s="252">
        <f ca="1">K175+L175</f>
      </c>
      <c r="N175" s="252">
        <f>L175</f>
      </c>
      <c r="O175" s="252">
        <f ca="1">J175-M175</f>
      </c>
      <c r="P175" s="78">
        <f>#REF!</f>
      </c>
      <c r="Q175" s="608">
        <f>N175*P175</f>
      </c>
      <c r="R175" s="609"/>
    </row>
    <row r="176" spans="1:18" ht="18" customHeight="1">
      <c r="A176" s="37"/>
      <c r="B176" s="404">
        <f>#REF!</f>
      </c>
      <c r="C176" s="233"/>
      <c r="D176" s="405">
        <f>IF(#REF!&lt;&gt;"",#REF!,IF(#REF!&lt;&gt;"",#REF!,""))</f>
      </c>
      <c r="E176" s="405"/>
      <c r="F176" s="405"/>
      <c r="G176" s="405"/>
      <c r="H176" s="405"/>
      <c r="I176" s="405"/>
      <c r="J176" s="252"/>
      <c r="K176" s="252"/>
      <c r="L176" s="252"/>
      <c r="M176" s="252"/>
      <c r="N176" s="252"/>
      <c r="O176" s="252"/>
      <c r="P176" s="78"/>
      <c r="Q176" s="624"/>
      <c r="R176" s="625"/>
    </row>
    <row r="177" spans="1:18" ht="18" customHeight="1">
      <c r="A177" s="37"/>
      <c r="B177" s="175">
        <f>#REF!</f>
      </c>
      <c r="C177" s="233"/>
      <c r="D177" s="176">
        <f>IF(#REF!&lt;&gt;"",#REF!,IF(#REF!&lt;&gt;"",#REF!,""))</f>
      </c>
      <c r="E177" s="176"/>
      <c r="F177" s="176"/>
      <c r="G177" s="176"/>
      <c r="H177" s="176"/>
      <c r="I177" s="176"/>
      <c r="J177" s="252">
        <f>#REF!</f>
      </c>
      <c r="K177" s="252">
        <f ca="1">'rincian 2'!S154</f>
      </c>
      <c r="L177" s="252">
        <f>'rincian 2'!U154</f>
      </c>
      <c r="M177" s="252">
        <f ca="1">K177+L177</f>
      </c>
      <c r="N177" s="252">
        <f>L177</f>
      </c>
      <c r="O177" s="252">
        <f ca="1">J177-M177</f>
      </c>
      <c r="P177" s="78">
        <f>#REF!</f>
      </c>
      <c r="Q177" s="608">
        <f>N177*P177</f>
      </c>
      <c r="R177" s="609"/>
    </row>
    <row r="178" spans="1:18" ht="18" customHeight="1">
      <c r="A178" s="37"/>
      <c r="B178" s="175">
        <f>#REF!</f>
      </c>
      <c r="C178" s="233"/>
      <c r="D178" s="176">
        <f>IF(#REF!&lt;&gt;"",#REF!,IF(#REF!&lt;&gt;"",#REF!,""))</f>
      </c>
      <c r="E178" s="176"/>
      <c r="F178" s="176"/>
      <c r="G178" s="176"/>
      <c r="H178" s="176"/>
      <c r="I178" s="176"/>
      <c r="J178" s="252">
        <f>#REF!</f>
      </c>
      <c r="K178" s="252">
        <f ca="1">'rincian 2'!S155</f>
      </c>
      <c r="L178" s="252">
        <f>'rincian 2'!U155</f>
      </c>
      <c r="M178" s="252">
        <f ca="1">K178+L178</f>
      </c>
      <c r="N178" s="252">
        <f>L178</f>
      </c>
      <c r="O178" s="252">
        <f ca="1">J178-M178</f>
      </c>
      <c r="P178" s="78">
        <f>#REF!</f>
      </c>
      <c r="Q178" s="608">
        <f>N178*P178</f>
      </c>
      <c r="R178" s="609"/>
    </row>
    <row r="179" spans="1:18" ht="18" customHeight="1">
      <c r="A179" s="37"/>
      <c r="B179" s="175">
        <f>#REF!</f>
      </c>
      <c r="C179" s="233"/>
      <c r="D179" s="176">
        <f>IF(#REF!&lt;&gt;"",#REF!,IF(#REF!&lt;&gt;"",#REF!,""))</f>
      </c>
      <c r="E179" s="176"/>
      <c r="F179" s="176"/>
      <c r="G179" s="176"/>
      <c r="H179" s="176"/>
      <c r="I179" s="176"/>
      <c r="J179" s="252"/>
      <c r="K179" s="252"/>
      <c r="L179" s="252"/>
      <c r="M179" s="252"/>
      <c r="N179" s="252"/>
      <c r="O179" s="252"/>
      <c r="P179" s="78"/>
      <c r="Q179" s="624"/>
      <c r="R179" s="625"/>
    </row>
    <row r="180" spans="1:18" ht="18" customHeight="1">
      <c r="A180" s="37"/>
      <c r="B180" s="175">
        <f>#REF!</f>
      </c>
      <c r="C180" s="233"/>
      <c r="D180" s="176">
        <f>IF(#REF!&lt;&gt;"",#REF!,IF(#REF!&lt;&gt;"",#REF!,""))</f>
      </c>
      <c r="E180" s="176"/>
      <c r="F180" s="176"/>
      <c r="G180" s="176"/>
      <c r="H180" s="176"/>
      <c r="I180" s="176"/>
      <c r="J180" s="252"/>
      <c r="K180" s="252"/>
      <c r="L180" s="252"/>
      <c r="M180" s="252"/>
      <c r="N180" s="252"/>
      <c r="O180" s="252"/>
      <c r="P180" s="78"/>
      <c r="Q180" s="624"/>
      <c r="R180" s="625"/>
    </row>
    <row r="181" spans="1:18" ht="18" customHeight="1">
      <c r="A181" s="37"/>
      <c r="B181" s="175">
        <f>#REF!</f>
      </c>
      <c r="C181" s="233"/>
      <c r="D181" s="176">
        <f>IF(#REF!&lt;&gt;"",#REF!,IF(#REF!&lt;&gt;"",#REF!,""))</f>
      </c>
      <c r="E181" s="176"/>
      <c r="F181" s="176"/>
      <c r="G181" s="176"/>
      <c r="H181" s="176"/>
      <c r="I181" s="176"/>
      <c r="J181" s="252"/>
      <c r="K181" s="252"/>
      <c r="L181" s="252"/>
      <c r="M181" s="252"/>
      <c r="N181" s="252"/>
      <c r="O181" s="252"/>
      <c r="P181" s="78"/>
      <c r="Q181" s="624"/>
      <c r="R181" s="625"/>
    </row>
    <row r="182" spans="1:18" ht="18" customHeight="1">
      <c r="A182" s="37"/>
      <c r="B182" s="175">
        <f>#REF!</f>
      </c>
      <c r="C182" s="233"/>
      <c r="D182" s="176">
        <f>IF(#REF!&lt;&gt;"",#REF!,IF(#REF!&lt;&gt;"",#REF!,""))</f>
      </c>
      <c r="E182" s="176"/>
      <c r="F182" s="176"/>
      <c r="G182" s="176"/>
      <c r="H182" s="176"/>
      <c r="I182" s="176"/>
      <c r="J182" s="252">
        <f>#REF!</f>
      </c>
      <c r="K182" s="252">
        <f ca="1">'rincian 2'!S159</f>
      </c>
      <c r="L182" s="252">
        <f>'rincian 2'!U159</f>
      </c>
      <c r="M182" s="252">
        <f ca="1">K182+L182</f>
      </c>
      <c r="N182" s="252">
        <f>L182</f>
      </c>
      <c r="O182" s="252">
        <f ca="1">J182-M182</f>
      </c>
      <c r="P182" s="78">
        <f>#REF!</f>
      </c>
      <c r="Q182" s="608">
        <f>N182*P182</f>
      </c>
      <c r="R182" s="609"/>
    </row>
    <row r="183" spans="1:18" ht="18" customHeight="1">
      <c r="A183" s="37"/>
      <c r="B183" s="175">
        <f>#REF!</f>
      </c>
      <c r="C183" s="233"/>
      <c r="D183" s="176">
        <f>IF(#REF!&lt;&gt;"",#REF!,IF(#REF!&lt;&gt;"",#REF!,""))</f>
      </c>
      <c r="E183" s="176"/>
      <c r="F183" s="176"/>
      <c r="G183" s="176"/>
      <c r="H183" s="176"/>
      <c r="I183" s="176"/>
      <c r="J183" s="252"/>
      <c r="K183" s="252"/>
      <c r="L183" s="252"/>
      <c r="M183" s="252"/>
      <c r="N183" s="252"/>
      <c r="O183" s="252"/>
      <c r="P183" s="78"/>
      <c r="Q183" s="624"/>
      <c r="R183" s="625"/>
    </row>
    <row r="184" spans="1:18" ht="18" customHeight="1">
      <c r="A184" s="37"/>
      <c r="B184" s="175">
        <f>#REF!</f>
      </c>
      <c r="C184" s="233"/>
      <c r="D184" s="176">
        <f>IF(#REF!&lt;&gt;"",#REF!,IF(#REF!&lt;&gt;"",#REF!,""))</f>
      </c>
      <c r="E184" s="176"/>
      <c r="F184" s="176"/>
      <c r="G184" s="176"/>
      <c r="H184" s="176"/>
      <c r="I184" s="176"/>
      <c r="J184" s="252"/>
      <c r="K184" s="252"/>
      <c r="L184" s="252"/>
      <c r="M184" s="252"/>
      <c r="N184" s="252"/>
      <c r="O184" s="252"/>
      <c r="P184" s="78"/>
      <c r="Q184" s="624"/>
      <c r="R184" s="625"/>
    </row>
    <row r="185" spans="1:18" ht="18" customHeight="1">
      <c r="A185" s="37"/>
      <c r="B185" s="175">
        <f>#REF!</f>
      </c>
      <c r="C185" s="233"/>
      <c r="D185" s="176">
        <f>IF(#REF!&lt;&gt;"",#REF!,IF(#REF!&lt;&gt;"",#REF!,""))</f>
      </c>
      <c r="E185" s="176"/>
      <c r="F185" s="176"/>
      <c r="G185" s="176"/>
      <c r="H185" s="176"/>
      <c r="I185" s="176"/>
      <c r="J185" s="252">
        <f>#REF!</f>
      </c>
      <c r="K185" s="252">
        <f ca="1">'rincian 2'!S162</f>
      </c>
      <c r="L185" s="252">
        <f>'rincian 2'!U162</f>
      </c>
      <c r="M185" s="252">
        <f ca="1">K185+L185</f>
      </c>
      <c r="N185" s="252">
        <f>L185</f>
      </c>
      <c r="O185" s="252">
        <f ca="1">J185-M185</f>
      </c>
      <c r="P185" s="78">
        <f>#REF!</f>
      </c>
      <c r="Q185" s="608">
        <f>N185*P185</f>
      </c>
      <c r="R185" s="609"/>
    </row>
    <row r="186" spans="1:18" ht="18" customHeight="1">
      <c r="A186" s="37"/>
      <c r="B186" s="175">
        <f>#REF!</f>
      </c>
      <c r="C186" s="233"/>
      <c r="D186" s="176">
        <f>IF(#REF!&lt;&gt;"",#REF!,IF(#REF!&lt;&gt;"",#REF!,""))</f>
      </c>
      <c r="E186" s="176"/>
      <c r="F186" s="176"/>
      <c r="G186" s="176"/>
      <c r="H186" s="176"/>
      <c r="I186" s="176"/>
      <c r="J186" s="252">
        <f>#REF!</f>
      </c>
      <c r="K186" s="252">
        <f ca="1">'rincian 2'!S163</f>
      </c>
      <c r="L186" s="252">
        <f>'rincian 2'!U163</f>
      </c>
      <c r="M186" s="252">
        <f ca="1">K186+L186</f>
      </c>
      <c r="N186" s="252">
        <f>L186</f>
      </c>
      <c r="O186" s="252">
        <f ca="1">J186-M186</f>
      </c>
      <c r="P186" s="78">
        <f>#REF!</f>
      </c>
      <c r="Q186" s="608">
        <f>N186*P186</f>
      </c>
      <c r="R186" s="609"/>
    </row>
    <row r="187" spans="1:18" ht="18" customHeight="1">
      <c r="A187" s="37"/>
      <c r="B187" s="175">
        <f>#REF!</f>
      </c>
      <c r="C187" s="233"/>
      <c r="D187" s="176">
        <f>IF(#REF!&lt;&gt;"",#REF!,IF(#REF!&lt;&gt;"",#REF!,""))</f>
      </c>
      <c r="E187" s="176"/>
      <c r="F187" s="176"/>
      <c r="G187" s="176"/>
      <c r="H187" s="176"/>
      <c r="I187" s="176"/>
      <c r="J187" s="252">
        <f>#REF!</f>
      </c>
      <c r="K187" s="252">
        <f ca="1">'rincian 2'!S164</f>
      </c>
      <c r="L187" s="252">
        <f>'rincian 2'!U164</f>
      </c>
      <c r="M187" s="252">
        <f ca="1">K187+L187</f>
      </c>
      <c r="N187" s="252">
        <f>L187</f>
      </c>
      <c r="O187" s="252">
        <f ca="1">J187-M187</f>
      </c>
      <c r="P187" s="78">
        <f>#REF!</f>
      </c>
      <c r="Q187" s="608">
        <f>N187*P187</f>
      </c>
      <c r="R187" s="609"/>
    </row>
    <row r="188" spans="1:18">
      <c r="B188" s="178"/>
      <c r="C188" s="177"/>
      <c r="D188" s="176"/>
      <c r="E188" s="176"/>
      <c r="F188" s="176"/>
      <c r="G188" s="176"/>
      <c r="H188" s="176"/>
      <c r="I188" s="176"/>
      <c r="J188" s="78"/>
      <c r="K188" s="78"/>
      <c r="L188" s="78"/>
      <c r="M188" s="78"/>
      <c r="N188" s="78"/>
      <c r="O188" s="78"/>
      <c r="P188" s="78"/>
      <c r="Q188" s="626"/>
      <c r="R188" s="627"/>
    </row>
    <row r="189" spans="1:18">
      <c r="B189" s="179"/>
      <c r="C189" s="65"/>
      <c r="D189" s="180" t="s">
        <v>123</v>
      </c>
      <c r="E189" s="180"/>
      <c r="F189" s="180"/>
      <c r="G189" s="180"/>
      <c r="H189" s="180"/>
      <c r="I189" s="180"/>
      <c r="J189" s="65"/>
      <c r="K189" s="65"/>
      <c r="L189" s="65"/>
      <c r="M189" s="65"/>
      <c r="N189" s="65"/>
      <c r="O189" s="65"/>
      <c r="P189" s="65"/>
      <c r="Q189" s="628">
        <f>SUM(Q35:Q187)</f>
      </c>
      <c r="R189" s="629"/>
    </row>
    <row r="190" spans="1:18" ht="7.5" customHeight="1">
      <c r="B190" s="181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2"/>
    </row>
    <row r="191" spans="1:18">
      <c r="B191" s="183"/>
      <c r="C191" s="184" t="s">
        <v>124</v>
      </c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2"/>
    </row>
    <row r="192" spans="1:18" ht="17.399999999999999">
      <c r="B192" s="183"/>
      <c r="C192" s="184">
        <v>1</v>
      </c>
      <c r="D192" s="184" t="s">
        <v>125</v>
      </c>
      <c r="E192" s="184"/>
      <c r="F192" s="184"/>
      <c r="G192" s="184"/>
      <c r="H192" s="184"/>
      <c r="I192" s="184"/>
      <c r="J192" s="184" t="s">
        <v>2</v>
      </c>
      <c r="K192" s="185">
        <f ca="1">'rincian 2'!X166</f>
      </c>
      <c r="L192" s="184"/>
      <c r="M192" s="186" t="s">
        <v>126</v>
      </c>
      <c r="N192" s="612">
        <f ca="1">K192*$I$24</f>
      </c>
      <c r="O192" s="612"/>
      <c r="P192" s="187" t="s">
        <v>127</v>
      </c>
      <c r="Q192" s="184"/>
      <c r="R192" s="182"/>
    </row>
    <row r="193" spans="2:21" ht="17.399999999999999">
      <c r="B193" s="183"/>
      <c r="C193" s="184">
        <v>2</v>
      </c>
      <c r="D193" s="184" t="s">
        <v>128</v>
      </c>
      <c r="E193" s="184"/>
      <c r="F193" s="184"/>
      <c r="G193" s="184"/>
      <c r="H193" s="184"/>
      <c r="I193" s="184"/>
      <c r="J193" s="184" t="s">
        <v>2</v>
      </c>
      <c r="K193" s="185">
        <f ca="1">'rincian 2'!T166</f>
      </c>
      <c r="L193" s="184"/>
      <c r="M193" s="186" t="s">
        <v>126</v>
      </c>
      <c r="N193" s="612">
        <f ca="1">K193*$I$24</f>
      </c>
      <c r="O193" s="612"/>
      <c r="P193" s="187" t="s">
        <v>129</v>
      </c>
      <c r="Q193" s="184"/>
      <c r="R193" s="182"/>
    </row>
    <row r="194" spans="2:21">
      <c r="B194" s="183"/>
      <c r="C194" s="184">
        <v>3</v>
      </c>
      <c r="D194" s="184" t="s">
        <v>130</v>
      </c>
      <c r="E194" s="184"/>
      <c r="F194" s="184"/>
      <c r="G194" s="184"/>
      <c r="H194" s="184"/>
      <c r="I194" s="184"/>
      <c r="J194" s="184" t="s">
        <v>2</v>
      </c>
      <c r="K194" s="185">
        <f t="shared" ref="K194:K197" ca="1" si="16">N194/$I$24</f>
      </c>
      <c r="L194" s="184"/>
      <c r="M194" s="188" t="s">
        <v>126</v>
      </c>
      <c r="N194" s="610">
        <f ca="1">N192-N193</f>
      </c>
      <c r="O194" s="610"/>
      <c r="P194" s="184"/>
      <c r="Q194" s="184"/>
      <c r="R194" s="182"/>
    </row>
    <row r="195" spans="2:21">
      <c r="B195" s="183"/>
      <c r="C195" s="184">
        <v>4</v>
      </c>
      <c r="D195" s="184" t="s">
        <v>131</v>
      </c>
      <c r="E195" s="184"/>
      <c r="F195" s="184"/>
      <c r="G195" s="184"/>
      <c r="H195" s="184"/>
      <c r="I195" s="184"/>
      <c r="J195" s="184"/>
      <c r="K195" s="223">
        <f ca="1">K192*100</f>
      </c>
      <c r="L195" s="184"/>
      <c r="M195" s="184"/>
      <c r="N195" s="184"/>
      <c r="O195" s="184"/>
      <c r="P195" s="184"/>
      <c r="Q195" s="184"/>
      <c r="R195" s="182"/>
    </row>
    <row r="196" spans="2:21" ht="17.399999999999999">
      <c r="B196" s="183"/>
      <c r="C196" s="184"/>
      <c r="D196" s="184" t="s">
        <v>132</v>
      </c>
      <c r="E196" s="184"/>
      <c r="F196" s="184"/>
      <c r="G196" s="184"/>
      <c r="H196" s="184"/>
      <c r="I196" s="184"/>
      <c r="J196" s="184" t="s">
        <v>2</v>
      </c>
      <c r="K196" s="185">
        <f t="shared" si="16"/>
      </c>
      <c r="L196" s="184"/>
      <c r="M196" s="186" t="s">
        <v>126</v>
      </c>
      <c r="N196" s="611">
        <v>0</v>
      </c>
      <c r="O196" s="611"/>
      <c r="P196" s="187" t="s">
        <v>129</v>
      </c>
      <c r="Q196" s="184"/>
      <c r="R196" s="182"/>
    </row>
    <row r="197" spans="2:21" ht="17.399999999999999">
      <c r="B197" s="183"/>
      <c r="C197" s="184"/>
      <c r="D197" s="184" t="s">
        <v>136</v>
      </c>
      <c r="E197" s="184"/>
      <c r="F197" s="184"/>
      <c r="G197" s="184"/>
      <c r="H197" s="184"/>
      <c r="I197" s="184"/>
      <c r="J197" s="184" t="s">
        <v>2</v>
      </c>
      <c r="K197" s="185">
        <f t="shared" si="16"/>
      </c>
      <c r="L197" s="184"/>
      <c r="M197" s="186" t="s">
        <v>126</v>
      </c>
      <c r="N197" s="613">
        <v>0</v>
      </c>
      <c r="O197" s="613"/>
      <c r="P197" s="187" t="s">
        <v>129</v>
      </c>
      <c r="Q197" s="184"/>
      <c r="R197" s="182"/>
    </row>
    <row r="198" spans="2:21" ht="15.6" thickBot="1">
      <c r="B198" s="183"/>
      <c r="C198" s="184">
        <v>5</v>
      </c>
      <c r="D198" s="184" t="s">
        <v>134</v>
      </c>
      <c r="E198" s="184"/>
      <c r="F198" s="184"/>
      <c r="G198" s="184"/>
      <c r="H198" s="184"/>
      <c r="I198" s="184"/>
      <c r="J198" s="184" t="s">
        <v>2</v>
      </c>
      <c r="K198" s="184"/>
      <c r="L198" s="184"/>
      <c r="M198" s="188" t="s">
        <v>126</v>
      </c>
      <c r="N198" s="607">
        <f ca="1">N194-N196-N197</f>
      </c>
      <c r="O198" s="607"/>
      <c r="P198" s="184"/>
      <c r="Q198" s="184"/>
      <c r="R198" s="182"/>
    </row>
    <row r="199" spans="2:21" ht="15.6" thickTop="1">
      <c r="B199" s="183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9"/>
      <c r="N199" s="189"/>
      <c r="O199" s="189"/>
      <c r="P199" s="184"/>
      <c r="Q199" s="184"/>
      <c r="R199" s="182"/>
    </row>
    <row r="200" spans="2:21">
      <c r="B200" s="183"/>
      <c r="C200" s="184" t="s">
        <v>135</v>
      </c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2"/>
    </row>
    <row r="201" spans="2:21">
      <c r="B201" s="183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2"/>
    </row>
    <row r="202" spans="2:21">
      <c r="B202" s="183"/>
      <c r="D202" s="634" t="s">
        <v>39</v>
      </c>
      <c r="E202" s="634"/>
      <c r="F202" s="634"/>
      <c r="G202" s="634"/>
      <c r="H202" s="634"/>
      <c r="K202" s="184"/>
      <c r="L202" s="184"/>
      <c r="M202" s="184"/>
      <c r="N202" s="640" t="s">
        <v>40</v>
      </c>
      <c r="O202" s="640"/>
      <c r="P202" s="640"/>
      <c r="Q202" s="640"/>
      <c r="R202" s="182"/>
    </row>
    <row r="203" spans="2:21">
      <c r="B203" s="183"/>
      <c r="D203" s="634">
        <f>UPPER(DATA!$B$24)</f>
      </c>
      <c r="E203" s="634"/>
      <c r="F203" s="634"/>
      <c r="G203" s="634"/>
      <c r="H203" s="634"/>
      <c r="I203" s="184"/>
      <c r="M203" s="184"/>
      <c r="N203" s="640">
        <f>UPPER(DATA!$B$17)</f>
      </c>
      <c r="O203" s="640"/>
      <c r="P203" s="640"/>
      <c r="Q203" s="640"/>
      <c r="R203" s="182"/>
      <c r="U203" s="253"/>
    </row>
    <row r="204" spans="2:21">
      <c r="B204" s="183"/>
      <c r="C204" s="79"/>
      <c r="D204" s="79"/>
      <c r="E204" s="184"/>
      <c r="F204" s="184"/>
      <c r="G204" s="184"/>
      <c r="H204" s="184"/>
      <c r="I204" s="184"/>
      <c r="J204" s="184"/>
      <c r="K204" s="184"/>
      <c r="L204" s="184"/>
      <c r="M204" s="184"/>
      <c r="N204" s="640"/>
      <c r="O204" s="640"/>
      <c r="P204" s="640"/>
      <c r="Q204" s="640"/>
      <c r="R204" s="182"/>
    </row>
    <row r="205" spans="2:21">
      <c r="B205" s="183"/>
      <c r="C205" s="79"/>
      <c r="D205" s="79"/>
      <c r="E205" s="184"/>
      <c r="F205" s="184"/>
      <c r="G205" s="184"/>
      <c r="H205" s="184"/>
      <c r="I205" s="184"/>
      <c r="J205" s="184"/>
      <c r="K205" s="184"/>
      <c r="L205" s="184"/>
      <c r="M205" s="184"/>
      <c r="N205" s="224"/>
      <c r="O205" s="224"/>
      <c r="P205" s="224"/>
      <c r="Q205" s="224"/>
      <c r="R205" s="182"/>
    </row>
    <row r="206" spans="2:21">
      <c r="B206" s="183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234"/>
      <c r="O206" s="234"/>
      <c r="P206" s="234"/>
      <c r="Q206" s="234"/>
      <c r="R206" s="182"/>
    </row>
    <row r="207" spans="2:21">
      <c r="B207" s="183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234"/>
      <c r="O207" s="234"/>
      <c r="Q207" s="234"/>
      <c r="R207" s="182"/>
    </row>
    <row r="208" spans="2:21">
      <c r="B208" s="183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234"/>
      <c r="O208" s="234"/>
      <c r="P208" s="234"/>
      <c r="Q208" s="234"/>
      <c r="R208" s="182"/>
    </row>
    <row r="209" spans="2:18">
      <c r="B209" s="183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234"/>
      <c r="O209" s="234"/>
      <c r="P209" s="234"/>
      <c r="Q209" s="234"/>
      <c r="R209" s="182"/>
    </row>
    <row r="210" spans="2:18">
      <c r="B210" s="183"/>
      <c r="D210" s="636">
        <f>DATA!$B$22</f>
      </c>
      <c r="E210" s="636"/>
      <c r="F210" s="636"/>
      <c r="G210" s="636"/>
      <c r="H210" s="636"/>
      <c r="I210" s="190"/>
      <c r="L210" s="190"/>
      <c r="M210" s="190"/>
      <c r="N210" s="641">
        <f>D14</f>
      </c>
      <c r="O210" s="641"/>
      <c r="P210" s="641"/>
      <c r="Q210" s="641"/>
      <c r="R210" s="182"/>
    </row>
    <row r="211" spans="2:18">
      <c r="B211" s="183"/>
      <c r="D211" s="634">
        <f>DATA!$B$23</f>
      </c>
      <c r="E211" s="634"/>
      <c r="F211" s="634"/>
      <c r="G211" s="634"/>
      <c r="H211" s="634"/>
      <c r="I211" s="184"/>
      <c r="J211" s="184"/>
      <c r="K211" s="184"/>
      <c r="L211" s="190"/>
      <c r="M211" s="190"/>
      <c r="N211" s="640">
        <f>DATA!$B$16</f>
      </c>
      <c r="O211" s="640"/>
      <c r="P211" s="640"/>
      <c r="Q211" s="640"/>
      <c r="R211" s="182"/>
    </row>
    <row r="212" spans="2:18" ht="15.6" thickBot="1">
      <c r="B212" s="191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3"/>
    </row>
    <row r="213" spans="2:18" ht="15.6" thickTop="1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</row>
    <row r="214" spans="2:18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spans="2:18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spans="2:18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spans="2:18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spans="2:18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spans="2:18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spans="2:18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spans="2:18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spans="2:18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spans="2:18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spans="2:18"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</row>
    <row r="225" spans="2:18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</row>
    <row r="226" spans="2:18"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</row>
    <row r="227" spans="2:18"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</row>
    <row r="228" spans="2:18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</row>
    <row r="229" spans="2:18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</row>
    <row r="230" spans="2:18"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</row>
    <row r="231" spans="2:18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</row>
    <row r="232" spans="2:18"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</row>
    <row r="233" spans="2:18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</row>
    <row r="234" spans="2:18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</row>
    <row r="235" spans="2:18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</row>
    <row r="236" spans="2:18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</row>
    <row r="237" spans="2:18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</row>
    <row r="238" spans="2:18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</row>
    <row r="239" spans="2:18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</row>
    <row r="240" spans="2:18"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</row>
    <row r="241" spans="2:18"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</row>
    <row r="242" spans="2:18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</row>
    <row r="243" spans="2:18"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</row>
    <row r="244" spans="2:18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</row>
    <row r="245" spans="2:18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</row>
    <row r="246" spans="2:18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</row>
    <row r="247" spans="2:18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</row>
    <row r="248" spans="2:18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</row>
    <row r="249" spans="2:18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</row>
    <row r="250" spans="2:18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</row>
    <row r="251" spans="2:18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</row>
    <row r="252" spans="2:18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</row>
    <row r="253" spans="2:18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</row>
    <row r="254" spans="2:18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</row>
    <row r="255" spans="2:18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</row>
    <row r="256" spans="2:18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</row>
    <row r="257" spans="2:18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2:18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2:18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2:18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2:18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2:18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</sheetData>
  <mergeCells count="198">
    <mergeCell ref="N204:Q204"/>
    <mergeCell ref="D210:H210"/>
    <mergeCell ref="N210:Q210"/>
    <mergeCell ref="D211:H211"/>
    <mergeCell ref="N211:Q211"/>
    <mergeCell ref="N197:O197"/>
    <mergeCell ref="N198:O198"/>
    <mergeCell ref="D202:H202"/>
    <mergeCell ref="N202:Q202"/>
    <mergeCell ref="D203:H203"/>
    <mergeCell ref="N203:Q203"/>
    <mergeCell ref="Q188:R188"/>
    <mergeCell ref="Q189:R189"/>
    <mergeCell ref="N192:O192"/>
    <mergeCell ref="N193:O193"/>
    <mergeCell ref="N194:O194"/>
    <mergeCell ref="N196:O196"/>
    <mergeCell ref="Q182:R182"/>
    <mergeCell ref="Q183:R183"/>
    <mergeCell ref="Q184:R184"/>
    <mergeCell ref="Q185:R185"/>
    <mergeCell ref="Q186:R186"/>
    <mergeCell ref="Q187:R187"/>
    <mergeCell ref="Q176:R176"/>
    <mergeCell ref="Q177:R177"/>
    <mergeCell ref="Q178:R178"/>
    <mergeCell ref="Q179:R179"/>
    <mergeCell ref="Q180:R180"/>
    <mergeCell ref="Q181:R181"/>
    <mergeCell ref="Q170:R170"/>
    <mergeCell ref="Q171:R171"/>
    <mergeCell ref="Q172:R172"/>
    <mergeCell ref="Q173:R173"/>
    <mergeCell ref="Q174:R174"/>
    <mergeCell ref="Q175:R175"/>
    <mergeCell ref="Q165:R165"/>
    <mergeCell ref="Q166:R166"/>
    <mergeCell ref="Q167:R167"/>
    <mergeCell ref="Q168:R168"/>
    <mergeCell ref="D169:I169"/>
    <mergeCell ref="Q169:R169"/>
    <mergeCell ref="Q159:R159"/>
    <mergeCell ref="Q160:R160"/>
    <mergeCell ref="Q161:R161"/>
    <mergeCell ref="Q162:R162"/>
    <mergeCell ref="Q163:R163"/>
    <mergeCell ref="Q164:R164"/>
    <mergeCell ref="Q153:R153"/>
    <mergeCell ref="Q154:R154"/>
    <mergeCell ref="Q155:R155"/>
    <mergeCell ref="Q156:R156"/>
    <mergeCell ref="Q157:R157"/>
    <mergeCell ref="Q158:R158"/>
    <mergeCell ref="Q147:R147"/>
    <mergeCell ref="Q148:R148"/>
    <mergeCell ref="Q149:R149"/>
    <mergeCell ref="Q150:R150"/>
    <mergeCell ref="Q151:R151"/>
    <mergeCell ref="Q152:R152"/>
    <mergeCell ref="Q141:R141"/>
    <mergeCell ref="Q142:R142"/>
    <mergeCell ref="Q143:R143"/>
    <mergeCell ref="Q144:R144"/>
    <mergeCell ref="Q145:R145"/>
    <mergeCell ref="Q146:R146"/>
    <mergeCell ref="Q135:R135"/>
    <mergeCell ref="Q136:R136"/>
    <mergeCell ref="Q137:R137"/>
    <mergeCell ref="Q138:R138"/>
    <mergeCell ref="Q139:R139"/>
    <mergeCell ref="Q140:R140"/>
    <mergeCell ref="Q129:R129"/>
    <mergeCell ref="Q130:R130"/>
    <mergeCell ref="Q131:R131"/>
    <mergeCell ref="Q132:R132"/>
    <mergeCell ref="Q133:R133"/>
    <mergeCell ref="Q134:R134"/>
    <mergeCell ref="D124:I124"/>
    <mergeCell ref="Q124:R124"/>
    <mergeCell ref="Q125:R125"/>
    <mergeCell ref="Q126:R126"/>
    <mergeCell ref="Q127:R127"/>
    <mergeCell ref="Q128:R128"/>
    <mergeCell ref="Q118:R118"/>
    <mergeCell ref="Q119:R119"/>
    <mergeCell ref="Q120:R120"/>
    <mergeCell ref="Q121:R121"/>
    <mergeCell ref="Q122:R122"/>
    <mergeCell ref="Q123:R123"/>
    <mergeCell ref="Q112:R112"/>
    <mergeCell ref="Q113:R113"/>
    <mergeCell ref="Q114:R114"/>
    <mergeCell ref="Q115:R115"/>
    <mergeCell ref="Q116:R116"/>
    <mergeCell ref="Q117:R117"/>
    <mergeCell ref="Q106:R106"/>
    <mergeCell ref="Q107:R107"/>
    <mergeCell ref="Q108:R108"/>
    <mergeCell ref="Q109:R109"/>
    <mergeCell ref="Q110:R110"/>
    <mergeCell ref="Q111:R111"/>
    <mergeCell ref="Q100:R100"/>
    <mergeCell ref="Q101:R101"/>
    <mergeCell ref="Q102:R102"/>
    <mergeCell ref="Q103:R103"/>
    <mergeCell ref="Q104:R104"/>
    <mergeCell ref="Q105:R105"/>
    <mergeCell ref="Q94:R94"/>
    <mergeCell ref="Q95:R95"/>
    <mergeCell ref="Q96:R96"/>
    <mergeCell ref="Q97:R97"/>
    <mergeCell ref="Q98:R98"/>
    <mergeCell ref="Q99:R99"/>
    <mergeCell ref="Q88:R88"/>
    <mergeCell ref="Q89:R89"/>
    <mergeCell ref="Q90:R90"/>
    <mergeCell ref="Q91:R91"/>
    <mergeCell ref="Q92:R92"/>
    <mergeCell ref="Q93:R93"/>
    <mergeCell ref="D83:I83"/>
    <mergeCell ref="Q83:R83"/>
    <mergeCell ref="Q84:R84"/>
    <mergeCell ref="Q85:R85"/>
    <mergeCell ref="Q86:R86"/>
    <mergeCell ref="Q87:R87"/>
    <mergeCell ref="D80:I80"/>
    <mergeCell ref="Q80:R80"/>
    <mergeCell ref="D81:I81"/>
    <mergeCell ref="Q81:R81"/>
    <mergeCell ref="D82:I82"/>
    <mergeCell ref="Q82:R82"/>
    <mergeCell ref="Q74:R74"/>
    <mergeCell ref="Q75:R75"/>
    <mergeCell ref="Q76:R76"/>
    <mergeCell ref="Q77:R77"/>
    <mergeCell ref="Q78:R78"/>
    <mergeCell ref="Q79:R79"/>
    <mergeCell ref="Q68:R68"/>
    <mergeCell ref="Q69:R69"/>
    <mergeCell ref="Q70:R70"/>
    <mergeCell ref="Q71:R71"/>
    <mergeCell ref="Q72:R72"/>
    <mergeCell ref="Q73:R73"/>
    <mergeCell ref="D63:I63"/>
    <mergeCell ref="Q63:R63"/>
    <mergeCell ref="Q64:R64"/>
    <mergeCell ref="Q65:R65"/>
    <mergeCell ref="Q66:R66"/>
    <mergeCell ref="Q67:R67"/>
    <mergeCell ref="Q57:R57"/>
    <mergeCell ref="Q58:R58"/>
    <mergeCell ref="Q59:R59"/>
    <mergeCell ref="Q60:R60"/>
    <mergeCell ref="Q61:R61"/>
    <mergeCell ref="Q62:R62"/>
    <mergeCell ref="Q51:R51"/>
    <mergeCell ref="Q52:R52"/>
    <mergeCell ref="Q53:R53"/>
    <mergeCell ref="Q54:R54"/>
    <mergeCell ref="Q55:R55"/>
    <mergeCell ref="Q56:R56"/>
    <mergeCell ref="Q45:R45"/>
    <mergeCell ref="Q46:R46"/>
    <mergeCell ref="Q47:R47"/>
    <mergeCell ref="Q48:R48"/>
    <mergeCell ref="Q49:R49"/>
    <mergeCell ref="Q50:R50"/>
    <mergeCell ref="D40:I40"/>
    <mergeCell ref="Q40:R40"/>
    <mergeCell ref="Q41:R41"/>
    <mergeCell ref="Q42:R42"/>
    <mergeCell ref="Q43:R43"/>
    <mergeCell ref="Q44:R44"/>
    <mergeCell ref="D37:I37"/>
    <mergeCell ref="Q37:R37"/>
    <mergeCell ref="D38:I38"/>
    <mergeCell ref="Q38:R38"/>
    <mergeCell ref="D39:I39"/>
    <mergeCell ref="Q39:R39"/>
    <mergeCell ref="Q35:R35"/>
    <mergeCell ref="Q36:R36"/>
    <mergeCell ref="F18:R18"/>
    <mergeCell ref="C21:R22"/>
    <mergeCell ref="M23:N23"/>
    <mergeCell ref="I24:J24"/>
    <mergeCell ref="K24:L24"/>
    <mergeCell ref="H25:I25"/>
    <mergeCell ref="K25:L25"/>
    <mergeCell ref="B6:R6"/>
    <mergeCell ref="B7:R7"/>
    <mergeCell ref="B9:R9"/>
    <mergeCell ref="B10:R10"/>
    <mergeCell ref="C12:Q12"/>
    <mergeCell ref="F14:R15"/>
    <mergeCell ref="L29:L31"/>
    <mergeCell ref="Q33:R33"/>
    <mergeCell ref="C34:I34"/>
    <mergeCell ref="Q34:R34"/>
  </mergeCells>
  <printOptions horizontalCentered="1"/>
  <pageMargins left="0.32" right="0.27" top="0.75" bottom="0.75" header="0.3" footer="0.3"/>
  <pageSetup paperSize="9" scale="55" fitToHeight="0" orientation="portrait" r:id="rId1"/>
  <rowBreaks count="1" manualBreakCount="1">
    <brk id="139" min="1" max="17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AFE8-C496-4199-9C48-E780F62EA827}">
  <sheetPr>
    <tabColor rgb="FF00B0F0"/>
  </sheetPr>
  <dimension ref="A1:Z262"/>
  <sheetViews>
    <sheetView showOutlineSymbols="0" view="pageBreakPreview" topLeftCell="A190" zoomScale="70" zoomScaleNormal="87" zoomScaleSheetLayoutView="70" workbookViewId="0">
      <selection activeCell="K37" sqref="K37"/>
    </sheetView>
  </sheetViews>
  <sheetFormatPr defaultColWidth="11.1796875" defaultRowHeight="15"/>
  <cols>
    <col min="1" max="1" width="1" style="28" customWidth="1"/>
    <col min="2" max="2" width="2.81640625" style="28" customWidth="1"/>
    <col min="3" max="3" width="2.54296875" style="28" customWidth="1"/>
    <col min="4" max="4" width="23.453125" style="28" customWidth="1"/>
    <col min="5" max="6" width="2.08984375" style="28" customWidth="1"/>
    <col min="7" max="7" width="1.453125" style="28" customWidth="1"/>
    <col min="8" max="8" width="12.08984375" style="28" customWidth="1"/>
    <col min="9" max="9" width="5.81640625" style="28" customWidth="1"/>
    <col min="10" max="10" width="10.453125" style="28" customWidth="1"/>
    <col min="11" max="14" width="9.54296875" style="28" customWidth="1"/>
    <col min="15" max="15" width="10" style="28" customWidth="1"/>
    <col min="16" max="16" width="14.08984375" style="28" customWidth="1"/>
    <col min="17" max="17" width="8" style="28" customWidth="1"/>
    <col min="18" max="18" width="8.81640625" style="28" customWidth="1"/>
    <col min="19" max="19" width="1" style="28" customWidth="1"/>
    <col min="20" max="20" width="11.1796875" style="28"/>
    <col min="21" max="22" width="14" style="28" bestFit="1" customWidth="1"/>
    <col min="23" max="252" width="11.1796875" style="28"/>
    <col min="253" max="253" width="1.81640625" style="28" customWidth="1"/>
    <col min="254" max="255" width="3.81640625" style="28" customWidth="1"/>
    <col min="256" max="256" width="11.81640625" style="28" customWidth="1"/>
    <col min="257" max="258" width="7.81640625" style="28" customWidth="1"/>
    <col min="259" max="260" width="8.81640625" style="28" customWidth="1"/>
    <col min="261" max="261" width="10.81640625" style="28" customWidth="1"/>
    <col min="262" max="262" width="8.81640625" style="28" customWidth="1"/>
    <col min="263" max="263" width="7.81640625" style="28" customWidth="1"/>
    <col min="264" max="264" width="8.81640625" style="28" customWidth="1"/>
    <col min="265" max="265" width="2.81640625" style="28" customWidth="1"/>
    <col min="266" max="266" width="1.81640625" style="28" customWidth="1"/>
    <col min="267" max="508" width="11.1796875" style="28"/>
    <col min="509" max="509" width="1.81640625" style="28" customWidth="1"/>
    <col min="510" max="511" width="3.81640625" style="28" customWidth="1"/>
    <col min="512" max="512" width="11.81640625" style="28" customWidth="1"/>
    <col min="513" max="514" width="7.81640625" style="28" customWidth="1"/>
    <col min="515" max="516" width="8.81640625" style="28" customWidth="1"/>
    <col min="517" max="517" width="10.81640625" style="28" customWidth="1"/>
    <col min="518" max="518" width="8.81640625" style="28" customWidth="1"/>
    <col min="519" max="519" width="7.81640625" style="28" customWidth="1"/>
    <col min="520" max="520" width="8.81640625" style="28" customWidth="1"/>
    <col min="521" max="521" width="2.81640625" style="28" customWidth="1"/>
    <col min="522" max="522" width="1.81640625" style="28" customWidth="1"/>
    <col min="523" max="764" width="11.1796875" style="28"/>
    <col min="765" max="765" width="1.81640625" style="28" customWidth="1"/>
    <col min="766" max="767" width="3.81640625" style="28" customWidth="1"/>
    <col min="768" max="768" width="11.81640625" style="28" customWidth="1"/>
    <col min="769" max="770" width="7.81640625" style="28" customWidth="1"/>
    <col min="771" max="772" width="8.81640625" style="28" customWidth="1"/>
    <col min="773" max="773" width="10.81640625" style="28" customWidth="1"/>
    <col min="774" max="774" width="8.81640625" style="28" customWidth="1"/>
    <col min="775" max="775" width="7.81640625" style="28" customWidth="1"/>
    <col min="776" max="776" width="8.81640625" style="28" customWidth="1"/>
    <col min="777" max="777" width="2.81640625" style="28" customWidth="1"/>
    <col min="778" max="778" width="1.81640625" style="28" customWidth="1"/>
    <col min="779" max="1020" width="11.1796875" style="28"/>
    <col min="1021" max="1021" width="1.81640625" style="28" customWidth="1"/>
    <col min="1022" max="1023" width="3.81640625" style="28" customWidth="1"/>
    <col min="1024" max="1024" width="11.81640625" style="28" customWidth="1"/>
    <col min="1025" max="1026" width="7.81640625" style="28" customWidth="1"/>
    <col min="1027" max="1028" width="8.81640625" style="28" customWidth="1"/>
    <col min="1029" max="1029" width="10.81640625" style="28" customWidth="1"/>
    <col min="1030" max="1030" width="8.81640625" style="28" customWidth="1"/>
    <col min="1031" max="1031" width="7.81640625" style="28" customWidth="1"/>
    <col min="1032" max="1032" width="8.81640625" style="28" customWidth="1"/>
    <col min="1033" max="1033" width="2.81640625" style="28" customWidth="1"/>
    <col min="1034" max="1034" width="1.81640625" style="28" customWidth="1"/>
    <col min="1035" max="1276" width="11.1796875" style="28"/>
    <col min="1277" max="1277" width="1.81640625" style="28" customWidth="1"/>
    <col min="1278" max="1279" width="3.81640625" style="28" customWidth="1"/>
    <col min="1280" max="1280" width="11.81640625" style="28" customWidth="1"/>
    <col min="1281" max="1282" width="7.81640625" style="28" customWidth="1"/>
    <col min="1283" max="1284" width="8.81640625" style="28" customWidth="1"/>
    <col min="1285" max="1285" width="10.81640625" style="28" customWidth="1"/>
    <col min="1286" max="1286" width="8.81640625" style="28" customWidth="1"/>
    <col min="1287" max="1287" width="7.81640625" style="28" customWidth="1"/>
    <col min="1288" max="1288" width="8.81640625" style="28" customWidth="1"/>
    <col min="1289" max="1289" width="2.81640625" style="28" customWidth="1"/>
    <col min="1290" max="1290" width="1.81640625" style="28" customWidth="1"/>
    <col min="1291" max="1532" width="11.1796875" style="28"/>
    <col min="1533" max="1533" width="1.81640625" style="28" customWidth="1"/>
    <col min="1534" max="1535" width="3.81640625" style="28" customWidth="1"/>
    <col min="1536" max="1536" width="11.81640625" style="28" customWidth="1"/>
    <col min="1537" max="1538" width="7.81640625" style="28" customWidth="1"/>
    <col min="1539" max="1540" width="8.81640625" style="28" customWidth="1"/>
    <col min="1541" max="1541" width="10.81640625" style="28" customWidth="1"/>
    <col min="1542" max="1542" width="8.81640625" style="28" customWidth="1"/>
    <col min="1543" max="1543" width="7.81640625" style="28" customWidth="1"/>
    <col min="1544" max="1544" width="8.81640625" style="28" customWidth="1"/>
    <col min="1545" max="1545" width="2.81640625" style="28" customWidth="1"/>
    <col min="1546" max="1546" width="1.81640625" style="28" customWidth="1"/>
    <col min="1547" max="1788" width="11.1796875" style="28"/>
    <col min="1789" max="1789" width="1.81640625" style="28" customWidth="1"/>
    <col min="1790" max="1791" width="3.81640625" style="28" customWidth="1"/>
    <col min="1792" max="1792" width="11.81640625" style="28" customWidth="1"/>
    <col min="1793" max="1794" width="7.81640625" style="28" customWidth="1"/>
    <col min="1795" max="1796" width="8.81640625" style="28" customWidth="1"/>
    <col min="1797" max="1797" width="10.81640625" style="28" customWidth="1"/>
    <col min="1798" max="1798" width="8.81640625" style="28" customWidth="1"/>
    <col min="1799" max="1799" width="7.81640625" style="28" customWidth="1"/>
    <col min="1800" max="1800" width="8.81640625" style="28" customWidth="1"/>
    <col min="1801" max="1801" width="2.81640625" style="28" customWidth="1"/>
    <col min="1802" max="1802" width="1.81640625" style="28" customWidth="1"/>
    <col min="1803" max="2044" width="11.1796875" style="28"/>
    <col min="2045" max="2045" width="1.81640625" style="28" customWidth="1"/>
    <col min="2046" max="2047" width="3.81640625" style="28" customWidth="1"/>
    <col min="2048" max="2048" width="11.81640625" style="28" customWidth="1"/>
    <col min="2049" max="2050" width="7.81640625" style="28" customWidth="1"/>
    <col min="2051" max="2052" width="8.81640625" style="28" customWidth="1"/>
    <col min="2053" max="2053" width="10.81640625" style="28" customWidth="1"/>
    <col min="2054" max="2054" width="8.81640625" style="28" customWidth="1"/>
    <col min="2055" max="2055" width="7.81640625" style="28" customWidth="1"/>
    <col min="2056" max="2056" width="8.81640625" style="28" customWidth="1"/>
    <col min="2057" max="2057" width="2.81640625" style="28" customWidth="1"/>
    <col min="2058" max="2058" width="1.81640625" style="28" customWidth="1"/>
    <col min="2059" max="2300" width="11.1796875" style="28"/>
    <col min="2301" max="2301" width="1.81640625" style="28" customWidth="1"/>
    <col min="2302" max="2303" width="3.81640625" style="28" customWidth="1"/>
    <col min="2304" max="2304" width="11.81640625" style="28" customWidth="1"/>
    <col min="2305" max="2306" width="7.81640625" style="28" customWidth="1"/>
    <col min="2307" max="2308" width="8.81640625" style="28" customWidth="1"/>
    <col min="2309" max="2309" width="10.81640625" style="28" customWidth="1"/>
    <col min="2310" max="2310" width="8.81640625" style="28" customWidth="1"/>
    <col min="2311" max="2311" width="7.81640625" style="28" customWidth="1"/>
    <col min="2312" max="2312" width="8.81640625" style="28" customWidth="1"/>
    <col min="2313" max="2313" width="2.81640625" style="28" customWidth="1"/>
    <col min="2314" max="2314" width="1.81640625" style="28" customWidth="1"/>
    <col min="2315" max="2556" width="11.1796875" style="28"/>
    <col min="2557" max="2557" width="1.81640625" style="28" customWidth="1"/>
    <col min="2558" max="2559" width="3.81640625" style="28" customWidth="1"/>
    <col min="2560" max="2560" width="11.81640625" style="28" customWidth="1"/>
    <col min="2561" max="2562" width="7.81640625" style="28" customWidth="1"/>
    <col min="2563" max="2564" width="8.81640625" style="28" customWidth="1"/>
    <col min="2565" max="2565" width="10.81640625" style="28" customWidth="1"/>
    <col min="2566" max="2566" width="8.81640625" style="28" customWidth="1"/>
    <col min="2567" max="2567" width="7.81640625" style="28" customWidth="1"/>
    <col min="2568" max="2568" width="8.81640625" style="28" customWidth="1"/>
    <col min="2569" max="2569" width="2.81640625" style="28" customWidth="1"/>
    <col min="2570" max="2570" width="1.81640625" style="28" customWidth="1"/>
    <col min="2571" max="2812" width="11.1796875" style="28"/>
    <col min="2813" max="2813" width="1.81640625" style="28" customWidth="1"/>
    <col min="2814" max="2815" width="3.81640625" style="28" customWidth="1"/>
    <col min="2816" max="2816" width="11.81640625" style="28" customWidth="1"/>
    <col min="2817" max="2818" width="7.81640625" style="28" customWidth="1"/>
    <col min="2819" max="2820" width="8.81640625" style="28" customWidth="1"/>
    <col min="2821" max="2821" width="10.81640625" style="28" customWidth="1"/>
    <col min="2822" max="2822" width="8.81640625" style="28" customWidth="1"/>
    <col min="2823" max="2823" width="7.81640625" style="28" customWidth="1"/>
    <col min="2824" max="2824" width="8.81640625" style="28" customWidth="1"/>
    <col min="2825" max="2825" width="2.81640625" style="28" customWidth="1"/>
    <col min="2826" max="2826" width="1.81640625" style="28" customWidth="1"/>
    <col min="2827" max="3068" width="11.1796875" style="28"/>
    <col min="3069" max="3069" width="1.81640625" style="28" customWidth="1"/>
    <col min="3070" max="3071" width="3.81640625" style="28" customWidth="1"/>
    <col min="3072" max="3072" width="11.81640625" style="28" customWidth="1"/>
    <col min="3073" max="3074" width="7.81640625" style="28" customWidth="1"/>
    <col min="3075" max="3076" width="8.81640625" style="28" customWidth="1"/>
    <col min="3077" max="3077" width="10.81640625" style="28" customWidth="1"/>
    <col min="3078" max="3078" width="8.81640625" style="28" customWidth="1"/>
    <col min="3079" max="3079" width="7.81640625" style="28" customWidth="1"/>
    <col min="3080" max="3080" width="8.81640625" style="28" customWidth="1"/>
    <col min="3081" max="3081" width="2.81640625" style="28" customWidth="1"/>
    <col min="3082" max="3082" width="1.81640625" style="28" customWidth="1"/>
    <col min="3083" max="3324" width="11.1796875" style="28"/>
    <col min="3325" max="3325" width="1.81640625" style="28" customWidth="1"/>
    <col min="3326" max="3327" width="3.81640625" style="28" customWidth="1"/>
    <col min="3328" max="3328" width="11.81640625" style="28" customWidth="1"/>
    <col min="3329" max="3330" width="7.81640625" style="28" customWidth="1"/>
    <col min="3331" max="3332" width="8.81640625" style="28" customWidth="1"/>
    <col min="3333" max="3333" width="10.81640625" style="28" customWidth="1"/>
    <col min="3334" max="3334" width="8.81640625" style="28" customWidth="1"/>
    <col min="3335" max="3335" width="7.81640625" style="28" customWidth="1"/>
    <col min="3336" max="3336" width="8.81640625" style="28" customWidth="1"/>
    <col min="3337" max="3337" width="2.81640625" style="28" customWidth="1"/>
    <col min="3338" max="3338" width="1.81640625" style="28" customWidth="1"/>
    <col min="3339" max="3580" width="11.1796875" style="28"/>
    <col min="3581" max="3581" width="1.81640625" style="28" customWidth="1"/>
    <col min="3582" max="3583" width="3.81640625" style="28" customWidth="1"/>
    <col min="3584" max="3584" width="11.81640625" style="28" customWidth="1"/>
    <col min="3585" max="3586" width="7.81640625" style="28" customWidth="1"/>
    <col min="3587" max="3588" width="8.81640625" style="28" customWidth="1"/>
    <col min="3589" max="3589" width="10.81640625" style="28" customWidth="1"/>
    <col min="3590" max="3590" width="8.81640625" style="28" customWidth="1"/>
    <col min="3591" max="3591" width="7.81640625" style="28" customWidth="1"/>
    <col min="3592" max="3592" width="8.81640625" style="28" customWidth="1"/>
    <col min="3593" max="3593" width="2.81640625" style="28" customWidth="1"/>
    <col min="3594" max="3594" width="1.81640625" style="28" customWidth="1"/>
    <col min="3595" max="3836" width="11.1796875" style="28"/>
    <col min="3837" max="3837" width="1.81640625" style="28" customWidth="1"/>
    <col min="3838" max="3839" width="3.81640625" style="28" customWidth="1"/>
    <col min="3840" max="3840" width="11.81640625" style="28" customWidth="1"/>
    <col min="3841" max="3842" width="7.81640625" style="28" customWidth="1"/>
    <col min="3843" max="3844" width="8.81640625" style="28" customWidth="1"/>
    <col min="3845" max="3845" width="10.81640625" style="28" customWidth="1"/>
    <col min="3846" max="3846" width="8.81640625" style="28" customWidth="1"/>
    <col min="3847" max="3847" width="7.81640625" style="28" customWidth="1"/>
    <col min="3848" max="3848" width="8.81640625" style="28" customWidth="1"/>
    <col min="3849" max="3849" width="2.81640625" style="28" customWidth="1"/>
    <col min="3850" max="3850" width="1.81640625" style="28" customWidth="1"/>
    <col min="3851" max="4092" width="11.1796875" style="28"/>
    <col min="4093" max="4093" width="1.81640625" style="28" customWidth="1"/>
    <col min="4094" max="4095" width="3.81640625" style="28" customWidth="1"/>
    <col min="4096" max="4096" width="11.81640625" style="28" customWidth="1"/>
    <col min="4097" max="4098" width="7.81640625" style="28" customWidth="1"/>
    <col min="4099" max="4100" width="8.81640625" style="28" customWidth="1"/>
    <col min="4101" max="4101" width="10.81640625" style="28" customWidth="1"/>
    <col min="4102" max="4102" width="8.81640625" style="28" customWidth="1"/>
    <col min="4103" max="4103" width="7.81640625" style="28" customWidth="1"/>
    <col min="4104" max="4104" width="8.81640625" style="28" customWidth="1"/>
    <col min="4105" max="4105" width="2.81640625" style="28" customWidth="1"/>
    <col min="4106" max="4106" width="1.81640625" style="28" customWidth="1"/>
    <col min="4107" max="4348" width="11.1796875" style="28"/>
    <col min="4349" max="4349" width="1.81640625" style="28" customWidth="1"/>
    <col min="4350" max="4351" width="3.81640625" style="28" customWidth="1"/>
    <col min="4352" max="4352" width="11.81640625" style="28" customWidth="1"/>
    <col min="4353" max="4354" width="7.81640625" style="28" customWidth="1"/>
    <col min="4355" max="4356" width="8.81640625" style="28" customWidth="1"/>
    <col min="4357" max="4357" width="10.81640625" style="28" customWidth="1"/>
    <col min="4358" max="4358" width="8.81640625" style="28" customWidth="1"/>
    <col min="4359" max="4359" width="7.81640625" style="28" customWidth="1"/>
    <col min="4360" max="4360" width="8.81640625" style="28" customWidth="1"/>
    <col min="4361" max="4361" width="2.81640625" style="28" customWidth="1"/>
    <col min="4362" max="4362" width="1.81640625" style="28" customWidth="1"/>
    <col min="4363" max="4604" width="11.1796875" style="28"/>
    <col min="4605" max="4605" width="1.81640625" style="28" customWidth="1"/>
    <col min="4606" max="4607" width="3.81640625" style="28" customWidth="1"/>
    <col min="4608" max="4608" width="11.81640625" style="28" customWidth="1"/>
    <col min="4609" max="4610" width="7.81640625" style="28" customWidth="1"/>
    <col min="4611" max="4612" width="8.81640625" style="28" customWidth="1"/>
    <col min="4613" max="4613" width="10.81640625" style="28" customWidth="1"/>
    <col min="4614" max="4614" width="8.81640625" style="28" customWidth="1"/>
    <col min="4615" max="4615" width="7.81640625" style="28" customWidth="1"/>
    <col min="4616" max="4616" width="8.81640625" style="28" customWidth="1"/>
    <col min="4617" max="4617" width="2.81640625" style="28" customWidth="1"/>
    <col min="4618" max="4618" width="1.81640625" style="28" customWidth="1"/>
    <col min="4619" max="4860" width="11.1796875" style="28"/>
    <col min="4861" max="4861" width="1.81640625" style="28" customWidth="1"/>
    <col min="4862" max="4863" width="3.81640625" style="28" customWidth="1"/>
    <col min="4864" max="4864" width="11.81640625" style="28" customWidth="1"/>
    <col min="4865" max="4866" width="7.81640625" style="28" customWidth="1"/>
    <col min="4867" max="4868" width="8.81640625" style="28" customWidth="1"/>
    <col min="4869" max="4869" width="10.81640625" style="28" customWidth="1"/>
    <col min="4870" max="4870" width="8.81640625" style="28" customWidth="1"/>
    <col min="4871" max="4871" width="7.81640625" style="28" customWidth="1"/>
    <col min="4872" max="4872" width="8.81640625" style="28" customWidth="1"/>
    <col min="4873" max="4873" width="2.81640625" style="28" customWidth="1"/>
    <col min="4874" max="4874" width="1.81640625" style="28" customWidth="1"/>
    <col min="4875" max="5116" width="11.1796875" style="28"/>
    <col min="5117" max="5117" width="1.81640625" style="28" customWidth="1"/>
    <col min="5118" max="5119" width="3.81640625" style="28" customWidth="1"/>
    <col min="5120" max="5120" width="11.81640625" style="28" customWidth="1"/>
    <col min="5121" max="5122" width="7.81640625" style="28" customWidth="1"/>
    <col min="5123" max="5124" width="8.81640625" style="28" customWidth="1"/>
    <col min="5125" max="5125" width="10.81640625" style="28" customWidth="1"/>
    <col min="5126" max="5126" width="8.81640625" style="28" customWidth="1"/>
    <col min="5127" max="5127" width="7.81640625" style="28" customWidth="1"/>
    <col min="5128" max="5128" width="8.81640625" style="28" customWidth="1"/>
    <col min="5129" max="5129" width="2.81640625" style="28" customWidth="1"/>
    <col min="5130" max="5130" width="1.81640625" style="28" customWidth="1"/>
    <col min="5131" max="5372" width="11.1796875" style="28"/>
    <col min="5373" max="5373" width="1.81640625" style="28" customWidth="1"/>
    <col min="5374" max="5375" width="3.81640625" style="28" customWidth="1"/>
    <col min="5376" max="5376" width="11.81640625" style="28" customWidth="1"/>
    <col min="5377" max="5378" width="7.81640625" style="28" customWidth="1"/>
    <col min="5379" max="5380" width="8.81640625" style="28" customWidth="1"/>
    <col min="5381" max="5381" width="10.81640625" style="28" customWidth="1"/>
    <col min="5382" max="5382" width="8.81640625" style="28" customWidth="1"/>
    <col min="5383" max="5383" width="7.81640625" style="28" customWidth="1"/>
    <col min="5384" max="5384" width="8.81640625" style="28" customWidth="1"/>
    <col min="5385" max="5385" width="2.81640625" style="28" customWidth="1"/>
    <col min="5386" max="5386" width="1.81640625" style="28" customWidth="1"/>
    <col min="5387" max="5628" width="11.1796875" style="28"/>
    <col min="5629" max="5629" width="1.81640625" style="28" customWidth="1"/>
    <col min="5630" max="5631" width="3.81640625" style="28" customWidth="1"/>
    <col min="5632" max="5632" width="11.81640625" style="28" customWidth="1"/>
    <col min="5633" max="5634" width="7.81640625" style="28" customWidth="1"/>
    <col min="5635" max="5636" width="8.81640625" style="28" customWidth="1"/>
    <col min="5637" max="5637" width="10.81640625" style="28" customWidth="1"/>
    <col min="5638" max="5638" width="8.81640625" style="28" customWidth="1"/>
    <col min="5639" max="5639" width="7.81640625" style="28" customWidth="1"/>
    <col min="5640" max="5640" width="8.81640625" style="28" customWidth="1"/>
    <col min="5641" max="5641" width="2.81640625" style="28" customWidth="1"/>
    <col min="5642" max="5642" width="1.81640625" style="28" customWidth="1"/>
    <col min="5643" max="5884" width="11.1796875" style="28"/>
    <col min="5885" max="5885" width="1.81640625" style="28" customWidth="1"/>
    <col min="5886" max="5887" width="3.81640625" style="28" customWidth="1"/>
    <col min="5888" max="5888" width="11.81640625" style="28" customWidth="1"/>
    <col min="5889" max="5890" width="7.81640625" style="28" customWidth="1"/>
    <col min="5891" max="5892" width="8.81640625" style="28" customWidth="1"/>
    <col min="5893" max="5893" width="10.81640625" style="28" customWidth="1"/>
    <col min="5894" max="5894" width="8.81640625" style="28" customWidth="1"/>
    <col min="5895" max="5895" width="7.81640625" style="28" customWidth="1"/>
    <col min="5896" max="5896" width="8.81640625" style="28" customWidth="1"/>
    <col min="5897" max="5897" width="2.81640625" style="28" customWidth="1"/>
    <col min="5898" max="5898" width="1.81640625" style="28" customWidth="1"/>
    <col min="5899" max="6140" width="11.1796875" style="28"/>
    <col min="6141" max="6141" width="1.81640625" style="28" customWidth="1"/>
    <col min="6142" max="6143" width="3.81640625" style="28" customWidth="1"/>
    <col min="6144" max="6144" width="11.81640625" style="28" customWidth="1"/>
    <col min="6145" max="6146" width="7.81640625" style="28" customWidth="1"/>
    <col min="6147" max="6148" width="8.81640625" style="28" customWidth="1"/>
    <col min="6149" max="6149" width="10.81640625" style="28" customWidth="1"/>
    <col min="6150" max="6150" width="8.81640625" style="28" customWidth="1"/>
    <col min="6151" max="6151" width="7.81640625" style="28" customWidth="1"/>
    <col min="6152" max="6152" width="8.81640625" style="28" customWidth="1"/>
    <col min="6153" max="6153" width="2.81640625" style="28" customWidth="1"/>
    <col min="6154" max="6154" width="1.81640625" style="28" customWidth="1"/>
    <col min="6155" max="6396" width="11.1796875" style="28"/>
    <col min="6397" max="6397" width="1.81640625" style="28" customWidth="1"/>
    <col min="6398" max="6399" width="3.81640625" style="28" customWidth="1"/>
    <col min="6400" max="6400" width="11.81640625" style="28" customWidth="1"/>
    <col min="6401" max="6402" width="7.81640625" style="28" customWidth="1"/>
    <col min="6403" max="6404" width="8.81640625" style="28" customWidth="1"/>
    <col min="6405" max="6405" width="10.81640625" style="28" customWidth="1"/>
    <col min="6406" max="6406" width="8.81640625" style="28" customWidth="1"/>
    <col min="6407" max="6407" width="7.81640625" style="28" customWidth="1"/>
    <col min="6408" max="6408" width="8.81640625" style="28" customWidth="1"/>
    <col min="6409" max="6409" width="2.81640625" style="28" customWidth="1"/>
    <col min="6410" max="6410" width="1.81640625" style="28" customWidth="1"/>
    <col min="6411" max="6652" width="11.1796875" style="28"/>
    <col min="6653" max="6653" width="1.81640625" style="28" customWidth="1"/>
    <col min="6654" max="6655" width="3.81640625" style="28" customWidth="1"/>
    <col min="6656" max="6656" width="11.81640625" style="28" customWidth="1"/>
    <col min="6657" max="6658" width="7.81640625" style="28" customWidth="1"/>
    <col min="6659" max="6660" width="8.81640625" style="28" customWidth="1"/>
    <col min="6661" max="6661" width="10.81640625" style="28" customWidth="1"/>
    <col min="6662" max="6662" width="8.81640625" style="28" customWidth="1"/>
    <col min="6663" max="6663" width="7.81640625" style="28" customWidth="1"/>
    <col min="6664" max="6664" width="8.81640625" style="28" customWidth="1"/>
    <col min="6665" max="6665" width="2.81640625" style="28" customWidth="1"/>
    <col min="6666" max="6666" width="1.81640625" style="28" customWidth="1"/>
    <col min="6667" max="6908" width="11.1796875" style="28"/>
    <col min="6909" max="6909" width="1.81640625" style="28" customWidth="1"/>
    <col min="6910" max="6911" width="3.81640625" style="28" customWidth="1"/>
    <col min="6912" max="6912" width="11.81640625" style="28" customWidth="1"/>
    <col min="6913" max="6914" width="7.81640625" style="28" customWidth="1"/>
    <col min="6915" max="6916" width="8.81640625" style="28" customWidth="1"/>
    <col min="6917" max="6917" width="10.81640625" style="28" customWidth="1"/>
    <col min="6918" max="6918" width="8.81640625" style="28" customWidth="1"/>
    <col min="6919" max="6919" width="7.81640625" style="28" customWidth="1"/>
    <col min="6920" max="6920" width="8.81640625" style="28" customWidth="1"/>
    <col min="6921" max="6921" width="2.81640625" style="28" customWidth="1"/>
    <col min="6922" max="6922" width="1.81640625" style="28" customWidth="1"/>
    <col min="6923" max="7164" width="11.1796875" style="28"/>
    <col min="7165" max="7165" width="1.81640625" style="28" customWidth="1"/>
    <col min="7166" max="7167" width="3.81640625" style="28" customWidth="1"/>
    <col min="7168" max="7168" width="11.81640625" style="28" customWidth="1"/>
    <col min="7169" max="7170" width="7.81640625" style="28" customWidth="1"/>
    <col min="7171" max="7172" width="8.81640625" style="28" customWidth="1"/>
    <col min="7173" max="7173" width="10.81640625" style="28" customWidth="1"/>
    <col min="7174" max="7174" width="8.81640625" style="28" customWidth="1"/>
    <col min="7175" max="7175" width="7.81640625" style="28" customWidth="1"/>
    <col min="7176" max="7176" width="8.81640625" style="28" customWidth="1"/>
    <col min="7177" max="7177" width="2.81640625" style="28" customWidth="1"/>
    <col min="7178" max="7178" width="1.81640625" style="28" customWidth="1"/>
    <col min="7179" max="7420" width="11.1796875" style="28"/>
    <col min="7421" max="7421" width="1.81640625" style="28" customWidth="1"/>
    <col min="7422" max="7423" width="3.81640625" style="28" customWidth="1"/>
    <col min="7424" max="7424" width="11.81640625" style="28" customWidth="1"/>
    <col min="7425" max="7426" width="7.81640625" style="28" customWidth="1"/>
    <col min="7427" max="7428" width="8.81640625" style="28" customWidth="1"/>
    <col min="7429" max="7429" width="10.81640625" style="28" customWidth="1"/>
    <col min="7430" max="7430" width="8.81640625" style="28" customWidth="1"/>
    <col min="7431" max="7431" width="7.81640625" style="28" customWidth="1"/>
    <col min="7432" max="7432" width="8.81640625" style="28" customWidth="1"/>
    <col min="7433" max="7433" width="2.81640625" style="28" customWidth="1"/>
    <col min="7434" max="7434" width="1.81640625" style="28" customWidth="1"/>
    <col min="7435" max="7676" width="11.1796875" style="28"/>
    <col min="7677" max="7677" width="1.81640625" style="28" customWidth="1"/>
    <col min="7678" max="7679" width="3.81640625" style="28" customWidth="1"/>
    <col min="7680" max="7680" width="11.81640625" style="28" customWidth="1"/>
    <col min="7681" max="7682" width="7.81640625" style="28" customWidth="1"/>
    <col min="7683" max="7684" width="8.81640625" style="28" customWidth="1"/>
    <col min="7685" max="7685" width="10.81640625" style="28" customWidth="1"/>
    <col min="7686" max="7686" width="8.81640625" style="28" customWidth="1"/>
    <col min="7687" max="7687" width="7.81640625" style="28" customWidth="1"/>
    <col min="7688" max="7688" width="8.81640625" style="28" customWidth="1"/>
    <col min="7689" max="7689" width="2.81640625" style="28" customWidth="1"/>
    <col min="7690" max="7690" width="1.81640625" style="28" customWidth="1"/>
    <col min="7691" max="7932" width="11.1796875" style="28"/>
    <col min="7933" max="7933" width="1.81640625" style="28" customWidth="1"/>
    <col min="7934" max="7935" width="3.81640625" style="28" customWidth="1"/>
    <col min="7936" max="7936" width="11.81640625" style="28" customWidth="1"/>
    <col min="7937" max="7938" width="7.81640625" style="28" customWidth="1"/>
    <col min="7939" max="7940" width="8.81640625" style="28" customWidth="1"/>
    <col min="7941" max="7941" width="10.81640625" style="28" customWidth="1"/>
    <col min="7942" max="7942" width="8.81640625" style="28" customWidth="1"/>
    <col min="7943" max="7943" width="7.81640625" style="28" customWidth="1"/>
    <col min="7944" max="7944" width="8.81640625" style="28" customWidth="1"/>
    <col min="7945" max="7945" width="2.81640625" style="28" customWidth="1"/>
    <col min="7946" max="7946" width="1.81640625" style="28" customWidth="1"/>
    <col min="7947" max="8188" width="11.1796875" style="28"/>
    <col min="8189" max="8189" width="1.81640625" style="28" customWidth="1"/>
    <col min="8190" max="8191" width="3.81640625" style="28" customWidth="1"/>
    <col min="8192" max="8192" width="11.81640625" style="28" customWidth="1"/>
    <col min="8193" max="8194" width="7.81640625" style="28" customWidth="1"/>
    <col min="8195" max="8196" width="8.81640625" style="28" customWidth="1"/>
    <col min="8197" max="8197" width="10.81640625" style="28" customWidth="1"/>
    <col min="8198" max="8198" width="8.81640625" style="28" customWidth="1"/>
    <col min="8199" max="8199" width="7.81640625" style="28" customWidth="1"/>
    <col min="8200" max="8200" width="8.81640625" style="28" customWidth="1"/>
    <col min="8201" max="8201" width="2.81640625" style="28" customWidth="1"/>
    <col min="8202" max="8202" width="1.81640625" style="28" customWidth="1"/>
    <col min="8203" max="8444" width="11.1796875" style="28"/>
    <col min="8445" max="8445" width="1.81640625" style="28" customWidth="1"/>
    <col min="8446" max="8447" width="3.81640625" style="28" customWidth="1"/>
    <col min="8448" max="8448" width="11.81640625" style="28" customWidth="1"/>
    <col min="8449" max="8450" width="7.81640625" style="28" customWidth="1"/>
    <col min="8451" max="8452" width="8.81640625" style="28" customWidth="1"/>
    <col min="8453" max="8453" width="10.81640625" style="28" customWidth="1"/>
    <col min="8454" max="8454" width="8.81640625" style="28" customWidth="1"/>
    <col min="8455" max="8455" width="7.81640625" style="28" customWidth="1"/>
    <col min="8456" max="8456" width="8.81640625" style="28" customWidth="1"/>
    <col min="8457" max="8457" width="2.81640625" style="28" customWidth="1"/>
    <col min="8458" max="8458" width="1.81640625" style="28" customWidth="1"/>
    <col min="8459" max="8700" width="11.1796875" style="28"/>
    <col min="8701" max="8701" width="1.81640625" style="28" customWidth="1"/>
    <col min="8702" max="8703" width="3.81640625" style="28" customWidth="1"/>
    <col min="8704" max="8704" width="11.81640625" style="28" customWidth="1"/>
    <col min="8705" max="8706" width="7.81640625" style="28" customWidth="1"/>
    <col min="8707" max="8708" width="8.81640625" style="28" customWidth="1"/>
    <col min="8709" max="8709" width="10.81640625" style="28" customWidth="1"/>
    <col min="8710" max="8710" width="8.81640625" style="28" customWidth="1"/>
    <col min="8711" max="8711" width="7.81640625" style="28" customWidth="1"/>
    <col min="8712" max="8712" width="8.81640625" style="28" customWidth="1"/>
    <col min="8713" max="8713" width="2.81640625" style="28" customWidth="1"/>
    <col min="8714" max="8714" width="1.81640625" style="28" customWidth="1"/>
    <col min="8715" max="8956" width="11.1796875" style="28"/>
    <col min="8957" max="8957" width="1.81640625" style="28" customWidth="1"/>
    <col min="8958" max="8959" width="3.81640625" style="28" customWidth="1"/>
    <col min="8960" max="8960" width="11.81640625" style="28" customWidth="1"/>
    <col min="8961" max="8962" width="7.81640625" style="28" customWidth="1"/>
    <col min="8963" max="8964" width="8.81640625" style="28" customWidth="1"/>
    <col min="8965" max="8965" width="10.81640625" style="28" customWidth="1"/>
    <col min="8966" max="8966" width="8.81640625" style="28" customWidth="1"/>
    <col min="8967" max="8967" width="7.81640625" style="28" customWidth="1"/>
    <col min="8968" max="8968" width="8.81640625" style="28" customWidth="1"/>
    <col min="8969" max="8969" width="2.81640625" style="28" customWidth="1"/>
    <col min="8970" max="8970" width="1.81640625" style="28" customWidth="1"/>
    <col min="8971" max="9212" width="11.1796875" style="28"/>
    <col min="9213" max="9213" width="1.81640625" style="28" customWidth="1"/>
    <col min="9214" max="9215" width="3.81640625" style="28" customWidth="1"/>
    <col min="9216" max="9216" width="11.81640625" style="28" customWidth="1"/>
    <col min="9217" max="9218" width="7.81640625" style="28" customWidth="1"/>
    <col min="9219" max="9220" width="8.81640625" style="28" customWidth="1"/>
    <col min="9221" max="9221" width="10.81640625" style="28" customWidth="1"/>
    <col min="9222" max="9222" width="8.81640625" style="28" customWidth="1"/>
    <col min="9223" max="9223" width="7.81640625" style="28" customWidth="1"/>
    <col min="9224" max="9224" width="8.81640625" style="28" customWidth="1"/>
    <col min="9225" max="9225" width="2.81640625" style="28" customWidth="1"/>
    <col min="9226" max="9226" width="1.81640625" style="28" customWidth="1"/>
    <col min="9227" max="9468" width="11.1796875" style="28"/>
    <col min="9469" max="9469" width="1.81640625" style="28" customWidth="1"/>
    <col min="9470" max="9471" width="3.81640625" style="28" customWidth="1"/>
    <col min="9472" max="9472" width="11.81640625" style="28" customWidth="1"/>
    <col min="9473" max="9474" width="7.81640625" style="28" customWidth="1"/>
    <col min="9475" max="9476" width="8.81640625" style="28" customWidth="1"/>
    <col min="9477" max="9477" width="10.81640625" style="28" customWidth="1"/>
    <col min="9478" max="9478" width="8.81640625" style="28" customWidth="1"/>
    <col min="9479" max="9479" width="7.81640625" style="28" customWidth="1"/>
    <col min="9480" max="9480" width="8.81640625" style="28" customWidth="1"/>
    <col min="9481" max="9481" width="2.81640625" style="28" customWidth="1"/>
    <col min="9482" max="9482" width="1.81640625" style="28" customWidth="1"/>
    <col min="9483" max="9724" width="11.1796875" style="28"/>
    <col min="9725" max="9725" width="1.81640625" style="28" customWidth="1"/>
    <col min="9726" max="9727" width="3.81640625" style="28" customWidth="1"/>
    <col min="9728" max="9728" width="11.81640625" style="28" customWidth="1"/>
    <col min="9729" max="9730" width="7.81640625" style="28" customWidth="1"/>
    <col min="9731" max="9732" width="8.81640625" style="28" customWidth="1"/>
    <col min="9733" max="9733" width="10.81640625" style="28" customWidth="1"/>
    <col min="9734" max="9734" width="8.81640625" style="28" customWidth="1"/>
    <col min="9735" max="9735" width="7.81640625" style="28" customWidth="1"/>
    <col min="9736" max="9736" width="8.81640625" style="28" customWidth="1"/>
    <col min="9737" max="9737" width="2.81640625" style="28" customWidth="1"/>
    <col min="9738" max="9738" width="1.81640625" style="28" customWidth="1"/>
    <col min="9739" max="9980" width="11.1796875" style="28"/>
    <col min="9981" max="9981" width="1.81640625" style="28" customWidth="1"/>
    <col min="9982" max="9983" width="3.81640625" style="28" customWidth="1"/>
    <col min="9984" max="9984" width="11.81640625" style="28" customWidth="1"/>
    <col min="9985" max="9986" width="7.81640625" style="28" customWidth="1"/>
    <col min="9987" max="9988" width="8.81640625" style="28" customWidth="1"/>
    <col min="9989" max="9989" width="10.81640625" style="28" customWidth="1"/>
    <col min="9990" max="9990" width="8.81640625" style="28" customWidth="1"/>
    <col min="9991" max="9991" width="7.81640625" style="28" customWidth="1"/>
    <col min="9992" max="9992" width="8.81640625" style="28" customWidth="1"/>
    <col min="9993" max="9993" width="2.81640625" style="28" customWidth="1"/>
    <col min="9994" max="9994" width="1.81640625" style="28" customWidth="1"/>
    <col min="9995" max="10236" width="11.1796875" style="28"/>
    <col min="10237" max="10237" width="1.81640625" style="28" customWidth="1"/>
    <col min="10238" max="10239" width="3.81640625" style="28" customWidth="1"/>
    <col min="10240" max="10240" width="11.81640625" style="28" customWidth="1"/>
    <col min="10241" max="10242" width="7.81640625" style="28" customWidth="1"/>
    <col min="10243" max="10244" width="8.81640625" style="28" customWidth="1"/>
    <col min="10245" max="10245" width="10.81640625" style="28" customWidth="1"/>
    <col min="10246" max="10246" width="8.81640625" style="28" customWidth="1"/>
    <col min="10247" max="10247" width="7.81640625" style="28" customWidth="1"/>
    <col min="10248" max="10248" width="8.81640625" style="28" customWidth="1"/>
    <col min="10249" max="10249" width="2.81640625" style="28" customWidth="1"/>
    <col min="10250" max="10250" width="1.81640625" style="28" customWidth="1"/>
    <col min="10251" max="10492" width="11.1796875" style="28"/>
    <col min="10493" max="10493" width="1.81640625" style="28" customWidth="1"/>
    <col min="10494" max="10495" width="3.81640625" style="28" customWidth="1"/>
    <col min="10496" max="10496" width="11.81640625" style="28" customWidth="1"/>
    <col min="10497" max="10498" width="7.81640625" style="28" customWidth="1"/>
    <col min="10499" max="10500" width="8.81640625" style="28" customWidth="1"/>
    <col min="10501" max="10501" width="10.81640625" style="28" customWidth="1"/>
    <col min="10502" max="10502" width="8.81640625" style="28" customWidth="1"/>
    <col min="10503" max="10503" width="7.81640625" style="28" customWidth="1"/>
    <col min="10504" max="10504" width="8.81640625" style="28" customWidth="1"/>
    <col min="10505" max="10505" width="2.81640625" style="28" customWidth="1"/>
    <col min="10506" max="10506" width="1.81640625" style="28" customWidth="1"/>
    <col min="10507" max="10748" width="11.1796875" style="28"/>
    <col min="10749" max="10749" width="1.81640625" style="28" customWidth="1"/>
    <col min="10750" max="10751" width="3.81640625" style="28" customWidth="1"/>
    <col min="10752" max="10752" width="11.81640625" style="28" customWidth="1"/>
    <col min="10753" max="10754" width="7.81640625" style="28" customWidth="1"/>
    <col min="10755" max="10756" width="8.81640625" style="28" customWidth="1"/>
    <col min="10757" max="10757" width="10.81640625" style="28" customWidth="1"/>
    <col min="10758" max="10758" width="8.81640625" style="28" customWidth="1"/>
    <col min="10759" max="10759" width="7.81640625" style="28" customWidth="1"/>
    <col min="10760" max="10760" width="8.81640625" style="28" customWidth="1"/>
    <col min="10761" max="10761" width="2.81640625" style="28" customWidth="1"/>
    <col min="10762" max="10762" width="1.81640625" style="28" customWidth="1"/>
    <col min="10763" max="11004" width="11.1796875" style="28"/>
    <col min="11005" max="11005" width="1.81640625" style="28" customWidth="1"/>
    <col min="11006" max="11007" width="3.81640625" style="28" customWidth="1"/>
    <col min="11008" max="11008" width="11.81640625" style="28" customWidth="1"/>
    <col min="11009" max="11010" width="7.81640625" style="28" customWidth="1"/>
    <col min="11011" max="11012" width="8.81640625" style="28" customWidth="1"/>
    <col min="11013" max="11013" width="10.81640625" style="28" customWidth="1"/>
    <col min="11014" max="11014" width="8.81640625" style="28" customWidth="1"/>
    <col min="11015" max="11015" width="7.81640625" style="28" customWidth="1"/>
    <col min="11016" max="11016" width="8.81640625" style="28" customWidth="1"/>
    <col min="11017" max="11017" width="2.81640625" style="28" customWidth="1"/>
    <col min="11018" max="11018" width="1.81640625" style="28" customWidth="1"/>
    <col min="11019" max="11260" width="11.1796875" style="28"/>
    <col min="11261" max="11261" width="1.81640625" style="28" customWidth="1"/>
    <col min="11262" max="11263" width="3.81640625" style="28" customWidth="1"/>
    <col min="11264" max="11264" width="11.81640625" style="28" customWidth="1"/>
    <col min="11265" max="11266" width="7.81640625" style="28" customWidth="1"/>
    <col min="11267" max="11268" width="8.81640625" style="28" customWidth="1"/>
    <col min="11269" max="11269" width="10.81640625" style="28" customWidth="1"/>
    <col min="11270" max="11270" width="8.81640625" style="28" customWidth="1"/>
    <col min="11271" max="11271" width="7.81640625" style="28" customWidth="1"/>
    <col min="11272" max="11272" width="8.81640625" style="28" customWidth="1"/>
    <col min="11273" max="11273" width="2.81640625" style="28" customWidth="1"/>
    <col min="11274" max="11274" width="1.81640625" style="28" customWidth="1"/>
    <col min="11275" max="11516" width="11.1796875" style="28"/>
    <col min="11517" max="11517" width="1.81640625" style="28" customWidth="1"/>
    <col min="11518" max="11519" width="3.81640625" style="28" customWidth="1"/>
    <col min="11520" max="11520" width="11.81640625" style="28" customWidth="1"/>
    <col min="11521" max="11522" width="7.81640625" style="28" customWidth="1"/>
    <col min="11523" max="11524" width="8.81640625" style="28" customWidth="1"/>
    <col min="11525" max="11525" width="10.81640625" style="28" customWidth="1"/>
    <col min="11526" max="11526" width="8.81640625" style="28" customWidth="1"/>
    <col min="11527" max="11527" width="7.81640625" style="28" customWidth="1"/>
    <col min="11528" max="11528" width="8.81640625" style="28" customWidth="1"/>
    <col min="11529" max="11529" width="2.81640625" style="28" customWidth="1"/>
    <col min="11530" max="11530" width="1.81640625" style="28" customWidth="1"/>
    <col min="11531" max="11772" width="11.1796875" style="28"/>
    <col min="11773" max="11773" width="1.81640625" style="28" customWidth="1"/>
    <col min="11774" max="11775" width="3.81640625" style="28" customWidth="1"/>
    <col min="11776" max="11776" width="11.81640625" style="28" customWidth="1"/>
    <col min="11777" max="11778" width="7.81640625" style="28" customWidth="1"/>
    <col min="11779" max="11780" width="8.81640625" style="28" customWidth="1"/>
    <col min="11781" max="11781" width="10.81640625" style="28" customWidth="1"/>
    <col min="11782" max="11782" width="8.81640625" style="28" customWidth="1"/>
    <col min="11783" max="11783" width="7.81640625" style="28" customWidth="1"/>
    <col min="11784" max="11784" width="8.81640625" style="28" customWidth="1"/>
    <col min="11785" max="11785" width="2.81640625" style="28" customWidth="1"/>
    <col min="11786" max="11786" width="1.81640625" style="28" customWidth="1"/>
    <col min="11787" max="12028" width="11.1796875" style="28"/>
    <col min="12029" max="12029" width="1.81640625" style="28" customWidth="1"/>
    <col min="12030" max="12031" width="3.81640625" style="28" customWidth="1"/>
    <col min="12032" max="12032" width="11.81640625" style="28" customWidth="1"/>
    <col min="12033" max="12034" width="7.81640625" style="28" customWidth="1"/>
    <col min="12035" max="12036" width="8.81640625" style="28" customWidth="1"/>
    <col min="12037" max="12037" width="10.81640625" style="28" customWidth="1"/>
    <col min="12038" max="12038" width="8.81640625" style="28" customWidth="1"/>
    <col min="12039" max="12039" width="7.81640625" style="28" customWidth="1"/>
    <col min="12040" max="12040" width="8.81640625" style="28" customWidth="1"/>
    <col min="12041" max="12041" width="2.81640625" style="28" customWidth="1"/>
    <col min="12042" max="12042" width="1.81640625" style="28" customWidth="1"/>
    <col min="12043" max="12284" width="11.1796875" style="28"/>
    <col min="12285" max="12285" width="1.81640625" style="28" customWidth="1"/>
    <col min="12286" max="12287" width="3.81640625" style="28" customWidth="1"/>
    <col min="12288" max="12288" width="11.81640625" style="28" customWidth="1"/>
    <col min="12289" max="12290" width="7.81640625" style="28" customWidth="1"/>
    <col min="12291" max="12292" width="8.81640625" style="28" customWidth="1"/>
    <col min="12293" max="12293" width="10.81640625" style="28" customWidth="1"/>
    <col min="12294" max="12294" width="8.81640625" style="28" customWidth="1"/>
    <col min="12295" max="12295" width="7.81640625" style="28" customWidth="1"/>
    <col min="12296" max="12296" width="8.81640625" style="28" customWidth="1"/>
    <col min="12297" max="12297" width="2.81640625" style="28" customWidth="1"/>
    <col min="12298" max="12298" width="1.81640625" style="28" customWidth="1"/>
    <col min="12299" max="12540" width="11.1796875" style="28"/>
    <col min="12541" max="12541" width="1.81640625" style="28" customWidth="1"/>
    <col min="12542" max="12543" width="3.81640625" style="28" customWidth="1"/>
    <col min="12544" max="12544" width="11.81640625" style="28" customWidth="1"/>
    <col min="12545" max="12546" width="7.81640625" style="28" customWidth="1"/>
    <col min="12547" max="12548" width="8.81640625" style="28" customWidth="1"/>
    <col min="12549" max="12549" width="10.81640625" style="28" customWidth="1"/>
    <col min="12550" max="12550" width="8.81640625" style="28" customWidth="1"/>
    <col min="12551" max="12551" width="7.81640625" style="28" customWidth="1"/>
    <col min="12552" max="12552" width="8.81640625" style="28" customWidth="1"/>
    <col min="12553" max="12553" width="2.81640625" style="28" customWidth="1"/>
    <col min="12554" max="12554" width="1.81640625" style="28" customWidth="1"/>
    <col min="12555" max="12796" width="11.1796875" style="28"/>
    <col min="12797" max="12797" width="1.81640625" style="28" customWidth="1"/>
    <col min="12798" max="12799" width="3.81640625" style="28" customWidth="1"/>
    <col min="12800" max="12800" width="11.81640625" style="28" customWidth="1"/>
    <col min="12801" max="12802" width="7.81640625" style="28" customWidth="1"/>
    <col min="12803" max="12804" width="8.81640625" style="28" customWidth="1"/>
    <col min="12805" max="12805" width="10.81640625" style="28" customWidth="1"/>
    <col min="12806" max="12806" width="8.81640625" style="28" customWidth="1"/>
    <col min="12807" max="12807" width="7.81640625" style="28" customWidth="1"/>
    <col min="12808" max="12808" width="8.81640625" style="28" customWidth="1"/>
    <col min="12809" max="12809" width="2.81640625" style="28" customWidth="1"/>
    <col min="12810" max="12810" width="1.81640625" style="28" customWidth="1"/>
    <col min="12811" max="13052" width="11.1796875" style="28"/>
    <col min="13053" max="13053" width="1.81640625" style="28" customWidth="1"/>
    <col min="13054" max="13055" width="3.81640625" style="28" customWidth="1"/>
    <col min="13056" max="13056" width="11.81640625" style="28" customWidth="1"/>
    <col min="13057" max="13058" width="7.81640625" style="28" customWidth="1"/>
    <col min="13059" max="13060" width="8.81640625" style="28" customWidth="1"/>
    <col min="13061" max="13061" width="10.81640625" style="28" customWidth="1"/>
    <col min="13062" max="13062" width="8.81640625" style="28" customWidth="1"/>
    <col min="13063" max="13063" width="7.81640625" style="28" customWidth="1"/>
    <col min="13064" max="13064" width="8.81640625" style="28" customWidth="1"/>
    <col min="13065" max="13065" width="2.81640625" style="28" customWidth="1"/>
    <col min="13066" max="13066" width="1.81640625" style="28" customWidth="1"/>
    <col min="13067" max="13308" width="11.1796875" style="28"/>
    <col min="13309" max="13309" width="1.81640625" style="28" customWidth="1"/>
    <col min="13310" max="13311" width="3.81640625" style="28" customWidth="1"/>
    <col min="13312" max="13312" width="11.81640625" style="28" customWidth="1"/>
    <col min="13313" max="13314" width="7.81640625" style="28" customWidth="1"/>
    <col min="13315" max="13316" width="8.81640625" style="28" customWidth="1"/>
    <col min="13317" max="13317" width="10.81640625" style="28" customWidth="1"/>
    <col min="13318" max="13318" width="8.81640625" style="28" customWidth="1"/>
    <col min="13319" max="13319" width="7.81640625" style="28" customWidth="1"/>
    <col min="13320" max="13320" width="8.81640625" style="28" customWidth="1"/>
    <col min="13321" max="13321" width="2.81640625" style="28" customWidth="1"/>
    <col min="13322" max="13322" width="1.81640625" style="28" customWidth="1"/>
    <col min="13323" max="13564" width="11.1796875" style="28"/>
    <col min="13565" max="13565" width="1.81640625" style="28" customWidth="1"/>
    <col min="13566" max="13567" width="3.81640625" style="28" customWidth="1"/>
    <col min="13568" max="13568" width="11.81640625" style="28" customWidth="1"/>
    <col min="13569" max="13570" width="7.81640625" style="28" customWidth="1"/>
    <col min="13571" max="13572" width="8.81640625" style="28" customWidth="1"/>
    <col min="13573" max="13573" width="10.81640625" style="28" customWidth="1"/>
    <col min="13574" max="13574" width="8.81640625" style="28" customWidth="1"/>
    <col min="13575" max="13575" width="7.81640625" style="28" customWidth="1"/>
    <col min="13576" max="13576" width="8.81640625" style="28" customWidth="1"/>
    <col min="13577" max="13577" width="2.81640625" style="28" customWidth="1"/>
    <col min="13578" max="13578" width="1.81640625" style="28" customWidth="1"/>
    <col min="13579" max="13820" width="11.1796875" style="28"/>
    <col min="13821" max="13821" width="1.81640625" style="28" customWidth="1"/>
    <col min="13822" max="13823" width="3.81640625" style="28" customWidth="1"/>
    <col min="13824" max="13824" width="11.81640625" style="28" customWidth="1"/>
    <col min="13825" max="13826" width="7.81640625" style="28" customWidth="1"/>
    <col min="13827" max="13828" width="8.81640625" style="28" customWidth="1"/>
    <col min="13829" max="13829" width="10.81640625" style="28" customWidth="1"/>
    <col min="13830" max="13830" width="8.81640625" style="28" customWidth="1"/>
    <col min="13831" max="13831" width="7.81640625" style="28" customWidth="1"/>
    <col min="13832" max="13832" width="8.81640625" style="28" customWidth="1"/>
    <col min="13833" max="13833" width="2.81640625" style="28" customWidth="1"/>
    <col min="13834" max="13834" width="1.81640625" style="28" customWidth="1"/>
    <col min="13835" max="14076" width="11.1796875" style="28"/>
    <col min="14077" max="14077" width="1.81640625" style="28" customWidth="1"/>
    <col min="14078" max="14079" width="3.81640625" style="28" customWidth="1"/>
    <col min="14080" max="14080" width="11.81640625" style="28" customWidth="1"/>
    <col min="14081" max="14082" width="7.81640625" style="28" customWidth="1"/>
    <col min="14083" max="14084" width="8.81640625" style="28" customWidth="1"/>
    <col min="14085" max="14085" width="10.81640625" style="28" customWidth="1"/>
    <col min="14086" max="14086" width="8.81640625" style="28" customWidth="1"/>
    <col min="14087" max="14087" width="7.81640625" style="28" customWidth="1"/>
    <col min="14088" max="14088" width="8.81640625" style="28" customWidth="1"/>
    <col min="14089" max="14089" width="2.81640625" style="28" customWidth="1"/>
    <col min="14090" max="14090" width="1.81640625" style="28" customWidth="1"/>
    <col min="14091" max="14332" width="11.1796875" style="28"/>
    <col min="14333" max="14333" width="1.81640625" style="28" customWidth="1"/>
    <col min="14334" max="14335" width="3.81640625" style="28" customWidth="1"/>
    <col min="14336" max="14336" width="11.81640625" style="28" customWidth="1"/>
    <col min="14337" max="14338" width="7.81640625" style="28" customWidth="1"/>
    <col min="14339" max="14340" width="8.81640625" style="28" customWidth="1"/>
    <col min="14341" max="14341" width="10.81640625" style="28" customWidth="1"/>
    <col min="14342" max="14342" width="8.81640625" style="28" customWidth="1"/>
    <col min="14343" max="14343" width="7.81640625" style="28" customWidth="1"/>
    <col min="14344" max="14344" width="8.81640625" style="28" customWidth="1"/>
    <col min="14345" max="14345" width="2.81640625" style="28" customWidth="1"/>
    <col min="14346" max="14346" width="1.81640625" style="28" customWidth="1"/>
    <col min="14347" max="14588" width="11.1796875" style="28"/>
    <col min="14589" max="14589" width="1.81640625" style="28" customWidth="1"/>
    <col min="14590" max="14591" width="3.81640625" style="28" customWidth="1"/>
    <col min="14592" max="14592" width="11.81640625" style="28" customWidth="1"/>
    <col min="14593" max="14594" width="7.81640625" style="28" customWidth="1"/>
    <col min="14595" max="14596" width="8.81640625" style="28" customWidth="1"/>
    <col min="14597" max="14597" width="10.81640625" style="28" customWidth="1"/>
    <col min="14598" max="14598" width="8.81640625" style="28" customWidth="1"/>
    <col min="14599" max="14599" width="7.81640625" style="28" customWidth="1"/>
    <col min="14600" max="14600" width="8.81640625" style="28" customWidth="1"/>
    <col min="14601" max="14601" width="2.81640625" style="28" customWidth="1"/>
    <col min="14602" max="14602" width="1.81640625" style="28" customWidth="1"/>
    <col min="14603" max="14844" width="11.1796875" style="28"/>
    <col min="14845" max="14845" width="1.81640625" style="28" customWidth="1"/>
    <col min="14846" max="14847" width="3.81640625" style="28" customWidth="1"/>
    <col min="14848" max="14848" width="11.81640625" style="28" customWidth="1"/>
    <col min="14849" max="14850" width="7.81640625" style="28" customWidth="1"/>
    <col min="14851" max="14852" width="8.81640625" style="28" customWidth="1"/>
    <col min="14853" max="14853" width="10.81640625" style="28" customWidth="1"/>
    <col min="14854" max="14854" width="8.81640625" style="28" customWidth="1"/>
    <col min="14855" max="14855" width="7.81640625" style="28" customWidth="1"/>
    <col min="14856" max="14856" width="8.81640625" style="28" customWidth="1"/>
    <col min="14857" max="14857" width="2.81640625" style="28" customWidth="1"/>
    <col min="14858" max="14858" width="1.81640625" style="28" customWidth="1"/>
    <col min="14859" max="15100" width="11.1796875" style="28"/>
    <col min="15101" max="15101" width="1.81640625" style="28" customWidth="1"/>
    <col min="15102" max="15103" width="3.81640625" style="28" customWidth="1"/>
    <col min="15104" max="15104" width="11.81640625" style="28" customWidth="1"/>
    <col min="15105" max="15106" width="7.81640625" style="28" customWidth="1"/>
    <col min="15107" max="15108" width="8.81640625" style="28" customWidth="1"/>
    <col min="15109" max="15109" width="10.81640625" style="28" customWidth="1"/>
    <col min="15110" max="15110" width="8.81640625" style="28" customWidth="1"/>
    <col min="15111" max="15111" width="7.81640625" style="28" customWidth="1"/>
    <col min="15112" max="15112" width="8.81640625" style="28" customWidth="1"/>
    <col min="15113" max="15113" width="2.81640625" style="28" customWidth="1"/>
    <col min="15114" max="15114" width="1.81640625" style="28" customWidth="1"/>
    <col min="15115" max="15356" width="11.1796875" style="28"/>
    <col min="15357" max="15357" width="1.81640625" style="28" customWidth="1"/>
    <col min="15358" max="15359" width="3.81640625" style="28" customWidth="1"/>
    <col min="15360" max="15360" width="11.81640625" style="28" customWidth="1"/>
    <col min="15361" max="15362" width="7.81640625" style="28" customWidth="1"/>
    <col min="15363" max="15364" width="8.81640625" style="28" customWidth="1"/>
    <col min="15365" max="15365" width="10.81640625" style="28" customWidth="1"/>
    <col min="15366" max="15366" width="8.81640625" style="28" customWidth="1"/>
    <col min="15367" max="15367" width="7.81640625" style="28" customWidth="1"/>
    <col min="15368" max="15368" width="8.81640625" style="28" customWidth="1"/>
    <col min="15369" max="15369" width="2.81640625" style="28" customWidth="1"/>
    <col min="15370" max="15370" width="1.81640625" style="28" customWidth="1"/>
    <col min="15371" max="15612" width="11.1796875" style="28"/>
    <col min="15613" max="15613" width="1.81640625" style="28" customWidth="1"/>
    <col min="15614" max="15615" width="3.81640625" style="28" customWidth="1"/>
    <col min="15616" max="15616" width="11.81640625" style="28" customWidth="1"/>
    <col min="15617" max="15618" width="7.81640625" style="28" customWidth="1"/>
    <col min="15619" max="15620" width="8.81640625" style="28" customWidth="1"/>
    <col min="15621" max="15621" width="10.81640625" style="28" customWidth="1"/>
    <col min="15622" max="15622" width="8.81640625" style="28" customWidth="1"/>
    <col min="15623" max="15623" width="7.81640625" style="28" customWidth="1"/>
    <col min="15624" max="15624" width="8.81640625" style="28" customWidth="1"/>
    <col min="15625" max="15625" width="2.81640625" style="28" customWidth="1"/>
    <col min="15626" max="15626" width="1.81640625" style="28" customWidth="1"/>
    <col min="15627" max="15868" width="11.1796875" style="28"/>
    <col min="15869" max="15869" width="1.81640625" style="28" customWidth="1"/>
    <col min="15870" max="15871" width="3.81640625" style="28" customWidth="1"/>
    <col min="15872" max="15872" width="11.81640625" style="28" customWidth="1"/>
    <col min="15873" max="15874" width="7.81640625" style="28" customWidth="1"/>
    <col min="15875" max="15876" width="8.81640625" style="28" customWidth="1"/>
    <col min="15877" max="15877" width="10.81640625" style="28" customWidth="1"/>
    <col min="15878" max="15878" width="8.81640625" style="28" customWidth="1"/>
    <col min="15879" max="15879" width="7.81640625" style="28" customWidth="1"/>
    <col min="15880" max="15880" width="8.81640625" style="28" customWidth="1"/>
    <col min="15881" max="15881" width="2.81640625" style="28" customWidth="1"/>
    <col min="15882" max="15882" width="1.81640625" style="28" customWidth="1"/>
    <col min="15883" max="16124" width="11.1796875" style="28"/>
    <col min="16125" max="16125" width="1.81640625" style="28" customWidth="1"/>
    <col min="16126" max="16127" width="3.81640625" style="28" customWidth="1"/>
    <col min="16128" max="16128" width="11.81640625" style="28" customWidth="1"/>
    <col min="16129" max="16130" width="7.81640625" style="28" customWidth="1"/>
    <col min="16131" max="16132" width="8.81640625" style="28" customWidth="1"/>
    <col min="16133" max="16133" width="10.81640625" style="28" customWidth="1"/>
    <col min="16134" max="16134" width="8.81640625" style="28" customWidth="1"/>
    <col min="16135" max="16135" width="7.81640625" style="28" customWidth="1"/>
    <col min="16136" max="16136" width="8.81640625" style="28" customWidth="1"/>
    <col min="16137" max="16137" width="2.81640625" style="28" customWidth="1"/>
    <col min="16138" max="16138" width="1.81640625" style="28" customWidth="1"/>
    <col min="16139" max="16384" width="11.1796875" style="28"/>
  </cols>
  <sheetData>
    <row r="1" spans="1:26" ht="15.6" thickBot="1"/>
    <row r="2" spans="1:26" ht="21" customHeight="1" thickTop="1">
      <c r="B2" s="29"/>
      <c r="C2" s="30"/>
      <c r="D2" s="31"/>
      <c r="E2" s="31"/>
      <c r="F2" s="31"/>
      <c r="G2" s="31"/>
      <c r="H2" s="31"/>
      <c r="I2" s="31"/>
      <c r="J2" s="30"/>
      <c r="K2" s="30"/>
      <c r="L2" s="30"/>
      <c r="M2" s="30"/>
      <c r="N2" s="30"/>
      <c r="O2" s="30"/>
      <c r="P2" s="30"/>
      <c r="Q2" s="30"/>
      <c r="R2" s="32"/>
      <c r="T2" s="246" cm="1">
        <f t="array" ref="T2">INDEX(DATA!$B$99:$B$104,$T$8)</f>
      </c>
      <c r="U2" s="246"/>
      <c r="V2" s="246">
        <f>TEXT($T$2,"[$-21]dd mmmm yyyy")</f>
      </c>
      <c r="W2" s="261">
        <f>TEXT(T2,"[$-21]dd mmmm yyyy")</f>
      </c>
    </row>
    <row r="3" spans="1:26" ht="17.399999999999999">
      <c r="B3" s="33"/>
      <c r="C3" s="34"/>
      <c r="D3" s="53"/>
      <c r="E3" s="53"/>
      <c r="F3" s="53"/>
      <c r="G3" s="53"/>
      <c r="H3" s="53"/>
      <c r="I3" s="53"/>
      <c r="J3" s="34"/>
      <c r="K3" s="34"/>
      <c r="L3" s="35"/>
      <c r="M3" s="35"/>
      <c r="N3" s="35"/>
      <c r="O3" s="35"/>
      <c r="P3" s="35"/>
      <c r="Q3" s="35"/>
      <c r="R3" s="36"/>
      <c r="T3" s="246">
        <f>TEXT($T$2,"[$-21]dddd")</f>
      </c>
      <c r="U3" s="61"/>
      <c r="V3" s="246"/>
      <c r="W3" s="61"/>
      <c r="X3" s="61"/>
      <c r="Y3" s="61"/>
      <c r="Z3" s="61"/>
    </row>
    <row r="4" spans="1:26">
      <c r="A4" s="37"/>
      <c r="B4" s="38"/>
      <c r="C4" s="39"/>
      <c r="D4" s="40"/>
      <c r="E4" s="40"/>
      <c r="F4" s="40"/>
      <c r="G4" s="40"/>
      <c r="H4" s="40"/>
      <c r="I4" s="40"/>
      <c r="J4" s="40"/>
      <c r="K4" s="37"/>
      <c r="L4" s="37"/>
      <c r="M4" s="37"/>
      <c r="N4" s="37"/>
      <c r="O4" s="37"/>
      <c r="P4" s="37"/>
      <c r="Q4" s="37"/>
      <c r="R4" s="41"/>
      <c r="S4" s="37"/>
      <c r="T4" s="246">
        <f>VLOOKUP(DAY($T$2),HELPER!$A$2:$B$100,2,0)</f>
      </c>
      <c r="U4" s="61"/>
      <c r="V4" s="246"/>
      <c r="W4" s="61"/>
      <c r="X4" s="61"/>
      <c r="Y4" s="61"/>
      <c r="Z4" s="61"/>
    </row>
    <row r="5" spans="1:26">
      <c r="A5" s="37"/>
      <c r="B5" s="38"/>
      <c r="C5" s="39"/>
      <c r="D5" s="40"/>
      <c r="E5" s="40"/>
      <c r="F5" s="40"/>
      <c r="G5" s="40"/>
      <c r="H5" s="40"/>
      <c r="I5" s="40"/>
      <c r="J5" s="40"/>
      <c r="K5" s="37"/>
      <c r="L5" s="37"/>
      <c r="M5" s="37"/>
      <c r="N5" s="37"/>
      <c r="O5" s="37"/>
      <c r="P5" s="37"/>
      <c r="Q5" s="37"/>
      <c r="R5" s="41"/>
      <c r="S5" s="37"/>
      <c r="T5" s="246">
        <f>TEXT($T$2,"[$-21]mmmm")</f>
      </c>
      <c r="U5" s="61"/>
      <c r="V5" s="61"/>
      <c r="W5" s="61"/>
      <c r="X5" s="61"/>
      <c r="Y5" s="61"/>
      <c r="Z5" s="61"/>
    </row>
    <row r="6" spans="1:26" ht="9" customHeight="1">
      <c r="A6" s="37"/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4"/>
      <c r="S6" s="37"/>
      <c r="T6" s="246">
        <f>"Dua Ribu"&amp;IF(MOD(YEAR($T$2),100)=0,""," "&amp;VLOOKUP(MOD(YEAR($T$2),100),HELPER!$A$2:$B$100,2,0))</f>
      </c>
      <c r="U6" s="61"/>
      <c r="V6" s="61"/>
      <c r="W6" s="61"/>
      <c r="X6" s="61"/>
      <c r="Y6" s="61"/>
      <c r="Z6" s="61"/>
    </row>
    <row r="7" spans="1:26" ht="15.6">
      <c r="A7" s="37"/>
      <c r="B7" s="645"/>
      <c r="C7" s="646"/>
      <c r="D7" s="646"/>
      <c r="E7" s="646"/>
      <c r="F7" s="646"/>
      <c r="G7" s="646"/>
      <c r="H7" s="646"/>
      <c r="I7" s="646"/>
      <c r="J7" s="646"/>
      <c r="K7" s="646"/>
      <c r="L7" s="646"/>
      <c r="M7" s="646"/>
      <c r="N7" s="646"/>
      <c r="O7" s="646"/>
      <c r="P7" s="646"/>
      <c r="Q7" s="646"/>
      <c r="R7" s="647"/>
      <c r="S7" s="37"/>
      <c r="T7" s="468" t="s">
        <v>51</v>
      </c>
      <c r="U7" s="61"/>
      <c r="V7" s="61"/>
      <c r="W7" s="61"/>
      <c r="X7" s="61"/>
      <c r="Y7" s="61"/>
      <c r="Z7" s="61"/>
    </row>
    <row r="8" spans="1:26">
      <c r="A8" s="37"/>
      <c r="B8" s="429"/>
      <c r="C8" s="430"/>
      <c r="D8" s="430"/>
      <c r="E8" s="430"/>
      <c r="F8" s="430"/>
      <c r="G8" s="430"/>
      <c r="H8" s="430"/>
      <c r="I8" s="430"/>
      <c r="J8" s="430"/>
      <c r="K8" s="430"/>
      <c r="L8" s="430"/>
      <c r="M8" s="430"/>
      <c r="N8" s="430"/>
      <c r="O8" s="430"/>
      <c r="P8" s="430"/>
      <c r="Q8" s="430"/>
      <c r="R8" s="431"/>
      <c r="S8" s="37"/>
      <c r="T8" s="469">
        <v>3</v>
      </c>
      <c r="U8" s="61"/>
      <c r="V8" s="61"/>
      <c r="W8" s="61"/>
      <c r="X8" s="61"/>
      <c r="Y8" s="61"/>
      <c r="Z8" s="61"/>
    </row>
    <row r="9" spans="1:26" ht="21">
      <c r="A9" s="37"/>
      <c r="B9" s="642" t="s">
        <v>87</v>
      </c>
      <c r="C9" s="643"/>
      <c r="D9" s="643"/>
      <c r="E9" s="643"/>
      <c r="F9" s="643"/>
      <c r="G9" s="643"/>
      <c r="H9" s="643"/>
      <c r="I9" s="643"/>
      <c r="J9" s="643"/>
      <c r="K9" s="643"/>
      <c r="L9" s="643"/>
      <c r="M9" s="643"/>
      <c r="N9" s="643"/>
      <c r="O9" s="643"/>
      <c r="P9" s="643"/>
      <c r="Q9" s="643"/>
      <c r="R9" s="644"/>
      <c r="S9" s="37"/>
      <c r="T9" s="246"/>
      <c r="U9" s="62"/>
      <c r="V9" s="62"/>
      <c r="W9" s="62"/>
      <c r="X9" s="62"/>
      <c r="Y9" s="62"/>
      <c r="Z9" s="62"/>
    </row>
    <row r="10" spans="1:26">
      <c r="A10" s="37"/>
      <c r="B10" s="645">
        <f>TEXT($T$8,"00")&amp;"/BAPP/"&amp;DATA!$B$4</f>
      </c>
      <c r="C10" s="646"/>
      <c r="D10" s="646"/>
      <c r="E10" s="646"/>
      <c r="F10" s="646"/>
      <c r="G10" s="646"/>
      <c r="H10" s="646"/>
      <c r="I10" s="646"/>
      <c r="J10" s="646"/>
      <c r="K10" s="646"/>
      <c r="L10" s="646"/>
      <c r="M10" s="646"/>
      <c r="N10" s="646"/>
      <c r="O10" s="646"/>
      <c r="P10" s="646"/>
      <c r="Q10" s="646"/>
      <c r="R10" s="647"/>
      <c r="S10" s="37"/>
      <c r="T10" s="246"/>
      <c r="U10" s="62"/>
      <c r="V10" s="62"/>
      <c r="W10" s="62"/>
      <c r="X10" s="62"/>
      <c r="Y10" s="62"/>
      <c r="Z10" s="62"/>
    </row>
    <row r="11" spans="1:26">
      <c r="A11" s="37"/>
      <c r="B11" s="429"/>
      <c r="C11" s="430"/>
      <c r="D11" s="430"/>
      <c r="E11" s="430"/>
      <c r="F11" s="430"/>
      <c r="G11" s="430"/>
      <c r="H11" s="430"/>
      <c r="I11" s="430"/>
      <c r="J11" s="430"/>
      <c r="K11" s="430"/>
      <c r="L11" s="430"/>
      <c r="M11" s="430"/>
      <c r="N11" s="430"/>
      <c r="O11" s="430"/>
      <c r="P11" s="430"/>
      <c r="Q11" s="430"/>
      <c r="R11" s="431"/>
      <c r="S11" s="37"/>
      <c r="T11" s="246"/>
      <c r="U11" s="62"/>
      <c r="V11" s="62"/>
      <c r="W11" s="62"/>
      <c r="X11" s="62"/>
      <c r="Y11" s="62"/>
      <c r="Z11" s="62"/>
    </row>
    <row r="12" spans="1:26" ht="21" customHeight="1">
      <c r="A12" s="37"/>
      <c r="B12" s="38"/>
      <c r="C12" s="648">
        <f>"Pada hari ini "&amp;T3&amp;" tanggal "&amp;T4&amp;" bulan "&amp;T5&amp;" tahun "&amp;T6&amp;" ("&amp;V2&amp;"), kami yang bertandatangan di bawah ini:"</f>
      </c>
      <c r="D12" s="648"/>
      <c r="E12" s="648"/>
      <c r="F12" s="648"/>
      <c r="G12" s="648"/>
      <c r="H12" s="648"/>
      <c r="I12" s="648"/>
      <c r="J12" s="648"/>
      <c r="K12" s="648"/>
      <c r="L12" s="648"/>
      <c r="M12" s="648"/>
      <c r="N12" s="648"/>
      <c r="O12" s="648"/>
      <c r="P12" s="648"/>
      <c r="Q12" s="648"/>
      <c r="R12" s="46"/>
      <c r="S12" s="37"/>
      <c r="T12" s="62"/>
      <c r="U12" s="62"/>
      <c r="V12" s="62"/>
      <c r="W12" s="62"/>
      <c r="X12" s="62"/>
      <c r="Y12" s="62"/>
      <c r="Z12" s="62"/>
    </row>
    <row r="13" spans="1:26" ht="5.25" customHeight="1">
      <c r="A13" s="37"/>
      <c r="B13" s="38"/>
      <c r="C13" s="43"/>
      <c r="D13" s="60"/>
      <c r="E13" s="60"/>
      <c r="F13" s="60"/>
      <c r="G13" s="60"/>
      <c r="H13" s="60"/>
      <c r="I13" s="60"/>
      <c r="J13" s="43"/>
      <c r="K13" s="43"/>
      <c r="L13" s="43"/>
      <c r="M13" s="43"/>
      <c r="N13" s="43"/>
      <c r="O13" s="43"/>
      <c r="P13" s="43"/>
      <c r="Q13" s="43"/>
      <c r="R13" s="46"/>
      <c r="S13" s="37"/>
      <c r="T13" s="62"/>
      <c r="U13" s="62"/>
      <c r="V13" s="62"/>
      <c r="W13" s="62"/>
      <c r="X13" s="62"/>
      <c r="Y13" s="62"/>
      <c r="Z13" s="62"/>
    </row>
    <row r="14" spans="1:26" ht="18" customHeight="1">
      <c r="A14" s="37"/>
      <c r="B14" s="38"/>
      <c r="C14" s="221" t="s">
        <v>88</v>
      </c>
      <c r="D14" s="222">
        <f>DATA!$B$14</f>
      </c>
      <c r="E14" s="222" t="s">
        <v>2</v>
      </c>
      <c r="F14" s="630">
        <f>"Selaku "&amp;DATA!$B$16&amp;", Proyek "&amp;DATA!$B$7&amp;", dalam hal ini bertindak untuk dan atas nama "&amp;DATA!$B$17&amp;", yang berkedudukan di "&amp;DATA!$B$18</f>
      </c>
      <c r="G14" s="630"/>
      <c r="H14" s="630"/>
      <c r="I14" s="630"/>
      <c r="J14" s="630"/>
      <c r="K14" s="630"/>
      <c r="L14" s="630"/>
      <c r="M14" s="630"/>
      <c r="N14" s="630"/>
      <c r="O14" s="630"/>
      <c r="P14" s="630"/>
      <c r="Q14" s="630"/>
      <c r="R14" s="631"/>
      <c r="S14" s="37" t="s">
        <v>89</v>
      </c>
    </row>
    <row r="15" spans="1:26" ht="12.45" customHeight="1">
      <c r="A15" s="37"/>
      <c r="B15" s="38"/>
      <c r="C15" s="43"/>
      <c r="D15" s="60"/>
      <c r="E15" s="60"/>
      <c r="F15" s="630"/>
      <c r="G15" s="630"/>
      <c r="H15" s="630"/>
      <c r="I15" s="630"/>
      <c r="J15" s="630"/>
      <c r="K15" s="630"/>
      <c r="L15" s="630"/>
      <c r="M15" s="630"/>
      <c r="N15" s="630"/>
      <c r="O15" s="630"/>
      <c r="P15" s="630"/>
      <c r="Q15" s="630"/>
      <c r="R15" s="631"/>
      <c r="S15" s="37"/>
      <c r="U15" s="253" t="s">
        <v>90</v>
      </c>
    </row>
    <row r="16" spans="1:26">
      <c r="A16" s="37"/>
      <c r="B16" s="38"/>
      <c r="C16" s="43"/>
      <c r="D16" s="60"/>
      <c r="E16" s="60"/>
      <c r="F16" s="44" t="s">
        <v>91</v>
      </c>
      <c r="G16" s="44"/>
      <c r="H16" s="44"/>
      <c r="I16" s="44"/>
      <c r="J16" s="43"/>
      <c r="M16" s="45"/>
      <c r="N16" s="45"/>
      <c r="O16" s="45"/>
      <c r="P16" s="45"/>
      <c r="Q16" s="45"/>
      <c r="R16" s="46"/>
      <c r="S16" s="37"/>
    </row>
    <row r="17" spans="1:19" ht="7.5" customHeight="1">
      <c r="A17" s="37"/>
      <c r="B17" s="38"/>
      <c r="C17" s="43"/>
      <c r="D17" s="60"/>
      <c r="E17" s="60"/>
      <c r="F17" s="60"/>
      <c r="G17" s="60"/>
      <c r="H17" s="60"/>
      <c r="I17" s="60"/>
      <c r="J17" s="43"/>
      <c r="K17" s="43"/>
      <c r="L17" s="45"/>
      <c r="M17" s="45"/>
      <c r="N17" s="45"/>
      <c r="O17" s="45"/>
      <c r="P17" s="45"/>
      <c r="Q17" s="45"/>
      <c r="R17" s="46"/>
      <c r="S17" s="37"/>
    </row>
    <row r="18" spans="1:19" ht="30.45" customHeight="1">
      <c r="A18" s="37"/>
      <c r="B18" s="38"/>
      <c r="C18" s="221" t="s">
        <v>92</v>
      </c>
      <c r="D18" s="222">
        <f>DATA!$B$22</f>
      </c>
      <c r="E18" s="222" t="s">
        <v>2</v>
      </c>
      <c r="F18" s="630">
        <f>"Selaku "&amp;DATA!$B$23&amp;" "&amp;DATA!$B$24&amp;", dalam hal ini bertindak untuk dan atas nama "&amp;DATA!$B$24&amp;" yang berkedudukan di "&amp;DATA!$B$25</f>
      </c>
      <c r="G18" s="630"/>
      <c r="H18" s="630"/>
      <c r="I18" s="630"/>
      <c r="J18" s="630"/>
      <c r="K18" s="630"/>
      <c r="L18" s="630"/>
      <c r="M18" s="630"/>
      <c r="N18" s="630"/>
      <c r="O18" s="630"/>
      <c r="P18" s="630"/>
      <c r="Q18" s="630"/>
      <c r="R18" s="631"/>
      <c r="S18" s="37" t="s">
        <v>89</v>
      </c>
    </row>
    <row r="19" spans="1:19">
      <c r="A19" s="37"/>
      <c r="B19" s="38"/>
      <c r="C19" s="43"/>
      <c r="D19" s="60"/>
      <c r="E19" s="60"/>
      <c r="F19" s="44" t="s">
        <v>93</v>
      </c>
      <c r="G19" s="44"/>
      <c r="H19" s="44"/>
      <c r="I19" s="44"/>
      <c r="J19" s="43"/>
      <c r="M19" s="45"/>
      <c r="N19" s="45"/>
      <c r="O19" s="45"/>
      <c r="P19" s="45"/>
      <c r="Q19" s="45"/>
      <c r="R19" s="46"/>
      <c r="S19" s="37"/>
    </row>
    <row r="20" spans="1:19" ht="8.4" customHeight="1">
      <c r="A20" s="37"/>
      <c r="B20" s="38"/>
      <c r="C20" s="43"/>
      <c r="D20" s="60"/>
      <c r="E20" s="60"/>
      <c r="F20" s="60"/>
      <c r="G20" s="60"/>
      <c r="H20" s="60"/>
      <c r="I20" s="60"/>
      <c r="J20" s="43"/>
      <c r="K20" s="43"/>
      <c r="L20" s="45"/>
      <c r="M20" s="45"/>
      <c r="N20" s="45"/>
      <c r="O20" s="45"/>
      <c r="P20" s="45"/>
      <c r="Q20" s="45"/>
      <c r="R20" s="46"/>
      <c r="S20" s="37"/>
    </row>
    <row r="21" spans="1:19">
      <c r="A21" s="37"/>
      <c r="B21" s="38"/>
      <c r="C21" s="632">
        <f>"Menerangkan bahwa kedua belah pihak telah setuju dan sepakat melakukan pemeriksaan pekerjaan sesuai dengan lampiran SPKP Nomor "&amp;DATA!$B$4&amp;", dan menyetujui prestasi pekerjaan berdasakan :"</f>
      </c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3"/>
      <c r="S21" s="37"/>
    </row>
    <row r="22" spans="1:19" ht="17.25" customHeight="1">
      <c r="A22" s="37"/>
      <c r="B22" s="38"/>
      <c r="C22" s="632"/>
      <c r="D22" s="632"/>
      <c r="E22" s="632"/>
      <c r="F22" s="632"/>
      <c r="G22" s="63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3"/>
      <c r="S22" s="37"/>
    </row>
    <row r="23" spans="1:19">
      <c r="A23" s="37"/>
      <c r="B23" s="38"/>
      <c r="C23" s="204">
        <v>1</v>
      </c>
      <c r="D23" s="205" t="s">
        <v>53</v>
      </c>
      <c r="E23" s="205"/>
      <c r="F23" s="205"/>
      <c r="G23" s="205" t="s">
        <v>2</v>
      </c>
      <c r="H23" s="206">
        <f>DATA!$B$4</f>
      </c>
      <c r="I23" s="204"/>
      <c r="J23" s="204"/>
      <c r="K23" s="204"/>
      <c r="L23" s="207" t="s">
        <v>94</v>
      </c>
      <c r="M23" s="616">
        <f>TEXT(DATA!$B$5,"[$-21]dd mmmm yyyy")</f>
      </c>
      <c r="N23" s="616"/>
      <c r="R23" s="208"/>
      <c r="S23" s="37"/>
    </row>
    <row r="24" spans="1:19">
      <c r="A24" s="37"/>
      <c r="B24" s="38"/>
      <c r="C24" s="204">
        <v>2</v>
      </c>
      <c r="D24" s="205" t="s">
        <v>59</v>
      </c>
      <c r="E24" s="205"/>
      <c r="F24" s="205"/>
      <c r="G24" s="205" t="s">
        <v>2</v>
      </c>
      <c r="H24" s="207" t="s">
        <v>95</v>
      </c>
      <c r="I24" s="614">
        <f>#REF!</f>
      </c>
      <c r="J24" s="614"/>
      <c r="K24" s="615" t="s">
        <v>60</v>
      </c>
      <c r="L24" s="615"/>
      <c r="N24" s="209"/>
      <c r="O24" s="204"/>
      <c r="P24" s="204"/>
      <c r="Q24" s="204"/>
      <c r="R24" s="208"/>
      <c r="S24" s="37"/>
    </row>
    <row r="25" spans="1:19">
      <c r="A25" s="37"/>
      <c r="B25" s="38"/>
      <c r="C25" s="204">
        <v>3</v>
      </c>
      <c r="D25" s="205" t="s">
        <v>96</v>
      </c>
      <c r="E25" s="205"/>
      <c r="F25" s="205"/>
      <c r="G25" s="205" t="s">
        <v>2</v>
      </c>
      <c r="H25" s="616">
        <f>TEXT(DATA!$B$8,"[$-21]dd mmmm yyyy")</f>
      </c>
      <c r="I25" s="616"/>
      <c r="J25" s="210" t="s">
        <v>97</v>
      </c>
      <c r="K25" s="635">
        <f>TEXT(DATA!$B$9,"[$-21]dd mmmm yyyy")</f>
      </c>
      <c r="L25" s="635"/>
      <c r="M25" s="211"/>
      <c r="Q25" s="204"/>
      <c r="R25" s="208"/>
      <c r="S25" s="37"/>
    </row>
    <row r="26" spans="1:19">
      <c r="A26" s="37"/>
      <c r="B26" s="38"/>
      <c r="C26" s="205" t="s">
        <v>98</v>
      </c>
      <c r="D26" s="204"/>
      <c r="E26" s="204"/>
      <c r="F26" s="204"/>
      <c r="G26" s="204"/>
      <c r="H26" s="204"/>
      <c r="I26" s="205"/>
      <c r="J26" s="204"/>
      <c r="K26" s="204"/>
      <c r="L26" s="204"/>
      <c r="M26" s="204"/>
      <c r="N26" s="204"/>
      <c r="O26" s="204"/>
      <c r="P26" s="204"/>
      <c r="Q26" s="204"/>
      <c r="R26" s="208"/>
      <c r="S26" s="37"/>
    </row>
    <row r="27" spans="1:19" ht="5.25" customHeight="1">
      <c r="A27" s="37"/>
      <c r="B27" s="38"/>
      <c r="C27" s="212"/>
      <c r="D27" s="209"/>
      <c r="E27" s="209"/>
      <c r="F27" s="209"/>
      <c r="G27" s="209"/>
      <c r="H27" s="209"/>
      <c r="I27" s="209"/>
      <c r="J27" s="212"/>
      <c r="K27" s="212"/>
      <c r="L27" s="204"/>
      <c r="M27" s="212"/>
      <c r="N27" s="212"/>
      <c r="O27" s="212"/>
      <c r="P27" s="212"/>
      <c r="Q27" s="212"/>
      <c r="R27" s="208"/>
      <c r="S27" s="37"/>
    </row>
    <row r="28" spans="1:19">
      <c r="A28" s="37"/>
      <c r="B28" s="82"/>
      <c r="C28" s="65"/>
      <c r="D28" s="83"/>
      <c r="E28" s="83"/>
      <c r="F28" s="83"/>
      <c r="G28" s="83"/>
      <c r="H28" s="83"/>
      <c r="I28" s="83"/>
      <c r="J28" s="80" t="s">
        <v>99</v>
      </c>
      <c r="K28" s="80" t="s">
        <v>100</v>
      </c>
      <c r="L28" s="84"/>
      <c r="M28" s="84"/>
      <c r="N28" s="84"/>
      <c r="O28" s="84"/>
      <c r="P28" s="65"/>
      <c r="Q28" s="80" t="s">
        <v>36</v>
      </c>
      <c r="R28" s="47"/>
    </row>
    <row r="29" spans="1:19" ht="15" customHeight="1">
      <c r="A29" s="37"/>
      <c r="B29" s="85"/>
      <c r="C29" s="86"/>
      <c r="D29" s="79"/>
      <c r="E29" s="79"/>
      <c r="F29" s="79"/>
      <c r="G29" s="79"/>
      <c r="H29" s="79"/>
      <c r="I29" s="79"/>
      <c r="J29" s="81" t="s">
        <v>101</v>
      </c>
      <c r="K29" s="80" t="s">
        <v>102</v>
      </c>
      <c r="L29" s="637" t="s">
        <v>103</v>
      </c>
      <c r="M29" s="54" t="s">
        <v>102</v>
      </c>
      <c r="N29" s="80" t="s">
        <v>102</v>
      </c>
      <c r="O29" s="80" t="s">
        <v>104</v>
      </c>
      <c r="P29" s="87" t="s">
        <v>105</v>
      </c>
      <c r="Q29" s="81" t="s">
        <v>105</v>
      </c>
      <c r="R29" s="42"/>
    </row>
    <row r="30" spans="1:19" ht="15" customHeight="1">
      <c r="A30" s="37"/>
      <c r="B30" s="88" t="s">
        <v>106</v>
      </c>
      <c r="C30" s="81" t="s">
        <v>107</v>
      </c>
      <c r="D30" s="89"/>
      <c r="E30" s="89"/>
      <c r="F30" s="89"/>
      <c r="G30" s="89"/>
      <c r="H30" s="89"/>
      <c r="I30" s="89"/>
      <c r="J30" s="81" t="s">
        <v>108</v>
      </c>
      <c r="K30" s="81" t="s">
        <v>109</v>
      </c>
      <c r="L30" s="638"/>
      <c r="M30" s="55" t="s">
        <v>109</v>
      </c>
      <c r="N30" s="81" t="s">
        <v>110</v>
      </c>
      <c r="O30" s="81" t="s">
        <v>111</v>
      </c>
      <c r="P30" s="87" t="s">
        <v>112</v>
      </c>
      <c r="Q30" s="81" t="s">
        <v>110</v>
      </c>
      <c r="R30" s="42"/>
    </row>
    <row r="31" spans="1:19" ht="15.75" customHeight="1">
      <c r="A31" s="37"/>
      <c r="B31" s="85"/>
      <c r="C31" s="86"/>
      <c r="D31" s="79"/>
      <c r="E31" s="79"/>
      <c r="F31" s="79"/>
      <c r="G31" s="79"/>
      <c r="H31" s="79"/>
      <c r="I31" s="79"/>
      <c r="J31" s="81" t="s">
        <v>113</v>
      </c>
      <c r="K31" s="81" t="s">
        <v>114</v>
      </c>
      <c r="L31" s="639"/>
      <c r="M31" s="69" t="s">
        <v>115</v>
      </c>
      <c r="N31" s="81" t="s">
        <v>116</v>
      </c>
      <c r="O31" s="81" t="s">
        <v>117</v>
      </c>
      <c r="P31" s="86"/>
      <c r="Q31" s="81" t="s">
        <v>116</v>
      </c>
      <c r="R31" s="42"/>
    </row>
    <row r="32" spans="1:19">
      <c r="A32" s="37"/>
      <c r="B32" s="48" t="s">
        <v>118</v>
      </c>
      <c r="C32" s="49" t="s">
        <v>119</v>
      </c>
      <c r="D32" s="50"/>
      <c r="E32" s="50"/>
      <c r="F32" s="50"/>
      <c r="G32" s="50"/>
      <c r="H32" s="50"/>
      <c r="I32" s="50"/>
      <c r="J32" s="49">
        <v>3</v>
      </c>
      <c r="K32" s="49">
        <v>4</v>
      </c>
      <c r="L32" s="49">
        <v>5</v>
      </c>
      <c r="M32" s="49" t="s">
        <v>120</v>
      </c>
      <c r="N32" s="49">
        <v>7</v>
      </c>
      <c r="O32" s="49" t="s">
        <v>121</v>
      </c>
      <c r="P32" s="51">
        <v>9</v>
      </c>
      <c r="Q32" s="49" t="s">
        <v>122</v>
      </c>
      <c r="R32" s="52"/>
    </row>
    <row r="33" spans="1:18" ht="18" customHeight="1">
      <c r="A33" s="37"/>
      <c r="B33" s="175"/>
      <c r="C33" s="177"/>
      <c r="D33" s="176"/>
      <c r="E33" s="176"/>
      <c r="F33" s="176"/>
      <c r="G33" s="176"/>
      <c r="H33" s="176"/>
      <c r="I33" s="176"/>
      <c r="J33" s="78"/>
      <c r="K33" s="78"/>
      <c r="L33" s="78"/>
      <c r="M33" s="78"/>
      <c r="N33" s="78"/>
      <c r="O33" s="78"/>
      <c r="P33" s="78"/>
      <c r="Q33" s="608"/>
      <c r="R33" s="609"/>
    </row>
    <row r="34" spans="1:18" ht="31.2" customHeight="1">
      <c r="A34" s="37"/>
      <c r="B34" s="175"/>
      <c r="C34" s="649">
        <f>'rincian 3'!C11</f>
      </c>
      <c r="D34" s="650"/>
      <c r="E34" s="650"/>
      <c r="F34" s="650"/>
      <c r="G34" s="650"/>
      <c r="H34" s="650"/>
      <c r="I34" s="651"/>
      <c r="J34" s="91"/>
      <c r="K34" s="78"/>
      <c r="L34" s="78"/>
      <c r="M34" s="78"/>
      <c r="N34" s="78"/>
      <c r="O34" s="78"/>
      <c r="P34" s="78"/>
      <c r="Q34" s="608"/>
      <c r="R34" s="609"/>
    </row>
    <row r="35" spans="1:18" ht="18" customHeight="1">
      <c r="A35" s="37"/>
      <c r="B35" s="406">
        <f>#REF!</f>
      </c>
      <c r="C35" s="407"/>
      <c r="D35" s="408">
        <f>IF(#REF!&lt;&gt;"",#REF!,IF(#REF!&lt;&gt;"",#REF!,""))</f>
      </c>
      <c r="E35" s="408"/>
      <c r="F35" s="408"/>
      <c r="G35" s="408"/>
      <c r="H35" s="408"/>
      <c r="I35" s="408"/>
      <c r="J35" s="409"/>
      <c r="K35" s="409"/>
      <c r="L35" s="409"/>
      <c r="M35" s="409"/>
      <c r="N35" s="409"/>
      <c r="O35" s="409"/>
      <c r="P35" s="410"/>
      <c r="Q35" s="652"/>
      <c r="R35" s="609"/>
    </row>
    <row r="36" spans="1:18" ht="18" customHeight="1">
      <c r="A36" s="37"/>
      <c r="B36" s="404">
        <f>#REF!</f>
      </c>
      <c r="C36" s="233"/>
      <c r="D36" s="405">
        <f>IF(#REF!&lt;&gt;"",#REF!,IF(#REF!&lt;&gt;"",#REF!,""))</f>
      </c>
      <c r="E36" s="405"/>
      <c r="F36" s="405"/>
      <c r="G36" s="405"/>
      <c r="H36" s="405"/>
      <c r="I36" s="405"/>
      <c r="J36" s="252"/>
      <c r="K36" s="252"/>
      <c r="L36" s="252"/>
      <c r="M36" s="252"/>
      <c r="N36" s="252"/>
      <c r="O36" s="252"/>
      <c r="P36" s="78"/>
      <c r="Q36" s="624"/>
      <c r="R36" s="625"/>
    </row>
    <row r="37" spans="1:18" ht="21" customHeight="1">
      <c r="A37" s="37"/>
      <c r="B37" s="175">
        <f>#REF!</f>
      </c>
      <c r="C37" s="177"/>
      <c r="D37" s="653">
        <f>IF(#REF!&lt;&gt;"",#REF!,IF(#REF!&lt;&gt;"",#REF!,""))</f>
      </c>
      <c r="E37" s="653"/>
      <c r="F37" s="653"/>
      <c r="G37" s="653"/>
      <c r="H37" s="653"/>
      <c r="I37" s="654"/>
      <c r="J37" s="252">
        <f>#REF!</f>
      </c>
      <c r="K37" s="252">
        <f ca="1">'rincian 3'!S14</f>
      </c>
      <c r="L37" s="252">
        <f>'rincian 3'!U14</f>
      </c>
      <c r="M37" s="252">
        <f ca="1">K37+L37</f>
      </c>
      <c r="N37" s="252">
        <f>L37</f>
      </c>
      <c r="O37" s="252">
        <f ca="1">J37-M37</f>
      </c>
      <c r="P37" s="78">
        <f>#REF!</f>
      </c>
      <c r="Q37" s="608">
        <f>N37*P37</f>
      </c>
      <c r="R37" s="609"/>
    </row>
    <row r="38" spans="1:18" ht="36" customHeight="1">
      <c r="A38" s="37"/>
      <c r="B38" s="175">
        <f>#REF!</f>
      </c>
      <c r="C38" s="177"/>
      <c r="D38" s="653">
        <f>IF(#REF!&lt;&gt;"",#REF!,IF(#REF!&lt;&gt;"",#REF!,""))</f>
      </c>
      <c r="E38" s="653"/>
      <c r="F38" s="653"/>
      <c r="G38" s="653"/>
      <c r="H38" s="653"/>
      <c r="I38" s="654"/>
      <c r="J38" s="252">
        <f>#REF!</f>
      </c>
      <c r="K38" s="252">
        <f ca="1">'rincian 3'!S15</f>
      </c>
      <c r="L38" s="252">
        <f>'rincian 3'!U15</f>
      </c>
      <c r="M38" s="252">
        <f ca="1">K38+L38</f>
      </c>
      <c r="N38" s="252">
        <f>L38</f>
      </c>
      <c r="O38" s="252">
        <f ca="1">J38-M38</f>
      </c>
      <c r="P38" s="78">
        <f>#REF!</f>
      </c>
      <c r="Q38" s="608">
        <f>N38*P38</f>
      </c>
      <c r="R38" s="609"/>
    </row>
    <row r="39" spans="1:18" ht="36" customHeight="1">
      <c r="A39" s="37"/>
      <c r="B39" s="175">
        <f>#REF!</f>
      </c>
      <c r="C39" s="177"/>
      <c r="D39" s="653">
        <f>IF(#REF!&lt;&gt;"",#REF!,IF(#REF!&lt;&gt;"",#REF!,""))</f>
      </c>
      <c r="E39" s="653"/>
      <c r="F39" s="653"/>
      <c r="G39" s="653"/>
      <c r="H39" s="653"/>
      <c r="I39" s="654"/>
      <c r="J39" s="252">
        <f>#REF!</f>
      </c>
      <c r="K39" s="252">
        <f ca="1">'rincian 3'!S16</f>
      </c>
      <c r="L39" s="252">
        <f>'rincian 3'!U16</f>
      </c>
      <c r="M39" s="252">
        <f ca="1">K39+L39</f>
      </c>
      <c r="N39" s="252">
        <f>L39</f>
      </c>
      <c r="O39" s="252">
        <f ca="1">J39-M39</f>
      </c>
      <c r="P39" s="78">
        <f>#REF!</f>
      </c>
      <c r="Q39" s="608">
        <f>N39*P39</f>
      </c>
      <c r="R39" s="609"/>
    </row>
    <row r="40" spans="1:18" ht="36" customHeight="1">
      <c r="A40" s="37"/>
      <c r="B40" s="175">
        <f>#REF!</f>
      </c>
      <c r="C40" s="233"/>
      <c r="D40" s="653">
        <f>IF(#REF!&lt;&gt;"",#REF!,IF(#REF!&lt;&gt;"",#REF!,""))</f>
      </c>
      <c r="E40" s="653"/>
      <c r="F40" s="653"/>
      <c r="G40" s="653"/>
      <c r="H40" s="653"/>
      <c r="I40" s="654"/>
      <c r="J40" s="252">
        <f>#REF!</f>
      </c>
      <c r="K40" s="252">
        <f ca="1">'rincian 3'!S17</f>
      </c>
      <c r="L40" s="252">
        <f>'rincian 3'!U17</f>
      </c>
      <c r="M40" s="252">
        <f ca="1">K40+L40</f>
      </c>
      <c r="N40" s="252">
        <f>L40</f>
      </c>
      <c r="O40" s="252">
        <f ca="1">J40-M40</f>
      </c>
      <c r="P40" s="78">
        <f>#REF!</f>
      </c>
      <c r="Q40" s="608">
        <f>N40*P40</f>
      </c>
      <c r="R40" s="609"/>
    </row>
    <row r="41" spans="1:18" ht="18" customHeight="1">
      <c r="A41" s="37"/>
      <c r="B41" s="404">
        <f>#REF!</f>
      </c>
      <c r="C41" s="233"/>
      <c r="D41" s="405">
        <f>IF(#REF!&lt;&gt;"",#REF!,IF(#REF!&lt;&gt;"",#REF!,""))</f>
      </c>
      <c r="E41" s="405"/>
      <c r="F41" s="405"/>
      <c r="G41" s="405"/>
      <c r="H41" s="405"/>
      <c r="I41" s="405"/>
      <c r="J41" s="252"/>
      <c r="K41" s="252"/>
      <c r="L41" s="252"/>
      <c r="M41" s="252"/>
      <c r="N41" s="252"/>
      <c r="O41" s="252"/>
      <c r="P41" s="78"/>
      <c r="Q41" s="624"/>
      <c r="R41" s="625"/>
    </row>
    <row r="42" spans="1:18" ht="18" customHeight="1">
      <c r="A42" s="37"/>
      <c r="B42" s="175">
        <f>#REF!</f>
      </c>
      <c r="C42" s="233"/>
      <c r="D42" s="176">
        <f>IF(#REF!&lt;&gt;"",#REF!,IF(#REF!&lt;&gt;"",#REF!,""))</f>
      </c>
      <c r="E42" s="176"/>
      <c r="F42" s="176"/>
      <c r="G42" s="176"/>
      <c r="H42" s="176"/>
      <c r="I42" s="176"/>
      <c r="J42" s="252">
        <f>#REF!</f>
      </c>
      <c r="K42" s="252">
        <f ca="1">'rincian 3'!S19</f>
      </c>
      <c r="L42" s="252">
        <f>'rincian 3'!U19</f>
      </c>
      <c r="M42" s="252">
        <f t="shared" ref="M42:M47" ca="1" si="0">K42+L42</f>
      </c>
      <c r="N42" s="252">
        <f t="shared" ref="N42:N47" si="1">L42</f>
      </c>
      <c r="O42" s="252">
        <f t="shared" ref="O42:O47" ca="1" si="2">J42-M42</f>
      </c>
      <c r="P42" s="78">
        <f>#REF!</f>
      </c>
      <c r="Q42" s="608">
        <f t="shared" ref="Q42:Q47" si="3">N42*P42</f>
      </c>
      <c r="R42" s="609"/>
    </row>
    <row r="43" spans="1:18" ht="18" customHeight="1">
      <c r="A43" s="37"/>
      <c r="B43" s="175">
        <f>#REF!</f>
      </c>
      <c r="C43" s="233"/>
      <c r="D43" s="176">
        <f>IF(#REF!&lt;&gt;"",#REF!,IF(#REF!&lt;&gt;"",#REF!,""))</f>
      </c>
      <c r="E43" s="176"/>
      <c r="F43" s="176"/>
      <c r="G43" s="176"/>
      <c r="H43" s="176"/>
      <c r="I43" s="176"/>
      <c r="J43" s="252">
        <f>#REF!</f>
      </c>
      <c r="K43" s="252">
        <f ca="1">'rincian 3'!S20</f>
      </c>
      <c r="L43" s="252">
        <f>'rincian 3'!U20</f>
      </c>
      <c r="M43" s="252">
        <f t="shared" ca="1" si="0"/>
      </c>
      <c r="N43" s="252">
        <f t="shared" si="1"/>
      </c>
      <c r="O43" s="252">
        <f t="shared" ca="1" si="2"/>
      </c>
      <c r="P43" s="78">
        <f>#REF!</f>
      </c>
      <c r="Q43" s="608">
        <f t="shared" si="3"/>
      </c>
      <c r="R43" s="609"/>
    </row>
    <row r="44" spans="1:18" ht="18" customHeight="1">
      <c r="A44" s="37"/>
      <c r="B44" s="175">
        <f>#REF!</f>
      </c>
      <c r="C44" s="233"/>
      <c r="D44" s="176">
        <f>IF(#REF!&lt;&gt;"",#REF!,IF(#REF!&lt;&gt;"",#REF!,""))</f>
      </c>
      <c r="E44" s="176"/>
      <c r="F44" s="176"/>
      <c r="G44" s="176"/>
      <c r="H44" s="176"/>
      <c r="I44" s="176"/>
      <c r="J44" s="252">
        <f>#REF!</f>
      </c>
      <c r="K44" s="252">
        <f ca="1">'rincian 3'!S21</f>
      </c>
      <c r="L44" s="252">
        <f>'rincian 3'!U21</f>
      </c>
      <c r="M44" s="252">
        <f t="shared" ca="1" si="0"/>
      </c>
      <c r="N44" s="252">
        <f t="shared" si="1"/>
      </c>
      <c r="O44" s="252">
        <f t="shared" ca="1" si="2"/>
      </c>
      <c r="P44" s="78">
        <f>#REF!</f>
      </c>
      <c r="Q44" s="608">
        <f t="shared" si="3"/>
      </c>
      <c r="R44" s="609"/>
    </row>
    <row r="45" spans="1:18" ht="18" customHeight="1">
      <c r="A45" s="37"/>
      <c r="B45" s="175">
        <f>#REF!</f>
      </c>
      <c r="C45" s="233"/>
      <c r="D45" s="176">
        <f>IF(#REF!&lt;&gt;"",#REF!,IF(#REF!&lt;&gt;"",#REF!,""))</f>
      </c>
      <c r="E45" s="176"/>
      <c r="F45" s="176"/>
      <c r="G45" s="176"/>
      <c r="H45" s="176"/>
      <c r="I45" s="176"/>
      <c r="J45" s="252">
        <f>#REF!</f>
      </c>
      <c r="K45" s="252">
        <f ca="1">'rincian 3'!S22</f>
      </c>
      <c r="L45" s="252">
        <f>'rincian 3'!U22</f>
      </c>
      <c r="M45" s="252">
        <f t="shared" ca="1" si="0"/>
      </c>
      <c r="N45" s="252">
        <f t="shared" si="1"/>
      </c>
      <c r="O45" s="252">
        <f t="shared" ca="1" si="2"/>
      </c>
      <c r="P45" s="78">
        <f>#REF!</f>
      </c>
      <c r="Q45" s="608">
        <f t="shared" si="3"/>
      </c>
      <c r="R45" s="609"/>
    </row>
    <row r="46" spans="1:18" ht="18" customHeight="1">
      <c r="A46" s="37"/>
      <c r="B46" s="175">
        <f>#REF!</f>
      </c>
      <c r="C46" s="233"/>
      <c r="D46" s="176">
        <f>IF(#REF!&lt;&gt;"",#REF!,IF(#REF!&lt;&gt;"",#REF!,""))</f>
      </c>
      <c r="E46" s="176"/>
      <c r="F46" s="176"/>
      <c r="G46" s="176"/>
      <c r="H46" s="176"/>
      <c r="I46" s="176"/>
      <c r="J46" s="252">
        <f>#REF!</f>
      </c>
      <c r="K46" s="252">
        <f ca="1">'rincian 3'!S23</f>
      </c>
      <c r="L46" s="252">
        <f>'rincian 3'!U23</f>
      </c>
      <c r="M46" s="252">
        <f t="shared" ca="1" si="0"/>
      </c>
      <c r="N46" s="252">
        <f t="shared" si="1"/>
      </c>
      <c r="O46" s="252">
        <f t="shared" ca="1" si="2"/>
      </c>
      <c r="P46" s="78">
        <f>#REF!</f>
      </c>
      <c r="Q46" s="608">
        <f t="shared" si="3"/>
      </c>
      <c r="R46" s="609"/>
    </row>
    <row r="47" spans="1:18" ht="18" customHeight="1">
      <c r="A47" s="37"/>
      <c r="B47" s="404">
        <f>#REF!</f>
      </c>
      <c r="C47" s="233"/>
      <c r="D47" s="405">
        <f>IF(#REF!&lt;&gt;"",#REF!,IF(#REF!&lt;&gt;"",#REF!,""))</f>
      </c>
      <c r="E47" s="405"/>
      <c r="F47" s="405"/>
      <c r="G47" s="405"/>
      <c r="H47" s="405"/>
      <c r="I47" s="405"/>
      <c r="J47" s="252">
        <f>#REF!</f>
      </c>
      <c r="K47" s="252">
        <f ca="1">'rincian 3'!S24</f>
      </c>
      <c r="L47" s="252">
        <f>'rincian 3'!U24</f>
      </c>
      <c r="M47" s="252">
        <f t="shared" ca="1" si="0"/>
      </c>
      <c r="N47" s="252">
        <f t="shared" si="1"/>
      </c>
      <c r="O47" s="252">
        <f t="shared" ca="1" si="2"/>
      </c>
      <c r="P47" s="78">
        <f>#REF!</f>
      </c>
      <c r="Q47" s="608">
        <f t="shared" si="3"/>
      </c>
      <c r="R47" s="609"/>
    </row>
    <row r="48" spans="1:18" ht="18" customHeight="1">
      <c r="A48" s="37"/>
      <c r="B48" s="404">
        <f>#REF!</f>
      </c>
      <c r="C48" s="233"/>
      <c r="D48" s="405">
        <f>IF(#REF!&lt;&gt;"",#REF!,IF(#REF!&lt;&gt;"",#REF!,""))</f>
      </c>
      <c r="E48" s="405"/>
      <c r="F48" s="405"/>
      <c r="G48" s="405"/>
      <c r="H48" s="405"/>
      <c r="I48" s="405"/>
      <c r="J48" s="252"/>
      <c r="K48" s="252"/>
      <c r="L48" s="252"/>
      <c r="M48" s="252"/>
      <c r="N48" s="252"/>
      <c r="O48" s="252"/>
      <c r="P48" s="78"/>
      <c r="Q48" s="624"/>
      <c r="R48" s="625"/>
    </row>
    <row r="49" spans="1:18" ht="18" customHeight="1">
      <c r="A49" s="37"/>
      <c r="B49" s="175">
        <f>#REF!</f>
      </c>
      <c r="C49" s="233"/>
      <c r="D49" s="176">
        <f>IF(#REF!&lt;&gt;"",#REF!,IF(#REF!&lt;&gt;"",#REF!,""))</f>
      </c>
      <c r="E49" s="176"/>
      <c r="F49" s="176"/>
      <c r="G49" s="176"/>
      <c r="H49" s="176"/>
      <c r="I49" s="176"/>
      <c r="J49" s="252">
        <f>#REF!</f>
      </c>
      <c r="K49" s="252">
        <f ca="1">'rincian 3'!S26</f>
      </c>
      <c r="L49" s="252">
        <f>'rincian 3'!U26</f>
      </c>
      <c r="M49" s="252">
        <f ca="1">K49+L49</f>
      </c>
      <c r="N49" s="252">
        <f>L49</f>
      </c>
      <c r="O49" s="252">
        <f ca="1">J49-M49</f>
      </c>
      <c r="P49" s="78">
        <f>#REF!</f>
      </c>
      <c r="Q49" s="608">
        <f>N49*P49</f>
      </c>
      <c r="R49" s="609"/>
    </row>
    <row r="50" spans="1:18" ht="18" customHeight="1">
      <c r="A50" s="37"/>
      <c r="B50" s="175">
        <f>#REF!</f>
      </c>
      <c r="C50" s="233"/>
      <c r="D50" s="176">
        <f>IF(#REF!&lt;&gt;"",#REF!,IF(#REF!&lt;&gt;"",#REF!,""))</f>
      </c>
      <c r="E50" s="176"/>
      <c r="F50" s="176"/>
      <c r="G50" s="176"/>
      <c r="H50" s="176"/>
      <c r="I50" s="176"/>
      <c r="J50" s="252">
        <f>#REF!</f>
      </c>
      <c r="K50" s="252">
        <f ca="1">'rincian 3'!S27</f>
      </c>
      <c r="L50" s="252">
        <f>'rincian 3'!U27</f>
      </c>
      <c r="M50" s="252">
        <f ca="1">K50+L50</f>
      </c>
      <c r="N50" s="252">
        <f>L50</f>
      </c>
      <c r="O50" s="252">
        <f ca="1">J50-M50</f>
      </c>
      <c r="P50" s="78">
        <f>#REF!</f>
      </c>
      <c r="Q50" s="608">
        <f>N50*P50</f>
      </c>
      <c r="R50" s="609"/>
    </row>
    <row r="51" spans="1:18" ht="18" customHeight="1">
      <c r="A51" s="37"/>
      <c r="B51" s="175">
        <f>#REF!</f>
      </c>
      <c r="C51" s="233"/>
      <c r="D51" s="176">
        <f>IF(#REF!&lt;&gt;"",#REF!,IF(#REF!&lt;&gt;"",#REF!,""))</f>
      </c>
      <c r="E51" s="176"/>
      <c r="F51" s="176"/>
      <c r="G51" s="176"/>
      <c r="H51" s="176"/>
      <c r="I51" s="176"/>
      <c r="J51" s="252">
        <f>#REF!</f>
      </c>
      <c r="K51" s="252">
        <f ca="1">'rincian 3'!S28</f>
      </c>
      <c r="L51" s="252">
        <f>'rincian 3'!U28</f>
      </c>
      <c r="M51" s="252">
        <f ca="1">K51+L51</f>
      </c>
      <c r="N51" s="252">
        <f>L51</f>
      </c>
      <c r="O51" s="252">
        <f ca="1">J51-M51</f>
      </c>
      <c r="P51" s="78">
        <f>#REF!</f>
      </c>
      <c r="Q51" s="608">
        <f>N51*P51</f>
      </c>
      <c r="R51" s="609"/>
    </row>
    <row r="52" spans="1:18" ht="18" customHeight="1">
      <c r="A52" s="37"/>
      <c r="B52" s="175">
        <f>#REF!</f>
      </c>
      <c r="C52" s="233"/>
      <c r="D52" s="176">
        <f>IF(#REF!&lt;&gt;"",#REF!,IF(#REF!&lt;&gt;"",#REF!,""))</f>
      </c>
      <c r="E52" s="176"/>
      <c r="F52" s="176"/>
      <c r="G52" s="176"/>
      <c r="H52" s="176"/>
      <c r="I52" s="176"/>
      <c r="J52" s="252">
        <f>#REF!</f>
      </c>
      <c r="K52" s="252">
        <f ca="1">'rincian 3'!S29</f>
      </c>
      <c r="L52" s="252">
        <f>'rincian 3'!U29</f>
      </c>
      <c r="M52" s="252">
        <f ca="1">K52+L52</f>
      </c>
      <c r="N52" s="252">
        <f>L52</f>
      </c>
      <c r="O52" s="252">
        <f ca="1">J52-M52</f>
      </c>
      <c r="P52" s="78">
        <f>#REF!</f>
      </c>
      <c r="Q52" s="608">
        <f>N52*P52</f>
      </c>
      <c r="R52" s="609"/>
    </row>
    <row r="53" spans="1:18" ht="18" customHeight="1">
      <c r="A53" s="37"/>
      <c r="B53" s="404">
        <f>#REF!</f>
      </c>
      <c r="C53" s="233"/>
      <c r="D53" s="405">
        <f>IF(#REF!&lt;&gt;"",#REF!,IF(#REF!&lt;&gt;"",#REF!,""))</f>
      </c>
      <c r="E53" s="405"/>
      <c r="F53" s="405"/>
      <c r="G53" s="405"/>
      <c r="H53" s="405"/>
      <c r="I53" s="405"/>
      <c r="J53" s="252"/>
      <c r="K53" s="252"/>
      <c r="L53" s="252"/>
      <c r="M53" s="252"/>
      <c r="N53" s="252"/>
      <c r="O53" s="252"/>
      <c r="P53" s="78"/>
      <c r="Q53" s="624"/>
      <c r="R53" s="625"/>
    </row>
    <row r="54" spans="1:18" ht="18" customHeight="1">
      <c r="A54" s="37"/>
      <c r="B54" s="175">
        <f>#REF!</f>
      </c>
      <c r="C54" s="233"/>
      <c r="D54" s="176">
        <f>IF(#REF!&lt;&gt;"",#REF!,IF(#REF!&lt;&gt;"",#REF!,""))</f>
      </c>
      <c r="E54" s="176"/>
      <c r="F54" s="176"/>
      <c r="G54" s="176"/>
      <c r="H54" s="176"/>
      <c r="I54" s="176"/>
      <c r="J54" s="252">
        <f>#REF!</f>
      </c>
      <c r="K54" s="252">
        <f ca="1">'rincian 3'!S31</f>
      </c>
      <c r="L54" s="252">
        <f>'rincian 3'!U31</f>
      </c>
      <c r="M54" s="252">
        <f ca="1">K54+L54</f>
      </c>
      <c r="N54" s="252">
        <f>L54</f>
      </c>
      <c r="O54" s="252">
        <f ca="1">J54-M54</f>
      </c>
      <c r="P54" s="78">
        <f>#REF!</f>
      </c>
      <c r="Q54" s="608">
        <f>N54*P54</f>
      </c>
      <c r="R54" s="609"/>
    </row>
    <row r="55" spans="1:18" ht="18" customHeight="1">
      <c r="A55" s="37"/>
      <c r="B55" s="175">
        <f>#REF!</f>
      </c>
      <c r="C55" s="233"/>
      <c r="D55" s="176">
        <f>IF(#REF!&lt;&gt;"",#REF!,IF(#REF!&lt;&gt;"",#REF!,""))</f>
      </c>
      <c r="E55" s="176"/>
      <c r="F55" s="176"/>
      <c r="G55" s="176"/>
      <c r="H55" s="176"/>
      <c r="I55" s="176"/>
      <c r="J55" s="252">
        <f>#REF!</f>
      </c>
      <c r="K55" s="252">
        <f ca="1">'rincian 3'!S32</f>
      </c>
      <c r="L55" s="252">
        <f>'rincian 3'!U32</f>
      </c>
      <c r="M55" s="252">
        <f ca="1">K55+L55</f>
      </c>
      <c r="N55" s="252">
        <f>L55</f>
      </c>
      <c r="O55" s="252">
        <f ca="1">J55-M55</f>
      </c>
      <c r="P55" s="78">
        <f>#REF!</f>
      </c>
      <c r="Q55" s="608">
        <f>N55*P55</f>
      </c>
      <c r="R55" s="609"/>
    </row>
    <row r="56" spans="1:18" ht="18" customHeight="1">
      <c r="A56" s="37"/>
      <c r="B56" s="175">
        <f>#REF!</f>
      </c>
      <c r="C56" s="233"/>
      <c r="D56" s="176">
        <f>IF(#REF!&lt;&gt;"",#REF!,IF(#REF!&lt;&gt;"",#REF!,""))</f>
      </c>
      <c r="E56" s="176"/>
      <c r="F56" s="176"/>
      <c r="G56" s="176"/>
      <c r="H56" s="176"/>
      <c r="I56" s="176"/>
      <c r="J56" s="252">
        <f>#REF!</f>
      </c>
      <c r="K56" s="252">
        <f ca="1">'rincian 3'!S33</f>
      </c>
      <c r="L56" s="252">
        <f>'rincian 3'!U33</f>
      </c>
      <c r="M56" s="252">
        <f ca="1">K56+L56</f>
      </c>
      <c r="N56" s="252">
        <f>L56</f>
      </c>
      <c r="O56" s="252">
        <f ca="1">J56-M56</f>
      </c>
      <c r="P56" s="78">
        <f>#REF!</f>
      </c>
      <c r="Q56" s="608">
        <f>N56*P56</f>
      </c>
      <c r="R56" s="609"/>
    </row>
    <row r="57" spans="1:18" ht="18" customHeight="1">
      <c r="A57" s="37"/>
      <c r="B57" s="175">
        <f>#REF!</f>
      </c>
      <c r="C57" s="233"/>
      <c r="D57" s="176">
        <f>IF(#REF!&lt;&gt;"",#REF!,IF(#REF!&lt;&gt;"",#REF!,""))</f>
      </c>
      <c r="E57" s="176"/>
      <c r="F57" s="176"/>
      <c r="G57" s="176"/>
      <c r="H57" s="176"/>
      <c r="I57" s="176"/>
      <c r="J57" s="252">
        <f>#REF!</f>
      </c>
      <c r="K57" s="252">
        <f ca="1">'rincian 3'!S34</f>
      </c>
      <c r="L57" s="252">
        <f>'rincian 3'!U34</f>
      </c>
      <c r="M57" s="252">
        <f ca="1">K57+L57</f>
      </c>
      <c r="N57" s="252">
        <f>L57</f>
      </c>
      <c r="O57" s="252">
        <f ca="1">J57-M57</f>
      </c>
      <c r="P57" s="78">
        <f>#REF!</f>
      </c>
      <c r="Q57" s="608">
        <f>N57*P57</f>
      </c>
      <c r="R57" s="609"/>
    </row>
    <row r="58" spans="1:18" ht="18" customHeight="1">
      <c r="A58" s="37"/>
      <c r="B58" s="175">
        <f>#REF!</f>
      </c>
      <c r="C58" s="233"/>
      <c r="D58" s="176">
        <f>IF(#REF!&lt;&gt;"",#REF!,IF(#REF!&lt;&gt;"",#REF!,""))</f>
      </c>
      <c r="E58" s="176"/>
      <c r="F58" s="176"/>
      <c r="G58" s="176"/>
      <c r="H58" s="176"/>
      <c r="I58" s="176"/>
      <c r="J58" s="252">
        <f>#REF!</f>
      </c>
      <c r="K58" s="252">
        <f ca="1">'rincian 3'!S35</f>
      </c>
      <c r="L58" s="252">
        <f>'rincian 3'!U35</f>
      </c>
      <c r="M58" s="252">
        <f ca="1">K58+L58</f>
      </c>
      <c r="N58" s="252">
        <f>L58</f>
      </c>
      <c r="O58" s="252">
        <f ca="1">J58-M58</f>
      </c>
      <c r="P58" s="78">
        <f>#REF!</f>
      </c>
      <c r="Q58" s="608">
        <f>N58*P58</f>
      </c>
      <c r="R58" s="609"/>
    </row>
    <row r="59" spans="1:18" ht="18" customHeight="1">
      <c r="A59" s="37"/>
      <c r="B59" s="175">
        <f>#REF!</f>
      </c>
      <c r="C59" s="233"/>
      <c r="D59" s="176">
        <f>IF(#REF!&lt;&gt;"",#REF!,IF(#REF!&lt;&gt;"",#REF!,""))</f>
      </c>
      <c r="E59" s="176"/>
      <c r="F59" s="176"/>
      <c r="G59" s="176"/>
      <c r="H59" s="176"/>
      <c r="I59" s="176"/>
      <c r="J59" s="252"/>
      <c r="K59" s="252"/>
      <c r="L59" s="252"/>
      <c r="M59" s="252"/>
      <c r="N59" s="252"/>
      <c r="O59" s="252"/>
      <c r="P59" s="78"/>
      <c r="Q59" s="624"/>
      <c r="R59" s="625"/>
    </row>
    <row r="60" spans="1:18" ht="18" customHeight="1">
      <c r="A60" s="37"/>
      <c r="B60" s="175">
        <f>#REF!</f>
      </c>
      <c r="C60" s="233"/>
      <c r="D60" s="176">
        <f>IF(#REF!&lt;&gt;"",#REF!,IF(#REF!&lt;&gt;"",#REF!,""))</f>
      </c>
      <c r="E60" s="176"/>
      <c r="F60" s="176"/>
      <c r="G60" s="176"/>
      <c r="H60" s="176"/>
      <c r="I60" s="176"/>
      <c r="J60" s="252">
        <f>#REF!</f>
      </c>
      <c r="K60" s="252">
        <f ca="1">'rincian 3'!S37</f>
      </c>
      <c r="L60" s="252">
        <f>'rincian 3'!U37</f>
      </c>
      <c r="M60" s="252">
        <f t="shared" ref="M60:M76" ca="1" si="4">K60+L60</f>
      </c>
      <c r="N60" s="252">
        <f t="shared" ref="N60:N76" si="5">L60</f>
      </c>
      <c r="O60" s="252">
        <f t="shared" ref="O60:O76" ca="1" si="6">J60-M60</f>
      </c>
      <c r="P60" s="78">
        <f>#REF!</f>
      </c>
      <c r="Q60" s="608">
        <f t="shared" ref="Q60:Q76" si="7">N60*P60</f>
      </c>
      <c r="R60" s="609"/>
    </row>
    <row r="61" spans="1:18" ht="18" customHeight="1">
      <c r="A61" s="37"/>
      <c r="B61" s="175">
        <f>#REF!</f>
      </c>
      <c r="C61" s="233"/>
      <c r="D61" s="176">
        <f>IF(#REF!&lt;&gt;"",#REF!,IF(#REF!&lt;&gt;"",#REF!,""))</f>
      </c>
      <c r="E61" s="176"/>
      <c r="F61" s="176"/>
      <c r="G61" s="176"/>
      <c r="H61" s="176"/>
      <c r="I61" s="176"/>
      <c r="J61" s="252">
        <f>#REF!</f>
      </c>
      <c r="K61" s="252">
        <f ca="1">'rincian 3'!S38</f>
      </c>
      <c r="L61" s="252">
        <f>'rincian 3'!U38</f>
      </c>
      <c r="M61" s="252">
        <f t="shared" ca="1" si="4"/>
      </c>
      <c r="N61" s="252">
        <f t="shared" si="5"/>
      </c>
      <c r="O61" s="252">
        <f t="shared" ca="1" si="6"/>
      </c>
      <c r="P61" s="78">
        <f>#REF!</f>
      </c>
      <c r="Q61" s="608">
        <f t="shared" si="7"/>
      </c>
      <c r="R61" s="609"/>
    </row>
    <row r="62" spans="1:18" ht="18" customHeight="1">
      <c r="A62" s="37"/>
      <c r="B62" s="175">
        <f>#REF!</f>
      </c>
      <c r="C62" s="233"/>
      <c r="D62" s="176">
        <f>IF(#REF!&lt;&gt;"",#REF!,IF(#REF!&lt;&gt;"",#REF!,""))</f>
      </c>
      <c r="E62" s="176"/>
      <c r="F62" s="176"/>
      <c r="G62" s="176"/>
      <c r="H62" s="176"/>
      <c r="I62" s="176"/>
      <c r="J62" s="252">
        <f>#REF!</f>
      </c>
      <c r="K62" s="252">
        <f ca="1">'rincian 3'!S39</f>
      </c>
      <c r="L62" s="252">
        <f>'rincian 3'!U39</f>
      </c>
      <c r="M62" s="252">
        <f t="shared" ca="1" si="4"/>
      </c>
      <c r="N62" s="252">
        <f t="shared" si="5"/>
      </c>
      <c r="O62" s="252">
        <f t="shared" ca="1" si="6"/>
      </c>
      <c r="P62" s="78">
        <f>#REF!</f>
      </c>
      <c r="Q62" s="608">
        <f t="shared" si="7"/>
      </c>
      <c r="R62" s="609"/>
    </row>
    <row r="63" spans="1:18" ht="36" customHeight="1">
      <c r="A63" s="37"/>
      <c r="B63" s="175">
        <f>#REF!</f>
      </c>
      <c r="C63" s="233"/>
      <c r="D63" s="653">
        <f>IF(#REF!&lt;&gt;"",#REF!,IF(#REF!&lt;&gt;"",#REF!,""))</f>
      </c>
      <c r="E63" s="653"/>
      <c r="F63" s="653"/>
      <c r="G63" s="653"/>
      <c r="H63" s="653"/>
      <c r="I63" s="654"/>
      <c r="J63" s="252">
        <f>#REF!</f>
      </c>
      <c r="K63" s="252">
        <f ca="1">'rincian 3'!S40</f>
      </c>
      <c r="L63" s="252">
        <f>'rincian 3'!U40</f>
      </c>
      <c r="M63" s="252">
        <f t="shared" ca="1" si="4"/>
      </c>
      <c r="N63" s="252">
        <f t="shared" si="5"/>
      </c>
      <c r="O63" s="252">
        <f t="shared" ca="1" si="6"/>
      </c>
      <c r="P63" s="78">
        <f>#REF!</f>
      </c>
      <c r="Q63" s="608">
        <f t="shared" si="7"/>
      </c>
      <c r="R63" s="609"/>
    </row>
    <row r="64" spans="1:18" ht="18" customHeight="1">
      <c r="A64" s="37"/>
      <c r="B64" s="175">
        <f>#REF!</f>
      </c>
      <c r="C64" s="233"/>
      <c r="D64" s="176">
        <f>IF(#REF!&lt;&gt;"",#REF!,IF(#REF!&lt;&gt;"",#REF!,""))</f>
      </c>
      <c r="E64" s="176"/>
      <c r="F64" s="176"/>
      <c r="G64" s="176"/>
      <c r="H64" s="176"/>
      <c r="I64" s="176"/>
      <c r="J64" s="252">
        <f>#REF!</f>
      </c>
      <c r="K64" s="252">
        <f ca="1">'rincian 3'!S41</f>
      </c>
      <c r="L64" s="252">
        <f>'rincian 3'!U41</f>
      </c>
      <c r="M64" s="252">
        <f t="shared" ca="1" si="4"/>
      </c>
      <c r="N64" s="252">
        <f t="shared" si="5"/>
      </c>
      <c r="O64" s="252">
        <f t="shared" ca="1" si="6"/>
      </c>
      <c r="P64" s="78">
        <f>#REF!</f>
      </c>
      <c r="Q64" s="608">
        <f t="shared" si="7"/>
      </c>
      <c r="R64" s="609"/>
    </row>
    <row r="65" spans="1:18" ht="18" customHeight="1">
      <c r="A65" s="37"/>
      <c r="B65" s="175">
        <f>#REF!</f>
      </c>
      <c r="C65" s="233"/>
      <c r="D65" s="176">
        <f>IF(#REF!&lt;&gt;"",#REF!,IF(#REF!&lt;&gt;"",#REF!,""))</f>
      </c>
      <c r="E65" s="176"/>
      <c r="F65" s="176"/>
      <c r="G65" s="176"/>
      <c r="H65" s="176"/>
      <c r="I65" s="176"/>
      <c r="J65" s="252">
        <f>#REF!</f>
      </c>
      <c r="K65" s="252">
        <f ca="1">'rincian 3'!S42</f>
      </c>
      <c r="L65" s="252">
        <f>'rincian 3'!U42</f>
      </c>
      <c r="M65" s="252">
        <f t="shared" ca="1" si="4"/>
      </c>
      <c r="N65" s="252">
        <f t="shared" si="5"/>
      </c>
      <c r="O65" s="252">
        <f t="shared" ca="1" si="6"/>
      </c>
      <c r="P65" s="78">
        <f>#REF!</f>
      </c>
      <c r="Q65" s="608">
        <f t="shared" si="7"/>
      </c>
      <c r="R65" s="609"/>
    </row>
    <row r="66" spans="1:18" ht="18" customHeight="1">
      <c r="A66" s="37"/>
      <c r="B66" s="175">
        <f>#REF!</f>
      </c>
      <c r="C66" s="233"/>
      <c r="D66" s="176">
        <f>IF(#REF!&lt;&gt;"",#REF!,IF(#REF!&lt;&gt;"",#REF!,""))</f>
      </c>
      <c r="E66" s="176"/>
      <c r="F66" s="176"/>
      <c r="G66" s="176"/>
      <c r="H66" s="176"/>
      <c r="I66" s="176"/>
      <c r="J66" s="252">
        <f>#REF!</f>
      </c>
      <c r="K66" s="252">
        <f ca="1">'rincian 3'!S43</f>
      </c>
      <c r="L66" s="252">
        <f>'rincian 3'!U43</f>
      </c>
      <c r="M66" s="252">
        <f t="shared" ca="1" si="4"/>
      </c>
      <c r="N66" s="252">
        <f t="shared" si="5"/>
      </c>
      <c r="O66" s="252">
        <f t="shared" ca="1" si="6"/>
      </c>
      <c r="P66" s="78">
        <f>#REF!</f>
      </c>
      <c r="Q66" s="608">
        <f t="shared" si="7"/>
      </c>
      <c r="R66" s="609"/>
    </row>
    <row r="67" spans="1:18" ht="18" customHeight="1">
      <c r="A67" s="37"/>
      <c r="B67" s="175">
        <f>#REF!</f>
      </c>
      <c r="C67" s="233"/>
      <c r="D67" s="176">
        <f>IF(#REF!&lt;&gt;"",#REF!,IF(#REF!&lt;&gt;"",#REF!,""))</f>
      </c>
      <c r="E67" s="176"/>
      <c r="F67" s="176"/>
      <c r="G67" s="176"/>
      <c r="H67" s="176"/>
      <c r="I67" s="176"/>
      <c r="J67" s="252">
        <f>#REF!</f>
      </c>
      <c r="K67" s="252">
        <f ca="1">'rincian 3'!S44</f>
      </c>
      <c r="L67" s="252">
        <f>'rincian 3'!U44</f>
      </c>
      <c r="M67" s="252">
        <f t="shared" ca="1" si="4"/>
      </c>
      <c r="N67" s="252">
        <f t="shared" si="5"/>
      </c>
      <c r="O67" s="252">
        <f t="shared" ca="1" si="6"/>
      </c>
      <c r="P67" s="78">
        <f>#REF!</f>
      </c>
      <c r="Q67" s="608">
        <f t="shared" si="7"/>
      </c>
      <c r="R67" s="609"/>
    </row>
    <row r="68" spans="1:18" ht="18" customHeight="1">
      <c r="A68" s="37"/>
      <c r="B68" s="175">
        <f>#REF!</f>
      </c>
      <c r="C68" s="233"/>
      <c r="D68" s="176">
        <f>IF(#REF!&lt;&gt;"",#REF!,IF(#REF!&lt;&gt;"",#REF!,""))</f>
      </c>
      <c r="E68" s="176"/>
      <c r="F68" s="176"/>
      <c r="G68" s="176"/>
      <c r="H68" s="176"/>
      <c r="I68" s="176"/>
      <c r="J68" s="252">
        <f>#REF!</f>
      </c>
      <c r="K68" s="252">
        <f ca="1">'rincian 3'!S45</f>
      </c>
      <c r="L68" s="252">
        <f>'rincian 3'!U45</f>
      </c>
      <c r="M68" s="252">
        <f t="shared" ca="1" si="4"/>
      </c>
      <c r="N68" s="252">
        <f t="shared" si="5"/>
      </c>
      <c r="O68" s="252">
        <f t="shared" ca="1" si="6"/>
      </c>
      <c r="P68" s="78">
        <f>#REF!</f>
      </c>
      <c r="Q68" s="608">
        <f t="shared" si="7"/>
      </c>
      <c r="R68" s="609"/>
    </row>
    <row r="69" spans="1:18" ht="18" customHeight="1">
      <c r="A69" s="37"/>
      <c r="B69" s="175">
        <f>#REF!</f>
      </c>
      <c r="C69" s="233"/>
      <c r="D69" s="176">
        <f>IF(#REF!&lt;&gt;"",#REF!,IF(#REF!&lt;&gt;"",#REF!,""))</f>
      </c>
      <c r="E69" s="176"/>
      <c r="F69" s="176"/>
      <c r="G69" s="176"/>
      <c r="H69" s="176"/>
      <c r="I69" s="176"/>
      <c r="J69" s="252">
        <f>#REF!</f>
      </c>
      <c r="K69" s="252">
        <f ca="1">'rincian 3'!S46</f>
      </c>
      <c r="L69" s="252">
        <f>'rincian 3'!U46</f>
      </c>
      <c r="M69" s="252">
        <f t="shared" ca="1" si="4"/>
      </c>
      <c r="N69" s="252">
        <f t="shared" si="5"/>
      </c>
      <c r="O69" s="252">
        <f t="shared" ca="1" si="6"/>
      </c>
      <c r="P69" s="78">
        <f>#REF!</f>
      </c>
      <c r="Q69" s="608">
        <f t="shared" si="7"/>
      </c>
      <c r="R69" s="609"/>
    </row>
    <row r="70" spans="1:18" ht="18" customHeight="1">
      <c r="A70" s="37"/>
      <c r="B70" s="175">
        <f>#REF!</f>
      </c>
      <c r="C70" s="233"/>
      <c r="D70" s="176">
        <f>IF(#REF!&lt;&gt;"",#REF!,IF(#REF!&lt;&gt;"",#REF!,""))</f>
      </c>
      <c r="E70" s="176"/>
      <c r="F70" s="176"/>
      <c r="G70" s="176"/>
      <c r="H70" s="176"/>
      <c r="I70" s="176"/>
      <c r="J70" s="252">
        <f>#REF!</f>
      </c>
      <c r="K70" s="252">
        <f ca="1">'rincian 3'!S47</f>
      </c>
      <c r="L70" s="252">
        <f>'rincian 3'!U47</f>
      </c>
      <c r="M70" s="252">
        <f t="shared" ca="1" si="4"/>
      </c>
      <c r="N70" s="252">
        <f t="shared" si="5"/>
      </c>
      <c r="O70" s="252">
        <f t="shared" ca="1" si="6"/>
      </c>
      <c r="P70" s="78">
        <f>#REF!</f>
      </c>
      <c r="Q70" s="608">
        <f t="shared" si="7"/>
      </c>
      <c r="R70" s="609"/>
    </row>
    <row r="71" spans="1:18" ht="18" customHeight="1">
      <c r="A71" s="37"/>
      <c r="B71" s="175">
        <f>#REF!</f>
      </c>
      <c r="C71" s="233"/>
      <c r="D71" s="176">
        <f>IF(#REF!&lt;&gt;"",#REF!,IF(#REF!&lt;&gt;"",#REF!,""))</f>
      </c>
      <c r="E71" s="176"/>
      <c r="F71" s="176"/>
      <c r="G71" s="176"/>
      <c r="H71" s="176"/>
      <c r="I71" s="176"/>
      <c r="J71" s="252">
        <f>#REF!</f>
      </c>
      <c r="K71" s="252">
        <f ca="1">'rincian 3'!S48</f>
      </c>
      <c r="L71" s="252">
        <f>'rincian 3'!U48</f>
      </c>
      <c r="M71" s="252">
        <f t="shared" ca="1" si="4"/>
      </c>
      <c r="N71" s="252">
        <f t="shared" si="5"/>
      </c>
      <c r="O71" s="252">
        <f t="shared" ca="1" si="6"/>
      </c>
      <c r="P71" s="78">
        <f>#REF!</f>
      </c>
      <c r="Q71" s="608">
        <f t="shared" si="7"/>
      </c>
      <c r="R71" s="609"/>
    </row>
    <row r="72" spans="1:18" ht="18" customHeight="1">
      <c r="A72" s="37"/>
      <c r="B72" s="175">
        <f>#REF!</f>
      </c>
      <c r="C72" s="233"/>
      <c r="D72" s="176">
        <f>IF(#REF!&lt;&gt;"",#REF!,IF(#REF!&lt;&gt;"",#REF!,""))</f>
      </c>
      <c r="E72" s="176"/>
      <c r="F72" s="176"/>
      <c r="G72" s="176"/>
      <c r="H72" s="176"/>
      <c r="I72" s="176"/>
      <c r="J72" s="252">
        <f>#REF!</f>
      </c>
      <c r="K72" s="252">
        <f ca="1">'rincian 3'!S49</f>
      </c>
      <c r="L72" s="252">
        <f>'rincian 3'!U49</f>
      </c>
      <c r="M72" s="252">
        <f t="shared" ca="1" si="4"/>
      </c>
      <c r="N72" s="252">
        <f t="shared" si="5"/>
      </c>
      <c r="O72" s="252">
        <f t="shared" ca="1" si="6"/>
      </c>
      <c r="P72" s="78">
        <f>#REF!</f>
      </c>
      <c r="Q72" s="608">
        <f t="shared" si="7"/>
      </c>
      <c r="R72" s="609"/>
    </row>
    <row r="73" spans="1:18" ht="18" customHeight="1">
      <c r="A73" s="37"/>
      <c r="B73" s="175">
        <f>#REF!</f>
      </c>
      <c r="C73" s="233"/>
      <c r="D73" s="176">
        <f>IF(#REF!&lt;&gt;"",#REF!,IF(#REF!&lt;&gt;"",#REF!,""))</f>
      </c>
      <c r="E73" s="176"/>
      <c r="F73" s="176"/>
      <c r="G73" s="176"/>
      <c r="H73" s="176"/>
      <c r="I73" s="176"/>
      <c r="J73" s="252">
        <f>#REF!</f>
      </c>
      <c r="K73" s="252">
        <f ca="1">'rincian 3'!S50</f>
      </c>
      <c r="L73" s="252">
        <f>'rincian 3'!U50</f>
      </c>
      <c r="M73" s="252">
        <f t="shared" ca="1" si="4"/>
      </c>
      <c r="N73" s="252">
        <f t="shared" si="5"/>
      </c>
      <c r="O73" s="252">
        <f t="shared" ca="1" si="6"/>
      </c>
      <c r="P73" s="78">
        <f>#REF!</f>
      </c>
      <c r="Q73" s="608">
        <f t="shared" si="7"/>
      </c>
      <c r="R73" s="609"/>
    </row>
    <row r="74" spans="1:18" ht="18" customHeight="1">
      <c r="A74" s="37"/>
      <c r="B74" s="175">
        <f>#REF!</f>
      </c>
      <c r="C74" s="233"/>
      <c r="D74" s="176">
        <f>IF(#REF!&lt;&gt;"",#REF!,IF(#REF!&lt;&gt;"",#REF!,""))</f>
      </c>
      <c r="E74" s="176"/>
      <c r="F74" s="176"/>
      <c r="G74" s="176"/>
      <c r="H74" s="176"/>
      <c r="I74" s="176"/>
      <c r="J74" s="252">
        <f>#REF!</f>
      </c>
      <c r="K74" s="252">
        <f ca="1">'rincian 3'!S51</f>
      </c>
      <c r="L74" s="252">
        <f>'rincian 3'!U51</f>
      </c>
      <c r="M74" s="252">
        <f t="shared" ca="1" si="4"/>
      </c>
      <c r="N74" s="252">
        <f t="shared" si="5"/>
      </c>
      <c r="O74" s="252">
        <f t="shared" ca="1" si="6"/>
      </c>
      <c r="P74" s="78">
        <f>#REF!</f>
      </c>
      <c r="Q74" s="608">
        <f t="shared" si="7"/>
      </c>
      <c r="R74" s="609"/>
    </row>
    <row r="75" spans="1:18" ht="18" customHeight="1">
      <c r="A75" s="37"/>
      <c r="B75" s="175">
        <f>#REF!</f>
      </c>
      <c r="C75" s="233"/>
      <c r="D75" s="176">
        <f>IF(#REF!&lt;&gt;"",#REF!,IF(#REF!&lt;&gt;"",#REF!,""))</f>
      </c>
      <c r="E75" s="176"/>
      <c r="F75" s="176"/>
      <c r="G75" s="176"/>
      <c r="H75" s="176"/>
      <c r="I75" s="176"/>
      <c r="J75" s="252">
        <f>#REF!</f>
      </c>
      <c r="K75" s="252">
        <f ca="1">'rincian 3'!S52</f>
      </c>
      <c r="L75" s="252">
        <f>'rincian 3'!U52</f>
      </c>
      <c r="M75" s="252">
        <f t="shared" ca="1" si="4"/>
      </c>
      <c r="N75" s="252">
        <f t="shared" si="5"/>
      </c>
      <c r="O75" s="252">
        <f t="shared" ca="1" si="6"/>
      </c>
      <c r="P75" s="78">
        <f>#REF!</f>
      </c>
      <c r="Q75" s="608">
        <f t="shared" si="7"/>
      </c>
      <c r="R75" s="609"/>
    </row>
    <row r="76" spans="1:18" ht="18" customHeight="1">
      <c r="A76" s="37"/>
      <c r="B76" s="175">
        <f>#REF!</f>
      </c>
      <c r="C76" s="233"/>
      <c r="D76" s="176">
        <f>IF(#REF!&lt;&gt;"",#REF!,IF(#REF!&lt;&gt;"",#REF!,""))</f>
      </c>
      <c r="E76" s="176"/>
      <c r="F76" s="176"/>
      <c r="G76" s="176"/>
      <c r="H76" s="176"/>
      <c r="I76" s="176"/>
      <c r="J76" s="252">
        <f>#REF!</f>
      </c>
      <c r="K76" s="252">
        <f ca="1">'rincian 3'!S53</f>
      </c>
      <c r="L76" s="252">
        <f>'rincian 3'!U53</f>
      </c>
      <c r="M76" s="252">
        <f t="shared" ca="1" si="4"/>
      </c>
      <c r="N76" s="252">
        <f t="shared" si="5"/>
      </c>
      <c r="O76" s="252">
        <f t="shared" ca="1" si="6"/>
      </c>
      <c r="P76" s="78">
        <f>#REF!</f>
      </c>
      <c r="Q76" s="608">
        <f t="shared" si="7"/>
      </c>
      <c r="R76" s="609"/>
    </row>
    <row r="77" spans="1:18" ht="18" customHeight="1">
      <c r="A77" s="37"/>
      <c r="B77" s="406">
        <f>#REF!</f>
      </c>
      <c r="C77" s="407"/>
      <c r="D77" s="408">
        <f>IF(#REF!&lt;&gt;"",#REF!,IF(#REF!&lt;&gt;"",#REF!,""))</f>
      </c>
      <c r="E77" s="408"/>
      <c r="F77" s="408"/>
      <c r="G77" s="408"/>
      <c r="H77" s="408"/>
      <c r="I77" s="408"/>
      <c r="J77" s="409"/>
      <c r="K77" s="409"/>
      <c r="L77" s="409"/>
      <c r="M77" s="409"/>
      <c r="N77" s="409"/>
      <c r="O77" s="409"/>
      <c r="P77" s="410"/>
      <c r="Q77" s="624"/>
      <c r="R77" s="625"/>
    </row>
    <row r="78" spans="1:18" ht="18" customHeight="1">
      <c r="A78" s="37"/>
      <c r="B78" s="404">
        <f>#REF!</f>
      </c>
      <c r="C78" s="233"/>
      <c r="D78" s="405">
        <f>IF(#REF!&lt;&gt;"",#REF!,IF(#REF!&lt;&gt;"",#REF!,""))</f>
      </c>
      <c r="E78" s="405"/>
      <c r="F78" s="405"/>
      <c r="G78" s="405"/>
      <c r="H78" s="405"/>
      <c r="I78" s="405"/>
      <c r="J78" s="252"/>
      <c r="K78" s="252"/>
      <c r="L78" s="252"/>
      <c r="M78" s="252"/>
      <c r="N78" s="252"/>
      <c r="O78" s="252"/>
      <c r="P78" s="78"/>
      <c r="Q78" s="624"/>
      <c r="R78" s="625"/>
    </row>
    <row r="79" spans="1:18" ht="18" customHeight="1">
      <c r="A79" s="37"/>
      <c r="B79" s="404">
        <f>#REF!</f>
      </c>
      <c r="C79" s="233"/>
      <c r="D79" s="405">
        <f>IF(#REF!&lt;&gt;"",#REF!,IF(#REF!&lt;&gt;"",#REF!,""))</f>
      </c>
      <c r="E79" s="405"/>
      <c r="F79" s="405"/>
      <c r="G79" s="405"/>
      <c r="H79" s="405"/>
      <c r="I79" s="405"/>
      <c r="J79" s="252"/>
      <c r="K79" s="252"/>
      <c r="L79" s="252"/>
      <c r="M79" s="252"/>
      <c r="N79" s="252"/>
      <c r="O79" s="252"/>
      <c r="P79" s="78"/>
      <c r="Q79" s="624"/>
      <c r="R79" s="625"/>
    </row>
    <row r="80" spans="1:18" ht="21" customHeight="1">
      <c r="A80" s="37"/>
      <c r="B80" s="175">
        <f>#REF!</f>
      </c>
      <c r="C80" s="233"/>
      <c r="D80" s="653">
        <f>IF(#REF!&lt;&gt;"",#REF!,IF(#REF!&lt;&gt;"",#REF!,""))</f>
      </c>
      <c r="E80" s="653"/>
      <c r="F80" s="653"/>
      <c r="G80" s="653"/>
      <c r="H80" s="653"/>
      <c r="I80" s="654"/>
      <c r="J80" s="252">
        <f>#REF!</f>
      </c>
      <c r="K80" s="252">
        <f ca="1">'rincian 3'!S57</f>
      </c>
      <c r="L80" s="252">
        <f>'rincian 3'!U57</f>
      </c>
      <c r="M80" s="252">
        <f ca="1">K80+L80</f>
      </c>
      <c r="N80" s="252">
        <f>L80</f>
      </c>
      <c r="O80" s="252">
        <f ca="1">J80-M80</f>
      </c>
      <c r="P80" s="78">
        <f>#REF!</f>
      </c>
      <c r="Q80" s="608">
        <f>N80*P80</f>
      </c>
      <c r="R80" s="609"/>
    </row>
    <row r="81" spans="1:18" ht="36" customHeight="1">
      <c r="A81" s="37"/>
      <c r="B81" s="175">
        <f>#REF!</f>
      </c>
      <c r="C81" s="233"/>
      <c r="D81" s="653">
        <f>IF(#REF!&lt;&gt;"",#REF!,IF(#REF!&lt;&gt;"",#REF!,""))</f>
      </c>
      <c r="E81" s="653"/>
      <c r="F81" s="653"/>
      <c r="G81" s="653"/>
      <c r="H81" s="653"/>
      <c r="I81" s="654"/>
      <c r="J81" s="252">
        <f>#REF!</f>
      </c>
      <c r="K81" s="252">
        <f ca="1">'rincian 3'!S58</f>
      </c>
      <c r="L81" s="252">
        <f>'rincian 3'!U58</f>
      </c>
      <c r="M81" s="252">
        <f ca="1">K81+L81</f>
      </c>
      <c r="N81" s="252">
        <f>L81</f>
      </c>
      <c r="O81" s="252">
        <f ca="1">J81-M81</f>
      </c>
      <c r="P81" s="78">
        <f>#REF!</f>
      </c>
      <c r="Q81" s="608">
        <f>N81*P81</f>
      </c>
      <c r="R81" s="609"/>
    </row>
    <row r="82" spans="1:18" ht="36" customHeight="1">
      <c r="A82" s="37"/>
      <c r="B82" s="175">
        <f>#REF!</f>
      </c>
      <c r="C82" s="233"/>
      <c r="D82" s="653">
        <f>IF(#REF!&lt;&gt;"",#REF!,IF(#REF!&lt;&gt;"",#REF!,""))</f>
      </c>
      <c r="E82" s="653"/>
      <c r="F82" s="653"/>
      <c r="G82" s="653"/>
      <c r="H82" s="653"/>
      <c r="I82" s="654"/>
      <c r="J82" s="252">
        <f>#REF!</f>
      </c>
      <c r="K82" s="252">
        <f ca="1">'rincian 3'!S59</f>
      </c>
      <c r="L82" s="252">
        <f>'rincian 3'!U59</f>
      </c>
      <c r="M82" s="252">
        <f ca="1">K82+L82</f>
      </c>
      <c r="N82" s="252">
        <f>L82</f>
      </c>
      <c r="O82" s="252">
        <f ca="1">J82-M82</f>
      </c>
      <c r="P82" s="78">
        <f>#REF!</f>
      </c>
      <c r="Q82" s="608">
        <f>N82*P82</f>
      </c>
      <c r="R82" s="609"/>
    </row>
    <row r="83" spans="1:18" ht="36" customHeight="1">
      <c r="A83" s="37"/>
      <c r="B83" s="175">
        <f>#REF!</f>
      </c>
      <c r="C83" s="233"/>
      <c r="D83" s="653">
        <f>IF(#REF!&lt;&gt;"",#REF!,IF(#REF!&lt;&gt;"",#REF!,""))</f>
      </c>
      <c r="E83" s="653"/>
      <c r="F83" s="653"/>
      <c r="G83" s="653"/>
      <c r="H83" s="653"/>
      <c r="I83" s="654"/>
      <c r="J83" s="252">
        <f>#REF!</f>
      </c>
      <c r="K83" s="252">
        <f ca="1">'rincian 3'!S60</f>
      </c>
      <c r="L83" s="252">
        <f>'rincian 3'!U60</f>
      </c>
      <c r="M83" s="252">
        <f ca="1">K83+L83</f>
      </c>
      <c r="N83" s="252">
        <f>L83</f>
      </c>
      <c r="O83" s="252">
        <f ca="1">J83-M83</f>
      </c>
      <c r="P83" s="78">
        <f>#REF!</f>
      </c>
      <c r="Q83" s="608">
        <f>N83*P83</f>
      </c>
      <c r="R83" s="609"/>
    </row>
    <row r="84" spans="1:18" ht="18" customHeight="1">
      <c r="A84" s="37"/>
      <c r="B84" s="404">
        <f>#REF!</f>
      </c>
      <c r="C84" s="233"/>
      <c r="D84" s="405">
        <f>IF(#REF!&lt;&gt;"",#REF!,IF(#REF!&lt;&gt;"",#REF!,""))</f>
      </c>
      <c r="E84" s="405"/>
      <c r="F84" s="405"/>
      <c r="G84" s="405"/>
      <c r="H84" s="405"/>
      <c r="I84" s="405"/>
      <c r="J84" s="252"/>
      <c r="K84" s="252"/>
      <c r="L84" s="252"/>
      <c r="M84" s="252"/>
      <c r="N84" s="252"/>
      <c r="O84" s="252"/>
      <c r="P84" s="78"/>
      <c r="Q84" s="624"/>
      <c r="R84" s="625"/>
    </row>
    <row r="85" spans="1:18" ht="18" customHeight="1">
      <c r="A85" s="37"/>
      <c r="B85" s="175">
        <f>#REF!</f>
      </c>
      <c r="C85" s="233"/>
      <c r="D85" s="176">
        <f>IF(#REF!&lt;&gt;"",#REF!,IF(#REF!&lt;&gt;"",#REF!,""))</f>
      </c>
      <c r="E85" s="176"/>
      <c r="F85" s="176"/>
      <c r="G85" s="176"/>
      <c r="H85" s="176"/>
      <c r="I85" s="176"/>
      <c r="J85" s="252">
        <f>#REF!</f>
      </c>
      <c r="K85" s="252">
        <f ca="1">'rincian 3'!S62</f>
      </c>
      <c r="L85" s="252">
        <f>'rincian 3'!U62</f>
      </c>
      <c r="M85" s="252">
        <f ca="1">K85+L85</f>
      </c>
      <c r="N85" s="252">
        <f>L85</f>
      </c>
      <c r="O85" s="252">
        <f ca="1">J85-M85</f>
      </c>
      <c r="P85" s="78">
        <f>#REF!</f>
      </c>
      <c r="Q85" s="608">
        <f>N85*P85</f>
      </c>
      <c r="R85" s="609"/>
    </row>
    <row r="86" spans="1:18" ht="18" customHeight="1">
      <c r="A86" s="37"/>
      <c r="B86" s="175">
        <f>#REF!</f>
      </c>
      <c r="C86" s="233"/>
      <c r="D86" s="176">
        <f>IF(#REF!&lt;&gt;"",#REF!,IF(#REF!&lt;&gt;"",#REF!,""))</f>
      </c>
      <c r="E86" s="176"/>
      <c r="F86" s="176"/>
      <c r="G86" s="176"/>
      <c r="H86" s="176"/>
      <c r="I86" s="176"/>
      <c r="J86" s="252">
        <f>#REF!</f>
      </c>
      <c r="K86" s="252">
        <f ca="1">'rincian 3'!S63</f>
      </c>
      <c r="L86" s="252">
        <f>'rincian 3'!U63</f>
      </c>
      <c r="M86" s="252">
        <f ca="1">K86+L86</f>
      </c>
      <c r="N86" s="252">
        <f>L86</f>
      </c>
      <c r="O86" s="252">
        <f ca="1">J86-M86</f>
      </c>
      <c r="P86" s="78">
        <f>#REF!</f>
      </c>
      <c r="Q86" s="608">
        <f>N86*P86</f>
      </c>
      <c r="R86" s="609"/>
    </row>
    <row r="87" spans="1:18" ht="18" customHeight="1">
      <c r="A87" s="37"/>
      <c r="B87" s="175">
        <f>#REF!</f>
      </c>
      <c r="C87" s="233"/>
      <c r="D87" s="176">
        <f>IF(#REF!&lt;&gt;"",#REF!,IF(#REF!&lt;&gt;"",#REF!,""))</f>
      </c>
      <c r="E87" s="176"/>
      <c r="F87" s="176"/>
      <c r="G87" s="176"/>
      <c r="H87" s="176"/>
      <c r="I87" s="176"/>
      <c r="J87" s="252">
        <f>#REF!</f>
      </c>
      <c r="K87" s="252">
        <f ca="1">'rincian 3'!S64</f>
      </c>
      <c r="L87" s="252">
        <f>'rincian 3'!U64</f>
      </c>
      <c r="M87" s="252">
        <f ca="1">K87+L87</f>
      </c>
      <c r="N87" s="252">
        <f>L87</f>
      </c>
      <c r="O87" s="252">
        <f ca="1">J87-M87</f>
      </c>
      <c r="P87" s="78">
        <f>#REF!</f>
      </c>
      <c r="Q87" s="608">
        <f>N87*P87</f>
      </c>
      <c r="R87" s="609"/>
    </row>
    <row r="88" spans="1:18" ht="18" customHeight="1">
      <c r="A88" s="37"/>
      <c r="B88" s="175">
        <f>#REF!</f>
      </c>
      <c r="C88" s="233"/>
      <c r="D88" s="176">
        <f>IF(#REF!&lt;&gt;"",#REF!,IF(#REF!&lt;&gt;"",#REF!,""))</f>
      </c>
      <c r="E88" s="176"/>
      <c r="F88" s="176"/>
      <c r="G88" s="176"/>
      <c r="H88" s="176"/>
      <c r="I88" s="176"/>
      <c r="J88" s="252">
        <f>#REF!</f>
      </c>
      <c r="K88" s="252">
        <f ca="1">'rincian 3'!S65</f>
      </c>
      <c r="L88" s="252">
        <f>'rincian 3'!U65</f>
      </c>
      <c r="M88" s="252">
        <f ca="1">K88+L88</f>
      </c>
      <c r="N88" s="252">
        <f>L88</f>
      </c>
      <c r="O88" s="252">
        <f ca="1">J88-M88</f>
      </c>
      <c r="P88" s="78">
        <f>#REF!</f>
      </c>
      <c r="Q88" s="608">
        <f>N88*P88</f>
      </c>
      <c r="R88" s="609"/>
    </row>
    <row r="89" spans="1:18" ht="18" customHeight="1">
      <c r="A89" s="37"/>
      <c r="B89" s="175">
        <f>#REF!</f>
      </c>
      <c r="C89" s="233"/>
      <c r="D89" s="176">
        <f>IF(#REF!&lt;&gt;"",#REF!,IF(#REF!&lt;&gt;"",#REF!,""))</f>
      </c>
      <c r="E89" s="176"/>
      <c r="F89" s="176"/>
      <c r="G89" s="176"/>
      <c r="H89" s="176"/>
      <c r="I89" s="176"/>
      <c r="J89" s="252">
        <f>#REF!</f>
      </c>
      <c r="K89" s="252">
        <f ca="1">'rincian 3'!S66</f>
      </c>
      <c r="L89" s="252">
        <f>'rincian 3'!U66</f>
      </c>
      <c r="M89" s="252">
        <f ca="1">K89+L89</f>
      </c>
      <c r="N89" s="252">
        <f>L89</f>
      </c>
      <c r="O89" s="252">
        <f ca="1">J89-M89</f>
      </c>
      <c r="P89" s="78">
        <f>#REF!</f>
      </c>
      <c r="Q89" s="608">
        <f>N89*P89</f>
      </c>
      <c r="R89" s="609"/>
    </row>
    <row r="90" spans="1:18" ht="18" customHeight="1">
      <c r="A90" s="37"/>
      <c r="B90" s="404">
        <f>#REF!</f>
      </c>
      <c r="C90" s="233"/>
      <c r="D90" s="405">
        <f>IF(#REF!&lt;&gt;"",#REF!,IF(#REF!&lt;&gt;"",#REF!,""))</f>
      </c>
      <c r="E90" s="405"/>
      <c r="F90" s="405"/>
      <c r="G90" s="405"/>
      <c r="H90" s="405"/>
      <c r="I90" s="405"/>
      <c r="J90" s="252"/>
      <c r="K90" s="252"/>
      <c r="L90" s="252"/>
      <c r="M90" s="252"/>
      <c r="N90" s="252"/>
      <c r="O90" s="252"/>
      <c r="P90" s="78"/>
      <c r="Q90" s="624"/>
      <c r="R90" s="625"/>
    </row>
    <row r="91" spans="1:18" ht="18" customHeight="1">
      <c r="A91" s="37"/>
      <c r="B91" s="175">
        <f>#REF!</f>
      </c>
      <c r="C91" s="233"/>
      <c r="D91" s="176">
        <f>IF(#REF!&lt;&gt;"",#REF!,IF(#REF!&lt;&gt;"",#REF!,""))</f>
      </c>
      <c r="E91" s="176"/>
      <c r="F91" s="176"/>
      <c r="G91" s="176"/>
      <c r="H91" s="176"/>
      <c r="I91" s="176"/>
      <c r="J91" s="252">
        <f>#REF!</f>
      </c>
      <c r="K91" s="252">
        <f ca="1">'rincian 3'!S68</f>
      </c>
      <c r="L91" s="252">
        <f>'rincian 3'!U68</f>
      </c>
      <c r="M91" s="252">
        <f t="shared" ref="M91:M101" ca="1" si="8">K91+L91</f>
      </c>
      <c r="N91" s="252">
        <f t="shared" ref="N91:N101" si="9">L91</f>
      </c>
      <c r="O91" s="252">
        <f t="shared" ref="O91:O101" ca="1" si="10">J91-M91</f>
      </c>
      <c r="P91" s="78">
        <f>#REF!</f>
      </c>
      <c r="Q91" s="608">
        <f t="shared" ref="Q91:Q101" si="11">N91*P91</f>
      </c>
      <c r="R91" s="609"/>
    </row>
    <row r="92" spans="1:18" ht="18" customHeight="1">
      <c r="A92" s="37"/>
      <c r="B92" s="175">
        <f>#REF!</f>
      </c>
      <c r="C92" s="233"/>
      <c r="D92" s="176">
        <f>IF(#REF!&lt;&gt;"",#REF!,IF(#REF!&lt;&gt;"",#REF!,""))</f>
      </c>
      <c r="E92" s="176"/>
      <c r="F92" s="176"/>
      <c r="G92" s="176"/>
      <c r="H92" s="176"/>
      <c r="I92" s="176"/>
      <c r="J92" s="252">
        <f>#REF!</f>
      </c>
      <c r="K92" s="252">
        <f ca="1">'rincian 3'!S69</f>
      </c>
      <c r="L92" s="252">
        <f>'rincian 3'!U69</f>
      </c>
      <c r="M92" s="252">
        <f t="shared" ca="1" si="8"/>
      </c>
      <c r="N92" s="252">
        <f t="shared" si="9"/>
      </c>
      <c r="O92" s="252">
        <f t="shared" ca="1" si="10"/>
      </c>
      <c r="P92" s="78">
        <f>#REF!</f>
      </c>
      <c r="Q92" s="608">
        <f t="shared" si="11"/>
      </c>
      <c r="R92" s="609"/>
    </row>
    <row r="93" spans="1:18" ht="18" customHeight="1">
      <c r="A93" s="37"/>
      <c r="B93" s="175">
        <f>#REF!</f>
      </c>
      <c r="C93" s="233"/>
      <c r="D93" s="176">
        <f>IF(#REF!&lt;&gt;"",#REF!,IF(#REF!&lt;&gt;"",#REF!,""))</f>
      </c>
      <c r="E93" s="176"/>
      <c r="F93" s="176"/>
      <c r="G93" s="176"/>
      <c r="H93" s="176"/>
      <c r="I93" s="176"/>
      <c r="J93" s="252">
        <f>#REF!</f>
      </c>
      <c r="K93" s="252">
        <f ca="1">'rincian 3'!S70</f>
      </c>
      <c r="L93" s="252">
        <f>'rincian 3'!U70</f>
      </c>
      <c r="M93" s="252">
        <f t="shared" ca="1" si="8"/>
      </c>
      <c r="N93" s="252">
        <f t="shared" si="9"/>
      </c>
      <c r="O93" s="252">
        <f t="shared" ca="1" si="10"/>
      </c>
      <c r="P93" s="78">
        <f>#REF!</f>
      </c>
      <c r="Q93" s="608">
        <f t="shared" si="11"/>
      </c>
      <c r="R93" s="609"/>
    </row>
    <row r="94" spans="1:18" ht="18" customHeight="1">
      <c r="A94" s="37"/>
      <c r="B94" s="175">
        <f>#REF!</f>
      </c>
      <c r="C94" s="233"/>
      <c r="D94" s="176">
        <f>IF(#REF!&lt;&gt;"",#REF!,IF(#REF!&lt;&gt;"",#REF!,""))</f>
      </c>
      <c r="E94" s="176"/>
      <c r="F94" s="176"/>
      <c r="G94" s="176"/>
      <c r="H94" s="176"/>
      <c r="I94" s="176"/>
      <c r="J94" s="252">
        <f>#REF!</f>
      </c>
      <c r="K94" s="252">
        <f ca="1">'rincian 3'!S71</f>
      </c>
      <c r="L94" s="252">
        <f>'rincian 3'!U71</f>
      </c>
      <c r="M94" s="252">
        <f t="shared" ca="1" si="8"/>
      </c>
      <c r="N94" s="252">
        <f t="shared" si="9"/>
      </c>
      <c r="O94" s="252">
        <f t="shared" ca="1" si="10"/>
      </c>
      <c r="P94" s="78">
        <f>#REF!</f>
      </c>
      <c r="Q94" s="608">
        <f t="shared" si="11"/>
      </c>
      <c r="R94" s="609"/>
    </row>
    <row r="95" spans="1:18" ht="18" customHeight="1">
      <c r="A95" s="37"/>
      <c r="B95" s="175">
        <f>#REF!</f>
      </c>
      <c r="C95" s="233"/>
      <c r="D95" s="176">
        <f>IF(#REF!&lt;&gt;"",#REF!,IF(#REF!&lt;&gt;"",#REF!,""))</f>
      </c>
      <c r="E95" s="176"/>
      <c r="F95" s="176"/>
      <c r="G95" s="176"/>
      <c r="H95" s="176"/>
      <c r="I95" s="176"/>
      <c r="J95" s="252">
        <f>#REF!</f>
      </c>
      <c r="K95" s="252">
        <f ca="1">'rincian 3'!S72</f>
      </c>
      <c r="L95" s="252">
        <f>'rincian 3'!U72</f>
      </c>
      <c r="M95" s="252">
        <f t="shared" ca="1" si="8"/>
      </c>
      <c r="N95" s="252">
        <f t="shared" si="9"/>
      </c>
      <c r="O95" s="252">
        <f t="shared" ca="1" si="10"/>
      </c>
      <c r="P95" s="78">
        <f>#REF!</f>
      </c>
      <c r="Q95" s="608">
        <f t="shared" si="11"/>
      </c>
      <c r="R95" s="609"/>
    </row>
    <row r="96" spans="1:18" ht="18" customHeight="1">
      <c r="A96" s="37"/>
      <c r="B96" s="175">
        <f>#REF!</f>
      </c>
      <c r="C96" s="233"/>
      <c r="D96" s="176">
        <f>IF(#REF!&lt;&gt;"",#REF!,IF(#REF!&lt;&gt;"",#REF!,""))</f>
      </c>
      <c r="E96" s="176"/>
      <c r="F96" s="176"/>
      <c r="G96" s="176"/>
      <c r="H96" s="176"/>
      <c r="I96" s="176"/>
      <c r="J96" s="252">
        <f>#REF!</f>
      </c>
      <c r="K96" s="252">
        <f ca="1">'rincian 3'!S73</f>
      </c>
      <c r="L96" s="252">
        <f>'rincian 3'!U73</f>
      </c>
      <c r="M96" s="252">
        <f t="shared" ca="1" si="8"/>
      </c>
      <c r="N96" s="252">
        <f t="shared" si="9"/>
      </c>
      <c r="O96" s="252">
        <f t="shared" ca="1" si="10"/>
      </c>
      <c r="P96" s="78">
        <f>#REF!</f>
      </c>
      <c r="Q96" s="608">
        <f t="shared" si="11"/>
      </c>
      <c r="R96" s="609"/>
    </row>
    <row r="97" spans="1:18" ht="18" customHeight="1">
      <c r="A97" s="37"/>
      <c r="B97" s="175">
        <f>#REF!</f>
      </c>
      <c r="C97" s="233"/>
      <c r="D97" s="176">
        <f>IF(#REF!&lt;&gt;"",#REF!,IF(#REF!&lt;&gt;"",#REF!,""))</f>
      </c>
      <c r="E97" s="176"/>
      <c r="F97" s="176"/>
      <c r="G97" s="176"/>
      <c r="H97" s="176"/>
      <c r="I97" s="176"/>
      <c r="J97" s="252">
        <f>#REF!</f>
      </c>
      <c r="K97" s="252">
        <f ca="1">'rincian 3'!S74</f>
      </c>
      <c r="L97" s="252">
        <f>'rincian 3'!U74</f>
      </c>
      <c r="M97" s="252">
        <f t="shared" ca="1" si="8"/>
      </c>
      <c r="N97" s="252">
        <f t="shared" si="9"/>
      </c>
      <c r="O97" s="252">
        <f t="shared" ca="1" si="10"/>
      </c>
      <c r="P97" s="78">
        <f>#REF!</f>
      </c>
      <c r="Q97" s="608">
        <f t="shared" si="11"/>
      </c>
      <c r="R97" s="609"/>
    </row>
    <row r="98" spans="1:18" ht="18" customHeight="1">
      <c r="A98" s="37"/>
      <c r="B98" s="175">
        <f>#REF!</f>
      </c>
      <c r="C98" s="233"/>
      <c r="D98" s="176">
        <f>IF(#REF!&lt;&gt;"",#REF!,IF(#REF!&lt;&gt;"",#REF!,""))</f>
      </c>
      <c r="E98" s="176"/>
      <c r="F98" s="176"/>
      <c r="G98" s="176"/>
      <c r="H98" s="176"/>
      <c r="I98" s="176"/>
      <c r="J98" s="252">
        <f>#REF!</f>
      </c>
      <c r="K98" s="252">
        <f ca="1">'rincian 3'!S75</f>
      </c>
      <c r="L98" s="252">
        <f>'rincian 3'!U75</f>
      </c>
      <c r="M98" s="252">
        <f t="shared" ca="1" si="8"/>
      </c>
      <c r="N98" s="252">
        <f t="shared" si="9"/>
      </c>
      <c r="O98" s="252">
        <f t="shared" ca="1" si="10"/>
      </c>
      <c r="P98" s="78">
        <f>#REF!</f>
      </c>
      <c r="Q98" s="608">
        <f t="shared" si="11"/>
      </c>
      <c r="R98" s="609"/>
    </row>
    <row r="99" spans="1:18" ht="18" customHeight="1">
      <c r="A99" s="37"/>
      <c r="B99" s="175">
        <f>#REF!</f>
      </c>
      <c r="C99" s="233"/>
      <c r="D99" s="176">
        <f>IF(#REF!&lt;&gt;"",#REF!,IF(#REF!&lt;&gt;"",#REF!,""))</f>
      </c>
      <c r="E99" s="176"/>
      <c r="F99" s="176"/>
      <c r="G99" s="176"/>
      <c r="H99" s="176"/>
      <c r="I99" s="176"/>
      <c r="J99" s="252">
        <f>#REF!</f>
      </c>
      <c r="K99" s="252">
        <f ca="1">'rincian 3'!S76</f>
      </c>
      <c r="L99" s="252">
        <f>'rincian 3'!U76</f>
      </c>
      <c r="M99" s="252">
        <f t="shared" ca="1" si="8"/>
      </c>
      <c r="N99" s="252">
        <f t="shared" si="9"/>
      </c>
      <c r="O99" s="252">
        <f t="shared" ca="1" si="10"/>
      </c>
      <c r="P99" s="78">
        <f>#REF!</f>
      </c>
      <c r="Q99" s="608">
        <f t="shared" si="11"/>
      </c>
      <c r="R99" s="609"/>
    </row>
    <row r="100" spans="1:18" ht="18" customHeight="1">
      <c r="A100" s="37"/>
      <c r="B100" s="175">
        <f>#REF!</f>
      </c>
      <c r="C100" s="233"/>
      <c r="D100" s="176">
        <f>IF(#REF!&lt;&gt;"",#REF!,IF(#REF!&lt;&gt;"",#REF!,""))</f>
      </c>
      <c r="E100" s="176"/>
      <c r="F100" s="176"/>
      <c r="G100" s="176"/>
      <c r="H100" s="176"/>
      <c r="I100" s="176"/>
      <c r="J100" s="252">
        <f>#REF!</f>
      </c>
      <c r="K100" s="252">
        <f ca="1">'rincian 3'!S77</f>
      </c>
      <c r="L100" s="252">
        <f>'rincian 3'!U77</f>
      </c>
      <c r="M100" s="252">
        <f t="shared" ca="1" si="8"/>
      </c>
      <c r="N100" s="252">
        <f t="shared" si="9"/>
      </c>
      <c r="O100" s="252">
        <f t="shared" ca="1" si="10"/>
      </c>
      <c r="P100" s="78">
        <f>#REF!</f>
      </c>
      <c r="Q100" s="608">
        <f t="shared" si="11"/>
      </c>
      <c r="R100" s="609"/>
    </row>
    <row r="101" spans="1:18" ht="18" customHeight="1">
      <c r="A101" s="37"/>
      <c r="B101" s="175">
        <f>#REF!</f>
      </c>
      <c r="C101" s="233"/>
      <c r="D101" s="176">
        <f>IF(#REF!&lt;&gt;"",#REF!,IF(#REF!&lt;&gt;"",#REF!,""))</f>
      </c>
      <c r="E101" s="176"/>
      <c r="F101" s="176"/>
      <c r="G101" s="176"/>
      <c r="H101" s="176"/>
      <c r="I101" s="176"/>
      <c r="J101" s="252">
        <f>#REF!</f>
      </c>
      <c r="K101" s="252">
        <f ca="1">'rincian 3'!S78</f>
      </c>
      <c r="L101" s="252">
        <f>'rincian 3'!U78</f>
      </c>
      <c r="M101" s="252">
        <f t="shared" ca="1" si="8"/>
      </c>
      <c r="N101" s="252">
        <f t="shared" si="9"/>
      </c>
      <c r="O101" s="252">
        <f t="shared" ca="1" si="10"/>
      </c>
      <c r="P101" s="78">
        <f>#REF!</f>
      </c>
      <c r="Q101" s="608">
        <f t="shared" si="11"/>
      </c>
      <c r="R101" s="609"/>
    </row>
    <row r="102" spans="1:18" ht="18" customHeight="1">
      <c r="A102" s="37"/>
      <c r="B102" s="406">
        <f>#REF!</f>
      </c>
      <c r="C102" s="407"/>
      <c r="D102" s="408">
        <f>IF(#REF!&lt;&gt;"",#REF!,IF(#REF!&lt;&gt;"",#REF!,""))</f>
      </c>
      <c r="E102" s="408"/>
      <c r="F102" s="408"/>
      <c r="G102" s="408"/>
      <c r="H102" s="408"/>
      <c r="I102" s="408"/>
      <c r="J102" s="409"/>
      <c r="K102" s="409"/>
      <c r="L102" s="409"/>
      <c r="M102" s="409"/>
      <c r="N102" s="409"/>
      <c r="O102" s="409"/>
      <c r="P102" s="410"/>
      <c r="Q102" s="624"/>
      <c r="R102" s="625"/>
    </row>
    <row r="103" spans="1:18" ht="18" customHeight="1">
      <c r="A103" s="37"/>
      <c r="B103" s="404">
        <f>#REF!</f>
      </c>
      <c r="C103" s="233"/>
      <c r="D103" s="405">
        <f>IF(#REF!&lt;&gt;"",#REF!,IF(#REF!&lt;&gt;"",#REF!,""))</f>
      </c>
      <c r="E103" s="405"/>
      <c r="F103" s="405"/>
      <c r="G103" s="405"/>
      <c r="H103" s="405"/>
      <c r="I103" s="405"/>
      <c r="J103" s="252">
        <f>#REF!</f>
      </c>
      <c r="K103" s="252">
        <f>'rincian 3'!S80</f>
      </c>
      <c r="L103" s="252">
        <f>'rincian 3'!U80</f>
      </c>
      <c r="M103" s="252">
        <f>K103+L103</f>
      </c>
      <c r="N103" s="252">
        <f>L103</f>
      </c>
      <c r="O103" s="252">
        <f>J103-M103</f>
      </c>
      <c r="P103" s="78">
        <f>#REF!</f>
      </c>
      <c r="Q103" s="608">
        <f>N103*P103</f>
      </c>
      <c r="R103" s="609"/>
    </row>
    <row r="104" spans="1:18" ht="18" customHeight="1">
      <c r="A104" s="37"/>
      <c r="B104" s="175">
        <f>#REF!</f>
      </c>
      <c r="C104" s="233"/>
      <c r="D104" s="176">
        <f>IF(#REF!&lt;&gt;"",#REF!,IF(#REF!&lt;&gt;"",#REF!,""))</f>
      </c>
      <c r="E104" s="176"/>
      <c r="F104" s="176"/>
      <c r="G104" s="176"/>
      <c r="H104" s="176"/>
      <c r="I104" s="176"/>
      <c r="J104" s="252">
        <f>#REF!</f>
      </c>
      <c r="K104" s="252">
        <f ca="1">'rincian 3'!S81</f>
      </c>
      <c r="L104" s="252">
        <f>'rincian 3'!U81</f>
      </c>
      <c r="M104" s="252">
        <f ca="1">K104+L104</f>
      </c>
      <c r="N104" s="252">
        <f>L104</f>
      </c>
      <c r="O104" s="252">
        <f ca="1">J104-M104</f>
      </c>
      <c r="P104" s="78">
        <f>#REF!</f>
      </c>
      <c r="Q104" s="608">
        <f>N104*P104</f>
      </c>
      <c r="R104" s="609"/>
    </row>
    <row r="105" spans="1:18" ht="18" customHeight="1">
      <c r="A105" s="37"/>
      <c r="B105" s="175">
        <f>#REF!</f>
      </c>
      <c r="C105" s="233"/>
      <c r="D105" s="176">
        <f>IF(#REF!&lt;&gt;"",#REF!,IF(#REF!&lt;&gt;"",#REF!,""))</f>
      </c>
      <c r="E105" s="176"/>
      <c r="F105" s="176"/>
      <c r="G105" s="176"/>
      <c r="H105" s="176"/>
      <c r="I105" s="176"/>
      <c r="J105" s="252">
        <f>#REF!</f>
      </c>
      <c r="K105" s="252">
        <f ca="1">'rincian 3'!S82</f>
      </c>
      <c r="L105" s="252">
        <f>'rincian 3'!U82</f>
      </c>
      <c r="M105" s="252">
        <f ca="1">K105+L105</f>
      </c>
      <c r="N105" s="252">
        <f>L105</f>
      </c>
      <c r="O105" s="252">
        <f ca="1">J105-M105</f>
      </c>
      <c r="P105" s="78">
        <f>#REF!</f>
      </c>
      <c r="Q105" s="608">
        <f>N105*P105</f>
      </c>
      <c r="R105" s="609"/>
    </row>
    <row r="106" spans="1:18" ht="18" customHeight="1">
      <c r="A106" s="37"/>
      <c r="B106" s="404">
        <f>#REF!</f>
      </c>
      <c r="C106" s="233"/>
      <c r="D106" s="405">
        <f>IF(#REF!&lt;&gt;"",#REF!,IF(#REF!&lt;&gt;"",#REF!,""))</f>
      </c>
      <c r="E106" s="405"/>
      <c r="F106" s="405"/>
      <c r="G106" s="405"/>
      <c r="H106" s="405"/>
      <c r="I106" s="405"/>
      <c r="J106" s="252"/>
      <c r="K106" s="252"/>
      <c r="L106" s="252"/>
      <c r="M106" s="252"/>
      <c r="N106" s="252"/>
      <c r="O106" s="252"/>
      <c r="P106" s="78"/>
      <c r="Q106" s="608"/>
      <c r="R106" s="609"/>
    </row>
    <row r="107" spans="1:18" ht="18" customHeight="1">
      <c r="A107" s="37"/>
      <c r="B107" s="175">
        <f>#REF!</f>
      </c>
      <c r="C107" s="233"/>
      <c r="D107" s="176">
        <f>IF(#REF!&lt;&gt;"",#REF!,IF(#REF!&lt;&gt;"",#REF!,""))</f>
      </c>
      <c r="E107" s="176"/>
      <c r="F107" s="176"/>
      <c r="G107" s="176"/>
      <c r="H107" s="176"/>
      <c r="I107" s="176"/>
      <c r="J107" s="252">
        <f>#REF!</f>
      </c>
      <c r="K107" s="252">
        <f ca="1">'rincian 3'!S84</f>
      </c>
      <c r="L107" s="252">
        <f>'rincian 3'!U84</f>
      </c>
      <c r="M107" s="252">
        <f ca="1">K107+L107</f>
      </c>
      <c r="N107" s="252">
        <f>L107</f>
      </c>
      <c r="O107" s="252">
        <f ca="1">J107-M107</f>
      </c>
      <c r="P107" s="78">
        <f>#REF!</f>
      </c>
      <c r="Q107" s="608">
        <f>N107*P107</f>
      </c>
      <c r="R107" s="609"/>
    </row>
    <row r="108" spans="1:18" ht="18" customHeight="1">
      <c r="A108" s="37"/>
      <c r="B108" s="175">
        <f>#REF!</f>
      </c>
      <c r="C108" s="233"/>
      <c r="D108" s="176">
        <f>IF(#REF!&lt;&gt;"",#REF!,IF(#REF!&lt;&gt;"",#REF!,""))</f>
      </c>
      <c r="E108" s="176"/>
      <c r="F108" s="176"/>
      <c r="G108" s="176"/>
      <c r="H108" s="176"/>
      <c r="I108" s="176"/>
      <c r="J108" s="252">
        <f>#REF!</f>
      </c>
      <c r="K108" s="252">
        <f ca="1">'rincian 3'!S85</f>
      </c>
      <c r="L108" s="252">
        <f>'rincian 3'!U85</f>
      </c>
      <c r="M108" s="252">
        <f ca="1">K108+L108</f>
      </c>
      <c r="N108" s="252">
        <f>L108</f>
      </c>
      <c r="O108" s="252">
        <f ca="1">J108-M108</f>
      </c>
      <c r="P108" s="78">
        <f>#REF!</f>
      </c>
      <c r="Q108" s="608">
        <f>N108*P108</f>
      </c>
      <c r="R108" s="609"/>
    </row>
    <row r="109" spans="1:18" ht="18" customHeight="1">
      <c r="A109" s="37"/>
      <c r="B109" s="175">
        <f>#REF!</f>
      </c>
      <c r="C109" s="233"/>
      <c r="D109" s="176">
        <f>IF(#REF!&lt;&gt;"",#REF!,IF(#REF!&lt;&gt;"",#REF!,""))</f>
      </c>
      <c r="E109" s="176"/>
      <c r="F109" s="176"/>
      <c r="G109" s="176"/>
      <c r="H109" s="176"/>
      <c r="I109" s="176"/>
      <c r="J109" s="252">
        <f>#REF!</f>
      </c>
      <c r="K109" s="252">
        <f ca="1">'rincian 3'!S86</f>
      </c>
      <c r="L109" s="252">
        <f>'rincian 3'!U86</f>
      </c>
      <c r="M109" s="252">
        <f ca="1">K109+L109</f>
      </c>
      <c r="N109" s="252">
        <f>L109</f>
      </c>
      <c r="O109" s="252">
        <f ca="1">J109-M109</f>
      </c>
      <c r="P109" s="78">
        <f>#REF!</f>
      </c>
      <c r="Q109" s="608">
        <f>N109*P109</f>
      </c>
      <c r="R109" s="609"/>
    </row>
    <row r="110" spans="1:18" ht="18" customHeight="1">
      <c r="A110" s="37"/>
      <c r="B110" s="404">
        <f>#REF!</f>
      </c>
      <c r="C110" s="233"/>
      <c r="D110" s="405">
        <f>IF(#REF!&lt;&gt;"",#REF!,IF(#REF!&lt;&gt;"",#REF!,""))</f>
      </c>
      <c r="E110" s="405"/>
      <c r="F110" s="405"/>
      <c r="G110" s="405"/>
      <c r="H110" s="405"/>
      <c r="I110" s="405"/>
      <c r="J110" s="252"/>
      <c r="K110" s="252"/>
      <c r="L110" s="252"/>
      <c r="M110" s="252"/>
      <c r="N110" s="252"/>
      <c r="O110" s="252"/>
      <c r="P110" s="78"/>
      <c r="Q110" s="608"/>
      <c r="R110" s="609"/>
    </row>
    <row r="111" spans="1:18" ht="18" customHeight="1">
      <c r="A111" s="37"/>
      <c r="B111" s="175">
        <f>#REF!</f>
      </c>
      <c r="C111" s="233"/>
      <c r="D111" s="176">
        <f>IF(#REF!&lt;&gt;"",#REF!,IF(#REF!&lt;&gt;"",#REF!,""))</f>
      </c>
      <c r="E111" s="176"/>
      <c r="F111" s="176"/>
      <c r="G111" s="176"/>
      <c r="H111" s="176"/>
      <c r="I111" s="176"/>
      <c r="J111" s="252">
        <f>#REF!</f>
      </c>
      <c r="K111" s="252">
        <f ca="1">'rincian 3'!S88</f>
      </c>
      <c r="L111" s="252">
        <f>'rincian 3'!U88</f>
      </c>
      <c r="M111" s="252">
        <f ca="1">K111+L111</f>
      </c>
      <c r="N111" s="252">
        <f>L111</f>
      </c>
      <c r="O111" s="252">
        <f ca="1">J111-M111</f>
      </c>
      <c r="P111" s="78">
        <f>#REF!</f>
      </c>
      <c r="Q111" s="608">
        <f>N111*P111</f>
      </c>
      <c r="R111" s="609"/>
    </row>
    <row r="112" spans="1:18" ht="18" customHeight="1">
      <c r="A112" s="37"/>
      <c r="B112" s="175">
        <f>#REF!</f>
      </c>
      <c r="C112" s="233"/>
      <c r="D112" s="176">
        <f>IF(#REF!&lt;&gt;"",#REF!,IF(#REF!&lt;&gt;"",#REF!,""))</f>
      </c>
      <c r="E112" s="176"/>
      <c r="F112" s="176"/>
      <c r="G112" s="176"/>
      <c r="H112" s="176"/>
      <c r="I112" s="176"/>
      <c r="J112" s="252">
        <f>#REF!</f>
      </c>
      <c r="K112" s="252">
        <f ca="1">'rincian 3'!S89</f>
      </c>
      <c r="L112" s="252">
        <f>'rincian 3'!U89</f>
      </c>
      <c r="M112" s="252">
        <f ca="1">K112+L112</f>
      </c>
      <c r="N112" s="252">
        <f>L112</f>
      </c>
      <c r="O112" s="252">
        <f ca="1">J112-M112</f>
      </c>
      <c r="P112" s="78">
        <f>#REF!</f>
      </c>
      <c r="Q112" s="608">
        <f>N112*P112</f>
      </c>
      <c r="R112" s="609"/>
    </row>
    <row r="113" spans="1:18" ht="18" customHeight="1">
      <c r="A113" s="37"/>
      <c r="B113" s="175">
        <f>#REF!</f>
      </c>
      <c r="C113" s="233"/>
      <c r="D113" s="176">
        <f>IF(#REF!&lt;&gt;"",#REF!,IF(#REF!&lt;&gt;"",#REF!,""))</f>
      </c>
      <c r="E113" s="176"/>
      <c r="F113" s="176"/>
      <c r="G113" s="176"/>
      <c r="H113" s="176"/>
      <c r="I113" s="176"/>
      <c r="J113" s="252">
        <f>#REF!</f>
      </c>
      <c r="K113" s="252">
        <f ca="1">'rincian 3'!S90</f>
      </c>
      <c r="L113" s="252">
        <f>'rincian 3'!U90</f>
      </c>
      <c r="M113" s="252">
        <f ca="1">K113+L113</f>
      </c>
      <c r="N113" s="252">
        <f>L113</f>
      </c>
      <c r="O113" s="252">
        <f ca="1">J113-M113</f>
      </c>
      <c r="P113" s="78">
        <f>#REF!</f>
      </c>
      <c r="Q113" s="608">
        <f>N113*P113</f>
      </c>
      <c r="R113" s="609"/>
    </row>
    <row r="114" spans="1:18" ht="18" customHeight="1">
      <c r="A114" s="37"/>
      <c r="B114" s="175">
        <f>#REF!</f>
      </c>
      <c r="C114" s="233"/>
      <c r="D114" s="176">
        <f>IF(#REF!&lt;&gt;"",#REF!,IF(#REF!&lt;&gt;"",#REF!,""))</f>
      </c>
      <c r="E114" s="176"/>
      <c r="F114" s="176"/>
      <c r="G114" s="176"/>
      <c r="H114" s="176"/>
      <c r="I114" s="176"/>
      <c r="J114" s="252">
        <f>#REF!</f>
      </c>
      <c r="K114" s="252">
        <f ca="1">'rincian 3'!S91</f>
      </c>
      <c r="L114" s="252">
        <f>'rincian 3'!U91</f>
      </c>
      <c r="M114" s="252">
        <f ca="1">K114+L114</f>
      </c>
      <c r="N114" s="252">
        <f>L114</f>
      </c>
      <c r="O114" s="252">
        <f ca="1">J114-M114</f>
      </c>
      <c r="P114" s="78">
        <f>#REF!</f>
      </c>
      <c r="Q114" s="608">
        <f>N114*P114</f>
      </c>
      <c r="R114" s="609"/>
    </row>
    <row r="115" spans="1:18" ht="18" customHeight="1">
      <c r="A115" s="37"/>
      <c r="B115" s="404">
        <f>#REF!</f>
      </c>
      <c r="C115" s="233"/>
      <c r="D115" s="405">
        <f>IF(#REF!&lt;&gt;"",#REF!,IF(#REF!&lt;&gt;"",#REF!,""))</f>
      </c>
      <c r="E115" s="405"/>
      <c r="F115" s="405"/>
      <c r="G115" s="405"/>
      <c r="H115" s="405"/>
      <c r="I115" s="405"/>
      <c r="J115" s="252"/>
      <c r="K115" s="252"/>
      <c r="L115" s="252"/>
      <c r="M115" s="252"/>
      <c r="N115" s="252"/>
      <c r="O115" s="252"/>
      <c r="P115" s="78"/>
      <c r="Q115" s="608"/>
      <c r="R115" s="609"/>
    </row>
    <row r="116" spans="1:18" ht="18" customHeight="1">
      <c r="A116" s="37"/>
      <c r="B116" s="175">
        <f>#REF!</f>
      </c>
      <c r="C116" s="233"/>
      <c r="D116" s="176">
        <f>IF(#REF!&lt;&gt;"",#REF!,IF(#REF!&lt;&gt;"",#REF!,""))</f>
      </c>
      <c r="E116" s="176"/>
      <c r="F116" s="176"/>
      <c r="G116" s="176"/>
      <c r="H116" s="176"/>
      <c r="I116" s="176"/>
      <c r="J116" s="252">
        <f>#REF!</f>
      </c>
      <c r="K116" s="252">
        <f ca="1">'rincian 3'!S93</f>
      </c>
      <c r="L116" s="252">
        <f>'rincian 3'!U93</f>
      </c>
      <c r="M116" s="252">
        <f t="shared" ref="M116:M121" ca="1" si="12">K116+L116</f>
      </c>
      <c r="N116" s="252">
        <f t="shared" ref="N116:N121" si="13">L116</f>
      </c>
      <c r="O116" s="252">
        <f t="shared" ref="O116:O121" ca="1" si="14">J116-M116</f>
      </c>
      <c r="P116" s="78">
        <f>#REF!</f>
      </c>
      <c r="Q116" s="608">
        <f t="shared" ref="Q116:Q121" si="15">N116*P116</f>
      </c>
      <c r="R116" s="609"/>
    </row>
    <row r="117" spans="1:18" ht="18" customHeight="1">
      <c r="A117" s="37"/>
      <c r="B117" s="404">
        <f>#REF!</f>
      </c>
      <c r="C117" s="233"/>
      <c r="D117" s="405">
        <f>IF(#REF!&lt;&gt;"",#REF!,IF(#REF!&lt;&gt;"",#REF!,""))</f>
      </c>
      <c r="E117" s="405"/>
      <c r="F117" s="405"/>
      <c r="G117" s="405"/>
      <c r="H117" s="405"/>
      <c r="I117" s="405"/>
      <c r="J117" s="252">
        <f>#REF!</f>
      </c>
      <c r="K117" s="252">
        <f>'rincian 3'!S94</f>
      </c>
      <c r="L117" s="252">
        <f>'rincian 3'!U94</f>
      </c>
      <c r="M117" s="252">
        <f t="shared" si="12"/>
      </c>
      <c r="N117" s="252">
        <f t="shared" si="13"/>
      </c>
      <c r="O117" s="252">
        <f t="shared" si="14"/>
      </c>
      <c r="P117" s="78">
        <f>#REF!</f>
      </c>
      <c r="Q117" s="608">
        <f t="shared" si="15"/>
      </c>
      <c r="R117" s="609"/>
    </row>
    <row r="118" spans="1:18" ht="18" customHeight="1">
      <c r="A118" s="37"/>
      <c r="B118" s="175">
        <f>#REF!</f>
      </c>
      <c r="C118" s="233"/>
      <c r="D118" s="176">
        <f>IF(#REF!&lt;&gt;"",#REF!,IF(#REF!&lt;&gt;"",#REF!,""))</f>
      </c>
      <c r="E118" s="176"/>
      <c r="F118" s="176"/>
      <c r="G118" s="176"/>
      <c r="H118" s="176"/>
      <c r="I118" s="176"/>
      <c r="J118" s="252">
        <f>#REF!</f>
      </c>
      <c r="K118" s="252">
        <f ca="1">'rincian 3'!S95</f>
      </c>
      <c r="L118" s="252">
        <f>'rincian 3'!U95</f>
      </c>
      <c r="M118" s="252">
        <f t="shared" ca="1" si="12"/>
      </c>
      <c r="N118" s="252">
        <f t="shared" si="13"/>
      </c>
      <c r="O118" s="252">
        <f t="shared" ca="1" si="14"/>
      </c>
      <c r="P118" s="78">
        <f>#REF!</f>
      </c>
      <c r="Q118" s="608">
        <f t="shared" si="15"/>
      </c>
      <c r="R118" s="609"/>
    </row>
    <row r="119" spans="1:18" ht="18" customHeight="1">
      <c r="A119" s="37"/>
      <c r="B119" s="175">
        <f>#REF!</f>
      </c>
      <c r="C119" s="233"/>
      <c r="D119" s="176">
        <f>IF(#REF!&lt;&gt;"",#REF!,IF(#REF!&lt;&gt;"",#REF!,""))</f>
      </c>
      <c r="E119" s="176"/>
      <c r="F119" s="176"/>
      <c r="G119" s="176"/>
      <c r="H119" s="176"/>
      <c r="I119" s="176"/>
      <c r="J119" s="252">
        <f>#REF!</f>
      </c>
      <c r="K119" s="252">
        <f ca="1">'rincian 3'!S96</f>
      </c>
      <c r="L119" s="252">
        <f>'rincian 3'!U96</f>
      </c>
      <c r="M119" s="252">
        <f t="shared" ca="1" si="12"/>
      </c>
      <c r="N119" s="252">
        <f t="shared" si="13"/>
      </c>
      <c r="O119" s="252">
        <f t="shared" ca="1" si="14"/>
      </c>
      <c r="P119" s="78">
        <f>#REF!</f>
      </c>
      <c r="Q119" s="608">
        <f t="shared" si="15"/>
      </c>
      <c r="R119" s="609"/>
    </row>
    <row r="120" spans="1:18" ht="18" customHeight="1">
      <c r="A120" s="37"/>
      <c r="B120" s="175">
        <f>#REF!</f>
      </c>
      <c r="C120" s="233"/>
      <c r="D120" s="176">
        <f>IF(#REF!&lt;&gt;"",#REF!,IF(#REF!&lt;&gt;"",#REF!,""))</f>
      </c>
      <c r="E120" s="176"/>
      <c r="F120" s="176"/>
      <c r="G120" s="176"/>
      <c r="H120" s="176"/>
      <c r="I120" s="176"/>
      <c r="J120" s="252">
        <f>#REF!</f>
      </c>
      <c r="K120" s="252">
        <f ca="1">'rincian 3'!S97</f>
      </c>
      <c r="L120" s="252">
        <f>'rincian 3'!U97</f>
      </c>
      <c r="M120" s="252">
        <f t="shared" ca="1" si="12"/>
      </c>
      <c r="N120" s="252">
        <f t="shared" si="13"/>
      </c>
      <c r="O120" s="252">
        <f t="shared" ca="1" si="14"/>
      </c>
      <c r="P120" s="78">
        <f>#REF!</f>
      </c>
      <c r="Q120" s="608">
        <f t="shared" si="15"/>
      </c>
      <c r="R120" s="609"/>
    </row>
    <row r="121" spans="1:18" ht="18" customHeight="1">
      <c r="A121" s="37"/>
      <c r="B121" s="175">
        <f>#REF!</f>
      </c>
      <c r="C121" s="233"/>
      <c r="D121" s="176">
        <f>IF(#REF!&lt;&gt;"",#REF!,IF(#REF!&lt;&gt;"",#REF!,""))</f>
      </c>
      <c r="E121" s="176"/>
      <c r="F121" s="176"/>
      <c r="G121" s="176"/>
      <c r="H121" s="176"/>
      <c r="I121" s="176"/>
      <c r="J121" s="252">
        <f>#REF!</f>
      </c>
      <c r="K121" s="252">
        <f ca="1">'rincian 3'!S98</f>
      </c>
      <c r="L121" s="252">
        <f>'rincian 3'!U98</f>
      </c>
      <c r="M121" s="252">
        <f t="shared" ca="1" si="12"/>
      </c>
      <c r="N121" s="252">
        <f t="shared" si="13"/>
      </c>
      <c r="O121" s="252">
        <f t="shared" ca="1" si="14"/>
      </c>
      <c r="P121" s="78">
        <f>#REF!</f>
      </c>
      <c r="Q121" s="608">
        <f t="shared" si="15"/>
      </c>
      <c r="R121" s="609"/>
    </row>
    <row r="122" spans="1:18" ht="18" customHeight="1">
      <c r="A122" s="37"/>
      <c r="B122" s="404">
        <f>#REF!</f>
      </c>
      <c r="C122" s="233"/>
      <c r="D122" s="405">
        <f>IF(#REF!&lt;&gt;"",#REF!,IF(#REF!&lt;&gt;"",#REF!,""))</f>
      </c>
      <c r="E122" s="405"/>
      <c r="F122" s="405"/>
      <c r="G122" s="405"/>
      <c r="H122" s="405"/>
      <c r="I122" s="405"/>
      <c r="J122" s="252"/>
      <c r="K122" s="252"/>
      <c r="L122" s="252"/>
      <c r="M122" s="252"/>
      <c r="N122" s="252"/>
      <c r="O122" s="252"/>
      <c r="P122" s="78"/>
      <c r="Q122" s="624"/>
      <c r="R122" s="625"/>
    </row>
    <row r="123" spans="1:18" ht="18" customHeight="1">
      <c r="A123" s="37"/>
      <c r="B123" s="175">
        <f>#REF!</f>
      </c>
      <c r="C123" s="233"/>
      <c r="D123" s="176">
        <f>IF(#REF!&lt;&gt;"",#REF!,IF(#REF!&lt;&gt;"",#REF!,""))</f>
      </c>
      <c r="E123" s="176"/>
      <c r="F123" s="176"/>
      <c r="G123" s="176"/>
      <c r="H123" s="176"/>
      <c r="I123" s="176"/>
      <c r="J123" s="252"/>
      <c r="K123" s="252"/>
      <c r="L123" s="252"/>
      <c r="M123" s="252"/>
      <c r="N123" s="252"/>
      <c r="O123" s="252"/>
      <c r="P123" s="78"/>
      <c r="Q123" s="624"/>
      <c r="R123" s="625"/>
    </row>
    <row r="124" spans="1:18" ht="36" customHeight="1">
      <c r="A124" s="37"/>
      <c r="B124" s="175">
        <f>#REF!</f>
      </c>
      <c r="C124" s="233"/>
      <c r="D124" s="653">
        <f>IF(#REF!&lt;&gt;"",#REF!,IF(#REF!&lt;&gt;"",#REF!,""))</f>
      </c>
      <c r="E124" s="653"/>
      <c r="F124" s="653"/>
      <c r="G124" s="653"/>
      <c r="H124" s="653"/>
      <c r="I124" s="654"/>
      <c r="J124" s="252">
        <f>#REF!</f>
      </c>
      <c r="K124" s="252">
        <f ca="1">'rincian 3'!S101</f>
      </c>
      <c r="L124" s="252">
        <f>'rincian 3'!U101</f>
      </c>
      <c r="M124" s="252">
        <f ca="1">K124+L124</f>
      </c>
      <c r="N124" s="252">
        <f>L124</f>
      </c>
      <c r="O124" s="252">
        <f ca="1">J124-M124</f>
      </c>
      <c r="P124" s="78">
        <f>#REF!</f>
      </c>
      <c r="Q124" s="608">
        <f>N124*P124</f>
      </c>
      <c r="R124" s="609"/>
    </row>
    <row r="125" spans="1:18" ht="18" customHeight="1">
      <c r="A125" s="37"/>
      <c r="B125" s="175">
        <f>#REF!</f>
      </c>
      <c r="C125" s="233"/>
      <c r="D125" s="176">
        <f>IF(#REF!&lt;&gt;"",#REF!,IF(#REF!&lt;&gt;"",#REF!,""))</f>
      </c>
      <c r="E125" s="176"/>
      <c r="F125" s="176"/>
      <c r="G125" s="176"/>
      <c r="H125" s="176"/>
      <c r="I125" s="176"/>
      <c r="J125" s="252">
        <f>#REF!</f>
      </c>
      <c r="K125" s="252">
        <f ca="1">'rincian 3'!S102</f>
      </c>
      <c r="L125" s="252">
        <f>'rincian 3'!U102</f>
      </c>
      <c r="M125" s="252">
        <f ca="1">K125+L125</f>
      </c>
      <c r="N125" s="252">
        <f>L125</f>
      </c>
      <c r="O125" s="252">
        <f ca="1">J125-M125</f>
      </c>
      <c r="P125" s="78">
        <f>#REF!</f>
      </c>
      <c r="Q125" s="608">
        <f>N125*P125</f>
      </c>
      <c r="R125" s="609"/>
    </row>
    <row r="126" spans="1:18" ht="18" customHeight="1">
      <c r="A126" s="37"/>
      <c r="B126" s="175">
        <f>#REF!</f>
      </c>
      <c r="C126" s="233"/>
      <c r="D126" s="176">
        <f>IF(#REF!&lt;&gt;"",#REF!,IF(#REF!&lt;&gt;"",#REF!,""))</f>
      </c>
      <c r="E126" s="176"/>
      <c r="F126" s="176"/>
      <c r="G126" s="176"/>
      <c r="H126" s="176"/>
      <c r="I126" s="176"/>
      <c r="J126" s="252">
        <f>#REF!</f>
      </c>
      <c r="K126" s="252">
        <f ca="1">'rincian 3'!S103</f>
      </c>
      <c r="L126" s="252">
        <f>'rincian 3'!U103</f>
      </c>
      <c r="M126" s="252">
        <f ca="1">K126+L126</f>
      </c>
      <c r="N126" s="252">
        <f>L126</f>
      </c>
      <c r="O126" s="252">
        <f ca="1">J126-M126</f>
      </c>
      <c r="P126" s="78">
        <f>#REF!</f>
      </c>
      <c r="Q126" s="608">
        <f>N126*P126</f>
      </c>
      <c r="R126" s="609"/>
    </row>
    <row r="127" spans="1:18" ht="18" customHeight="1">
      <c r="A127" s="37"/>
      <c r="B127" s="175">
        <f>#REF!</f>
      </c>
      <c r="C127" s="233"/>
      <c r="D127" s="176">
        <f>IF(#REF!&lt;&gt;"",#REF!,IF(#REF!&lt;&gt;"",#REF!,""))</f>
      </c>
      <c r="E127" s="176"/>
      <c r="F127" s="176"/>
      <c r="G127" s="176"/>
      <c r="H127" s="176"/>
      <c r="I127" s="176"/>
      <c r="J127" s="252"/>
      <c r="K127" s="252"/>
      <c r="L127" s="252"/>
      <c r="M127" s="252"/>
      <c r="N127" s="252"/>
      <c r="O127" s="252"/>
      <c r="P127" s="78"/>
      <c r="Q127" s="624"/>
      <c r="R127" s="625"/>
    </row>
    <row r="128" spans="1:18" ht="18" customHeight="1">
      <c r="A128" s="37"/>
      <c r="B128" s="175">
        <f>#REF!</f>
      </c>
      <c r="C128" s="233"/>
      <c r="D128" s="176">
        <f>IF(#REF!&lt;&gt;"",#REF!,IF(#REF!&lt;&gt;"",#REF!,""))</f>
      </c>
      <c r="E128" s="176"/>
      <c r="F128" s="176"/>
      <c r="G128" s="176"/>
      <c r="H128" s="176"/>
      <c r="I128" s="176"/>
      <c r="J128" s="252">
        <f>#REF!</f>
      </c>
      <c r="K128" s="252">
        <f ca="1">'rincian 3'!S105</f>
      </c>
      <c r="L128" s="252">
        <f>'rincian 3'!U105</f>
      </c>
      <c r="M128" s="252">
        <f ca="1">K128+L128</f>
      </c>
      <c r="N128" s="252">
        <f>L128</f>
      </c>
      <c r="O128" s="252">
        <f ca="1">J128-M128</f>
      </c>
      <c r="P128" s="78">
        <f>#REF!</f>
      </c>
      <c r="Q128" s="608">
        <f>N128*P128</f>
      </c>
      <c r="R128" s="609"/>
    </row>
    <row r="129" spans="1:18" ht="18" customHeight="1">
      <c r="A129" s="37"/>
      <c r="B129" s="175">
        <f>#REF!</f>
      </c>
      <c r="C129" s="233"/>
      <c r="D129" s="176">
        <f>IF(#REF!&lt;&gt;"",#REF!,IF(#REF!&lt;&gt;"",#REF!,""))</f>
      </c>
      <c r="E129" s="176"/>
      <c r="F129" s="176"/>
      <c r="G129" s="176"/>
      <c r="H129" s="176"/>
      <c r="I129" s="176"/>
      <c r="J129" s="252">
        <f>#REF!</f>
      </c>
      <c r="K129" s="252">
        <f ca="1">'rincian 3'!S106</f>
      </c>
      <c r="L129" s="252">
        <f>'rincian 3'!U106</f>
      </c>
      <c r="M129" s="252">
        <f ca="1">K129+L129</f>
      </c>
      <c r="N129" s="252">
        <f>L129</f>
      </c>
      <c r="O129" s="252">
        <f ca="1">J129-M129</f>
      </c>
      <c r="P129" s="78">
        <f>#REF!</f>
      </c>
      <c r="Q129" s="608">
        <f>N129*P129</f>
      </c>
      <c r="R129" s="609"/>
    </row>
    <row r="130" spans="1:18" ht="18" customHeight="1">
      <c r="A130" s="37"/>
      <c r="B130" s="404">
        <f>#REF!</f>
      </c>
      <c r="C130" s="233"/>
      <c r="D130" s="405">
        <f>IF(#REF!&lt;&gt;"",#REF!,IF(#REF!&lt;&gt;"",#REF!,""))</f>
      </c>
      <c r="E130" s="405"/>
      <c r="F130" s="405"/>
      <c r="G130" s="405"/>
      <c r="H130" s="405"/>
      <c r="I130" s="405"/>
      <c r="J130" s="252"/>
      <c r="K130" s="252"/>
      <c r="L130" s="252"/>
      <c r="M130" s="252"/>
      <c r="N130" s="252"/>
      <c r="O130" s="252"/>
      <c r="P130" s="78"/>
      <c r="Q130" s="624"/>
      <c r="R130" s="625"/>
    </row>
    <row r="131" spans="1:18" ht="18" customHeight="1">
      <c r="A131" s="37"/>
      <c r="B131" s="175">
        <f>#REF!</f>
      </c>
      <c r="C131" s="233"/>
      <c r="D131" s="176">
        <f>IF(#REF!&lt;&gt;"",#REF!,IF(#REF!&lt;&gt;"",#REF!,""))</f>
      </c>
      <c r="E131" s="176"/>
      <c r="F131" s="176"/>
      <c r="G131" s="176"/>
      <c r="H131" s="176"/>
      <c r="I131" s="176"/>
      <c r="J131" s="252">
        <f>#REF!</f>
      </c>
      <c r="K131" s="252">
        <f ca="1">'rincian 3'!S108</f>
      </c>
      <c r="L131" s="252">
        <f>'rincian 3'!U108</f>
      </c>
      <c r="M131" s="252">
        <f ca="1">K131+L131</f>
      </c>
      <c r="N131" s="252">
        <f>L131</f>
      </c>
      <c r="O131" s="252">
        <f ca="1">J131-M131</f>
      </c>
      <c r="P131" s="78">
        <f>#REF!</f>
      </c>
      <c r="Q131" s="608">
        <f>N131*P131</f>
      </c>
      <c r="R131" s="609"/>
    </row>
    <row r="132" spans="1:18" ht="18" customHeight="1">
      <c r="A132" s="37"/>
      <c r="B132" s="175">
        <f>#REF!</f>
      </c>
      <c r="C132" s="233"/>
      <c r="D132" s="176">
        <f>IF(#REF!&lt;&gt;"",#REF!,IF(#REF!&lt;&gt;"",#REF!,""))</f>
      </c>
      <c r="E132" s="176"/>
      <c r="F132" s="176"/>
      <c r="G132" s="176"/>
      <c r="H132" s="176"/>
      <c r="I132" s="176"/>
      <c r="J132" s="252">
        <f>#REF!</f>
      </c>
      <c r="K132" s="252">
        <f ca="1">'rincian 3'!S109</f>
      </c>
      <c r="L132" s="252">
        <f>'rincian 3'!U109</f>
      </c>
      <c r="M132" s="252">
        <f ca="1">K132+L132</f>
      </c>
      <c r="N132" s="252">
        <f>L132</f>
      </c>
      <c r="O132" s="252">
        <f ca="1">J132-M132</f>
      </c>
      <c r="P132" s="78">
        <f>#REF!</f>
      </c>
      <c r="Q132" s="608">
        <f>N132*P132</f>
      </c>
      <c r="R132" s="609"/>
    </row>
    <row r="133" spans="1:18" ht="18" customHeight="1">
      <c r="A133" s="37"/>
      <c r="B133" s="404">
        <f>#REF!</f>
      </c>
      <c r="C133" s="233"/>
      <c r="D133" s="405">
        <f>IF(#REF!&lt;&gt;"",#REF!,IF(#REF!&lt;&gt;"",#REF!,""))</f>
      </c>
      <c r="E133" s="405"/>
      <c r="F133" s="405"/>
      <c r="G133" s="405"/>
      <c r="H133" s="405"/>
      <c r="I133" s="405"/>
      <c r="J133" s="252"/>
      <c r="K133" s="252"/>
      <c r="L133" s="252"/>
      <c r="M133" s="252"/>
      <c r="N133" s="252"/>
      <c r="O133" s="252"/>
      <c r="P133" s="78"/>
      <c r="Q133" s="624"/>
      <c r="R133" s="625"/>
    </row>
    <row r="134" spans="1:18" ht="18" customHeight="1">
      <c r="A134" s="37"/>
      <c r="B134" s="175">
        <f>#REF!</f>
      </c>
      <c r="C134" s="233"/>
      <c r="D134" s="176">
        <f>IF(#REF!&lt;&gt;"",#REF!,IF(#REF!&lt;&gt;"",#REF!,""))</f>
      </c>
      <c r="E134" s="176"/>
      <c r="F134" s="176"/>
      <c r="G134" s="176"/>
      <c r="H134" s="176"/>
      <c r="I134" s="176"/>
      <c r="J134" s="252">
        <f>#REF!</f>
      </c>
      <c r="K134" s="252">
        <f ca="1">'rincian 3'!S111</f>
      </c>
      <c r="L134" s="252">
        <f>'rincian 3'!U111</f>
      </c>
      <c r="M134" s="252">
        <f ca="1">K134+L134</f>
      </c>
      <c r="N134" s="252">
        <f>L134</f>
      </c>
      <c r="O134" s="252">
        <f ca="1">J134-M134</f>
      </c>
      <c r="P134" s="78">
        <f>#REF!</f>
      </c>
      <c r="Q134" s="608">
        <f>N134*P134</f>
      </c>
      <c r="R134" s="609"/>
    </row>
    <row r="135" spans="1:18" ht="18" customHeight="1">
      <c r="A135" s="37"/>
      <c r="B135" s="175">
        <f>#REF!</f>
      </c>
      <c r="C135" s="233"/>
      <c r="D135" s="176">
        <f>IF(#REF!&lt;&gt;"",#REF!,IF(#REF!&lt;&gt;"",#REF!,""))</f>
      </c>
      <c r="E135" s="176"/>
      <c r="F135" s="176"/>
      <c r="G135" s="176"/>
      <c r="H135" s="176"/>
      <c r="I135" s="176"/>
      <c r="J135" s="252">
        <f>#REF!</f>
      </c>
      <c r="K135" s="252">
        <f ca="1">'rincian 3'!S112</f>
      </c>
      <c r="L135" s="252">
        <f>'rincian 3'!U112</f>
      </c>
      <c r="M135" s="252">
        <f ca="1">K135+L135</f>
      </c>
      <c r="N135" s="252">
        <f>L135</f>
      </c>
      <c r="O135" s="252">
        <f ca="1">J135-M135</f>
      </c>
      <c r="P135" s="78">
        <f>#REF!</f>
      </c>
      <c r="Q135" s="608">
        <f>N135*P135</f>
      </c>
      <c r="R135" s="609"/>
    </row>
    <row r="136" spans="1:18" ht="18" customHeight="1">
      <c r="A136" s="37"/>
      <c r="B136" s="175">
        <f>#REF!</f>
      </c>
      <c r="C136" s="233"/>
      <c r="D136" s="176">
        <f>IF(#REF!&lt;&gt;"",#REF!,IF(#REF!&lt;&gt;"",#REF!,""))</f>
      </c>
      <c r="E136" s="176"/>
      <c r="F136" s="176"/>
      <c r="G136" s="176"/>
      <c r="H136" s="176"/>
      <c r="I136" s="176"/>
      <c r="J136" s="252">
        <f>#REF!</f>
      </c>
      <c r="K136" s="252">
        <f ca="1">'rincian 3'!S113</f>
      </c>
      <c r="L136" s="252">
        <f>'rincian 3'!U113</f>
      </c>
      <c r="M136" s="252">
        <f ca="1">K136+L136</f>
      </c>
      <c r="N136" s="252">
        <f>L136</f>
      </c>
      <c r="O136" s="252">
        <f ca="1">J136-M136</f>
      </c>
      <c r="P136" s="78">
        <f>#REF!</f>
      </c>
      <c r="Q136" s="608">
        <f>N136*P136</f>
      </c>
      <c r="R136" s="609"/>
    </row>
    <row r="137" spans="1:18" ht="18" customHeight="1">
      <c r="A137" s="37"/>
      <c r="B137" s="175">
        <f>#REF!</f>
      </c>
      <c r="C137" s="233"/>
      <c r="D137" s="176">
        <f>IF(#REF!&lt;&gt;"",#REF!,IF(#REF!&lt;&gt;"",#REF!,""))</f>
      </c>
      <c r="E137" s="176"/>
      <c r="F137" s="176"/>
      <c r="G137" s="176"/>
      <c r="H137" s="176"/>
      <c r="I137" s="176"/>
      <c r="J137" s="252">
        <f>#REF!</f>
      </c>
      <c r="K137" s="252">
        <f ca="1">'rincian 3'!S114</f>
      </c>
      <c r="L137" s="252">
        <f>'rincian 3'!U114</f>
      </c>
      <c r="M137" s="252">
        <f ca="1">K137+L137</f>
      </c>
      <c r="N137" s="252">
        <f>L137</f>
      </c>
      <c r="O137" s="252">
        <f ca="1">J137-M137</f>
      </c>
      <c r="P137" s="78">
        <f>#REF!</f>
      </c>
      <c r="Q137" s="608">
        <f>N137*P137</f>
      </c>
      <c r="R137" s="609"/>
    </row>
    <row r="138" spans="1:18" ht="18" customHeight="1">
      <c r="A138" s="37"/>
      <c r="B138" s="404">
        <f>#REF!</f>
      </c>
      <c r="C138" s="233"/>
      <c r="D138" s="405">
        <f>IF(#REF!&lt;&gt;"",#REF!,IF(#REF!&lt;&gt;"",#REF!,""))</f>
      </c>
      <c r="E138" s="405"/>
      <c r="F138" s="405"/>
      <c r="G138" s="405"/>
      <c r="H138" s="405"/>
      <c r="I138" s="405"/>
      <c r="J138" s="252"/>
      <c r="K138" s="252"/>
      <c r="L138" s="252"/>
      <c r="M138" s="252"/>
      <c r="N138" s="252"/>
      <c r="O138" s="252"/>
      <c r="P138" s="78"/>
      <c r="Q138" s="624"/>
      <c r="R138" s="625"/>
    </row>
    <row r="139" spans="1:18" ht="18" customHeight="1">
      <c r="A139" s="37"/>
      <c r="B139" s="175">
        <f>#REF!</f>
      </c>
      <c r="C139" s="233"/>
      <c r="D139" s="176">
        <f>IF(#REF!&lt;&gt;"",#REF!,IF(#REF!&lt;&gt;"",#REF!,""))</f>
      </c>
      <c r="E139" s="176"/>
      <c r="F139" s="176"/>
      <c r="G139" s="176"/>
      <c r="H139" s="176"/>
      <c r="I139" s="176"/>
      <c r="J139" s="252">
        <f>#REF!</f>
      </c>
      <c r="K139" s="252">
        <f ca="1">'rincian 3'!S116</f>
      </c>
      <c r="L139" s="252">
        <f>'rincian 3'!U116</f>
      </c>
      <c r="M139" s="252">
        <f ca="1">K139+L139</f>
      </c>
      <c r="N139" s="252">
        <f>L139</f>
      </c>
      <c r="O139" s="252">
        <f ca="1">J139-M139</f>
      </c>
      <c r="P139" s="78">
        <f>#REF!</f>
      </c>
      <c r="Q139" s="608">
        <f>N139*P139</f>
      </c>
      <c r="R139" s="609"/>
    </row>
    <row r="140" spans="1:18" ht="18" customHeight="1">
      <c r="A140" s="37"/>
      <c r="B140" s="175">
        <f>#REF!</f>
      </c>
      <c r="C140" s="233"/>
      <c r="D140" s="176">
        <f>IF(#REF!&lt;&gt;"",#REF!,IF(#REF!&lt;&gt;"",#REF!,""))</f>
      </c>
      <c r="E140" s="176"/>
      <c r="F140" s="176"/>
      <c r="G140" s="176"/>
      <c r="H140" s="176"/>
      <c r="I140" s="176"/>
      <c r="J140" s="252">
        <f>#REF!</f>
      </c>
      <c r="K140" s="252">
        <f ca="1">'rincian 3'!S117</f>
      </c>
      <c r="L140" s="252">
        <f>'rincian 3'!U117</f>
      </c>
      <c r="M140" s="252">
        <f ca="1">K140+L140</f>
      </c>
      <c r="N140" s="252">
        <f>L140</f>
      </c>
      <c r="O140" s="252">
        <f ca="1">J140-M140</f>
      </c>
      <c r="P140" s="78">
        <f>#REF!</f>
      </c>
      <c r="Q140" s="608">
        <f>N140*P140</f>
      </c>
      <c r="R140" s="609"/>
    </row>
    <row r="141" spans="1:18" ht="18" customHeight="1">
      <c r="A141" s="37"/>
      <c r="B141" s="404">
        <f>#REF!</f>
      </c>
      <c r="C141" s="233"/>
      <c r="D141" s="405">
        <f>IF(#REF!&lt;&gt;"",#REF!,IF(#REF!&lt;&gt;"",#REF!,""))</f>
      </c>
      <c r="E141" s="405"/>
      <c r="F141" s="405"/>
      <c r="G141" s="405"/>
      <c r="H141" s="405"/>
      <c r="I141" s="405"/>
      <c r="J141" s="252"/>
      <c r="K141" s="252"/>
      <c r="L141" s="252"/>
      <c r="M141" s="252"/>
      <c r="N141" s="252"/>
      <c r="O141" s="252"/>
      <c r="P141" s="78"/>
      <c r="Q141" s="624"/>
      <c r="R141" s="625"/>
    </row>
    <row r="142" spans="1:18" ht="18" customHeight="1">
      <c r="A142" s="37"/>
      <c r="B142" s="175">
        <f>#REF!</f>
      </c>
      <c r="C142" s="233"/>
      <c r="D142" s="176">
        <f>IF(#REF!&lt;&gt;"",#REF!,IF(#REF!&lt;&gt;"",#REF!,""))</f>
      </c>
      <c r="E142" s="176"/>
      <c r="F142" s="176"/>
      <c r="G142" s="176"/>
      <c r="H142" s="176"/>
      <c r="I142" s="176"/>
      <c r="J142" s="252">
        <f>#REF!</f>
      </c>
      <c r="K142" s="252">
        <f ca="1">'rincian 3'!S119</f>
      </c>
      <c r="L142" s="252">
        <f>'rincian 3'!U119</f>
      </c>
      <c r="M142" s="252">
        <f ca="1">K142+L142</f>
      </c>
      <c r="N142" s="252">
        <f>L142</f>
      </c>
      <c r="O142" s="252">
        <f ca="1">J142-M142</f>
      </c>
      <c r="P142" s="78">
        <f>#REF!</f>
      </c>
      <c r="Q142" s="608">
        <f>N142*P142</f>
      </c>
      <c r="R142" s="609"/>
    </row>
    <row r="143" spans="1:18" ht="18" customHeight="1">
      <c r="A143" s="37"/>
      <c r="B143" s="175">
        <f>#REF!</f>
      </c>
      <c r="C143" s="233"/>
      <c r="D143" s="176">
        <f>IF(#REF!&lt;&gt;"",#REF!,IF(#REF!&lt;&gt;"",#REF!,""))</f>
      </c>
      <c r="E143" s="176"/>
      <c r="F143" s="176"/>
      <c r="G143" s="176"/>
      <c r="H143" s="176"/>
      <c r="I143" s="176"/>
      <c r="J143" s="252">
        <f>#REF!</f>
      </c>
      <c r="K143" s="252">
        <f ca="1">'rincian 3'!S120</f>
      </c>
      <c r="L143" s="252">
        <f>'rincian 3'!U120</f>
      </c>
      <c r="M143" s="252">
        <f ca="1">K143+L143</f>
      </c>
      <c r="N143" s="252">
        <f>L143</f>
      </c>
      <c r="O143" s="252">
        <f ca="1">J143-M143</f>
      </c>
      <c r="P143" s="78">
        <f>#REF!</f>
      </c>
      <c r="Q143" s="608">
        <f>N143*P143</f>
      </c>
      <c r="R143" s="609"/>
    </row>
    <row r="144" spans="1:18" ht="18" customHeight="1">
      <c r="A144" s="37"/>
      <c r="B144" s="175">
        <f>#REF!</f>
      </c>
      <c r="C144" s="233"/>
      <c r="D144" s="176">
        <f>IF(#REF!&lt;&gt;"",#REF!,IF(#REF!&lt;&gt;"",#REF!,""))</f>
      </c>
      <c r="E144" s="176"/>
      <c r="F144" s="176"/>
      <c r="G144" s="176"/>
      <c r="H144" s="176"/>
      <c r="I144" s="176"/>
      <c r="J144" s="252">
        <f>#REF!</f>
      </c>
      <c r="K144" s="252">
        <f ca="1">'rincian 3'!S121</f>
      </c>
      <c r="L144" s="252">
        <f>'rincian 3'!U121</f>
      </c>
      <c r="M144" s="252">
        <f ca="1">K144+L144</f>
      </c>
      <c r="N144" s="252">
        <f>L144</f>
      </c>
      <c r="O144" s="252">
        <f ca="1">J144-M144</f>
      </c>
      <c r="P144" s="78">
        <f>#REF!</f>
      </c>
      <c r="Q144" s="608">
        <f>N144*P144</f>
      </c>
      <c r="R144" s="609"/>
    </row>
    <row r="145" spans="1:18" ht="18" customHeight="1">
      <c r="A145" s="37"/>
      <c r="B145" s="175">
        <f>#REF!</f>
      </c>
      <c r="C145" s="233"/>
      <c r="D145" s="176">
        <f>IF(#REF!&lt;&gt;"",#REF!,IF(#REF!&lt;&gt;"",#REF!,""))</f>
      </c>
      <c r="E145" s="176"/>
      <c r="F145" s="176"/>
      <c r="G145" s="176"/>
      <c r="H145" s="176"/>
      <c r="I145" s="176"/>
      <c r="J145" s="252">
        <f>#REF!</f>
      </c>
      <c r="K145" s="252">
        <f ca="1">'rincian 3'!S122</f>
      </c>
      <c r="L145" s="252">
        <f>'rincian 3'!U122</f>
      </c>
      <c r="M145" s="252">
        <f ca="1">K145+L145</f>
      </c>
      <c r="N145" s="252">
        <f>L145</f>
      </c>
      <c r="O145" s="252">
        <f ca="1">J145-M145</f>
      </c>
      <c r="P145" s="78">
        <f>#REF!</f>
      </c>
      <c r="Q145" s="608">
        <f>N145*P145</f>
      </c>
      <c r="R145" s="609"/>
    </row>
    <row r="146" spans="1:18" ht="18" customHeight="1">
      <c r="A146" s="37"/>
      <c r="B146" s="175">
        <f>#REF!</f>
      </c>
      <c r="C146" s="233"/>
      <c r="D146" s="176">
        <f>IF(#REF!&lt;&gt;"",#REF!,IF(#REF!&lt;&gt;"",#REF!,""))</f>
      </c>
      <c r="E146" s="176"/>
      <c r="F146" s="176"/>
      <c r="G146" s="176"/>
      <c r="H146" s="176"/>
      <c r="I146" s="176"/>
      <c r="J146" s="252">
        <f>#REF!</f>
      </c>
      <c r="K146" s="252">
        <f ca="1">'rincian 3'!S123</f>
      </c>
      <c r="L146" s="252">
        <f>'rincian 3'!U123</f>
      </c>
      <c r="M146" s="252">
        <f ca="1">K146+L146</f>
      </c>
      <c r="N146" s="252">
        <f>L146</f>
      </c>
      <c r="O146" s="252">
        <f ca="1">J146-M146</f>
      </c>
      <c r="P146" s="78">
        <f>#REF!</f>
      </c>
      <c r="Q146" s="608">
        <f>N146*P146</f>
      </c>
      <c r="R146" s="609"/>
    </row>
    <row r="147" spans="1:18" ht="18" customHeight="1">
      <c r="A147" s="37"/>
      <c r="B147" s="404">
        <f>#REF!</f>
      </c>
      <c r="C147" s="233"/>
      <c r="D147" s="405">
        <f>IF(#REF!&lt;&gt;"",#REF!,IF(#REF!&lt;&gt;"",#REF!,""))</f>
      </c>
      <c r="E147" s="405"/>
      <c r="F147" s="405"/>
      <c r="G147" s="405"/>
      <c r="H147" s="405"/>
      <c r="I147" s="405"/>
      <c r="J147" s="252"/>
      <c r="K147" s="252"/>
      <c r="L147" s="252"/>
      <c r="M147" s="252"/>
      <c r="N147" s="252"/>
      <c r="O147" s="252"/>
      <c r="P147" s="78"/>
      <c r="Q147" s="624"/>
      <c r="R147" s="625"/>
    </row>
    <row r="148" spans="1:18" ht="18" customHeight="1">
      <c r="A148" s="37"/>
      <c r="B148" s="175">
        <f>#REF!</f>
      </c>
      <c r="C148" s="233"/>
      <c r="D148" s="176">
        <f>IF(#REF!&lt;&gt;"",#REF!,IF(#REF!&lt;&gt;"",#REF!,""))</f>
      </c>
      <c r="E148" s="176"/>
      <c r="F148" s="176"/>
      <c r="G148" s="176"/>
      <c r="H148" s="176"/>
      <c r="I148" s="176"/>
      <c r="J148" s="252">
        <f>#REF!</f>
      </c>
      <c r="K148" s="252">
        <f ca="1">'rincian 3'!S125</f>
      </c>
      <c r="L148" s="252">
        <f>'rincian 3'!U125</f>
      </c>
      <c r="M148" s="252">
        <f ca="1">K148+L148</f>
      </c>
      <c r="N148" s="252">
        <f>L148</f>
      </c>
      <c r="O148" s="252">
        <f ca="1">J148-M148</f>
      </c>
      <c r="P148" s="78">
        <f>#REF!</f>
      </c>
      <c r="Q148" s="608">
        <f>N148*P148</f>
      </c>
      <c r="R148" s="609"/>
    </row>
    <row r="149" spans="1:18" ht="18" customHeight="1">
      <c r="A149" s="37"/>
      <c r="B149" s="175">
        <f>#REF!</f>
      </c>
      <c r="C149" s="233"/>
      <c r="D149" s="176">
        <f>IF(#REF!&lt;&gt;"",#REF!,IF(#REF!&lt;&gt;"",#REF!,""))</f>
      </c>
      <c r="E149" s="176"/>
      <c r="F149" s="176"/>
      <c r="G149" s="176"/>
      <c r="H149" s="176"/>
      <c r="I149" s="176"/>
      <c r="J149" s="252">
        <f>#REF!</f>
      </c>
      <c r="K149" s="252">
        <f ca="1">'rincian 3'!S126</f>
      </c>
      <c r="L149" s="252">
        <f>'rincian 3'!U126</f>
      </c>
      <c r="M149" s="252">
        <f ca="1">K149+L149</f>
      </c>
      <c r="N149" s="252">
        <f>L149</f>
      </c>
      <c r="O149" s="252">
        <f ca="1">J149-M149</f>
      </c>
      <c r="P149" s="78">
        <f>#REF!</f>
      </c>
      <c r="Q149" s="608">
        <f>N149*P149</f>
      </c>
      <c r="R149" s="609"/>
    </row>
    <row r="150" spans="1:18" ht="18" customHeight="1">
      <c r="A150" s="37"/>
      <c r="B150" s="404">
        <f>#REF!</f>
      </c>
      <c r="C150" s="233"/>
      <c r="D150" s="405">
        <f>IF(#REF!&lt;&gt;"",#REF!,IF(#REF!&lt;&gt;"",#REF!,""))</f>
      </c>
      <c r="E150" s="405"/>
      <c r="F150" s="405"/>
      <c r="G150" s="405"/>
      <c r="H150" s="405"/>
      <c r="I150" s="405"/>
      <c r="J150" s="252"/>
      <c r="K150" s="252"/>
      <c r="L150" s="252"/>
      <c r="M150" s="252"/>
      <c r="N150" s="252"/>
      <c r="O150" s="252"/>
      <c r="P150" s="78"/>
      <c r="Q150" s="624"/>
      <c r="R150" s="625"/>
    </row>
    <row r="151" spans="1:18" ht="18" customHeight="1">
      <c r="A151" s="37"/>
      <c r="B151" s="175">
        <f>#REF!</f>
      </c>
      <c r="C151" s="233"/>
      <c r="D151" s="176">
        <f>IF(#REF!&lt;&gt;"",#REF!,IF(#REF!&lt;&gt;"",#REF!,""))</f>
      </c>
      <c r="E151" s="176"/>
      <c r="F151" s="176"/>
      <c r="G151" s="176"/>
      <c r="H151" s="176"/>
      <c r="I151" s="176"/>
      <c r="J151" s="252">
        <f>#REF!</f>
      </c>
      <c r="K151" s="252">
        <f ca="1">'rincian 3'!S128</f>
      </c>
      <c r="L151" s="252">
        <f>'rincian 3'!U128</f>
      </c>
      <c r="M151" s="252">
        <f ca="1">K151+L151</f>
      </c>
      <c r="N151" s="252">
        <f>L151</f>
      </c>
      <c r="O151" s="252">
        <f ca="1">J151-M151</f>
      </c>
      <c r="P151" s="78">
        <f>#REF!</f>
      </c>
      <c r="Q151" s="608">
        <f>N151*P151</f>
      </c>
      <c r="R151" s="609"/>
    </row>
    <row r="152" spans="1:18" ht="18" customHeight="1">
      <c r="A152" s="37"/>
      <c r="B152" s="175">
        <f>#REF!</f>
      </c>
      <c r="C152" s="233"/>
      <c r="D152" s="176">
        <f>IF(#REF!&lt;&gt;"",#REF!,IF(#REF!&lt;&gt;"",#REF!,""))</f>
      </c>
      <c r="E152" s="176"/>
      <c r="F152" s="176"/>
      <c r="G152" s="176"/>
      <c r="H152" s="176"/>
      <c r="I152" s="176"/>
      <c r="J152" s="252">
        <f>#REF!</f>
      </c>
      <c r="K152" s="252">
        <f ca="1">'rincian 3'!S129</f>
      </c>
      <c r="L152" s="252">
        <f>'rincian 3'!U129</f>
      </c>
      <c r="M152" s="252">
        <f ca="1">K152+L152</f>
      </c>
      <c r="N152" s="252">
        <f>L152</f>
      </c>
      <c r="O152" s="252">
        <f ca="1">J152-M152</f>
      </c>
      <c r="P152" s="78">
        <f>#REF!</f>
      </c>
      <c r="Q152" s="608">
        <f>N152*P152</f>
      </c>
      <c r="R152" s="609"/>
    </row>
    <row r="153" spans="1:18" ht="18" customHeight="1">
      <c r="A153" s="37"/>
      <c r="B153" s="175">
        <f>#REF!</f>
      </c>
      <c r="C153" s="233"/>
      <c r="D153" s="176">
        <f>IF(#REF!&lt;&gt;"",#REF!,IF(#REF!&lt;&gt;"",#REF!,""))</f>
      </c>
      <c r="E153" s="176"/>
      <c r="F153" s="176"/>
      <c r="G153" s="176"/>
      <c r="H153" s="176"/>
      <c r="I153" s="176"/>
      <c r="J153" s="252">
        <f>#REF!</f>
      </c>
      <c r="K153" s="252">
        <f ca="1">'rincian 3'!S130</f>
      </c>
      <c r="L153" s="252">
        <f>'rincian 3'!U130</f>
      </c>
      <c r="M153" s="252">
        <f ca="1">K153+L153</f>
      </c>
      <c r="N153" s="252">
        <f>L153</f>
      </c>
      <c r="O153" s="252">
        <f ca="1">J153-M153</f>
      </c>
      <c r="P153" s="78">
        <f>#REF!</f>
      </c>
      <c r="Q153" s="608">
        <f>N153*P153</f>
      </c>
      <c r="R153" s="609"/>
    </row>
    <row r="154" spans="1:18" ht="18" customHeight="1">
      <c r="A154" s="37"/>
      <c r="B154" s="404">
        <f>#REF!</f>
      </c>
      <c r="C154" s="233"/>
      <c r="D154" s="405">
        <f>IF(#REF!&lt;&gt;"",#REF!,IF(#REF!&lt;&gt;"",#REF!,""))</f>
      </c>
      <c r="E154" s="405"/>
      <c r="F154" s="405"/>
      <c r="G154" s="405"/>
      <c r="H154" s="405"/>
      <c r="I154" s="405"/>
      <c r="J154" s="252"/>
      <c r="K154" s="252"/>
      <c r="L154" s="252"/>
      <c r="M154" s="252"/>
      <c r="N154" s="252"/>
      <c r="O154" s="252"/>
      <c r="P154" s="78"/>
      <c r="Q154" s="624"/>
      <c r="R154" s="625"/>
    </row>
    <row r="155" spans="1:18" ht="18" customHeight="1">
      <c r="A155" s="37"/>
      <c r="B155" s="175">
        <f>#REF!</f>
      </c>
      <c r="C155" s="233"/>
      <c r="D155" s="176">
        <f>IF(#REF!&lt;&gt;"",#REF!,IF(#REF!&lt;&gt;"",#REF!,""))</f>
      </c>
      <c r="E155" s="176"/>
      <c r="F155" s="176"/>
      <c r="G155" s="176"/>
      <c r="H155" s="176"/>
      <c r="I155" s="176"/>
      <c r="J155" s="252">
        <f>#REF!</f>
      </c>
      <c r="K155" s="252">
        <f ca="1">'rincian 3'!S132</f>
      </c>
      <c r="L155" s="252">
        <f>'rincian 3'!U132</f>
      </c>
      <c r="M155" s="252">
        <f ca="1">K155+L155</f>
      </c>
      <c r="N155" s="252">
        <f>L155</f>
      </c>
      <c r="O155" s="252">
        <f ca="1">J155-M155</f>
      </c>
      <c r="P155" s="78">
        <f>#REF!</f>
      </c>
      <c r="Q155" s="608">
        <f>N155*P155</f>
      </c>
      <c r="R155" s="609"/>
    </row>
    <row r="156" spans="1:18" ht="18" customHeight="1">
      <c r="A156" s="37"/>
      <c r="B156" s="175">
        <f>#REF!</f>
      </c>
      <c r="C156" s="233"/>
      <c r="D156" s="176">
        <f>IF(#REF!&lt;&gt;"",#REF!,IF(#REF!&lt;&gt;"",#REF!,""))</f>
      </c>
      <c r="E156" s="176"/>
      <c r="F156" s="176"/>
      <c r="G156" s="176"/>
      <c r="H156" s="176"/>
      <c r="I156" s="176"/>
      <c r="J156" s="252">
        <f>#REF!</f>
      </c>
      <c r="K156" s="252">
        <f ca="1">'rincian 3'!S133</f>
      </c>
      <c r="L156" s="252">
        <f>'rincian 3'!U133</f>
      </c>
      <c r="M156" s="252">
        <f ca="1">K156+L156</f>
      </c>
      <c r="N156" s="252">
        <f>L156</f>
      </c>
      <c r="O156" s="252">
        <f ca="1">J156-M156</f>
      </c>
      <c r="P156" s="78">
        <f>#REF!</f>
      </c>
      <c r="Q156" s="608">
        <f>N156*P156</f>
      </c>
      <c r="R156" s="609"/>
    </row>
    <row r="157" spans="1:18" ht="18" customHeight="1">
      <c r="A157" s="37"/>
      <c r="B157" s="404">
        <f>#REF!</f>
      </c>
      <c r="C157" s="233"/>
      <c r="D157" s="405">
        <f>IF(#REF!&lt;&gt;"",#REF!,IF(#REF!&lt;&gt;"",#REF!,""))</f>
      </c>
      <c r="E157" s="405"/>
      <c r="F157" s="405"/>
      <c r="G157" s="405"/>
      <c r="H157" s="405"/>
      <c r="I157" s="405"/>
      <c r="J157" s="252"/>
      <c r="K157" s="252"/>
      <c r="L157" s="252"/>
      <c r="M157" s="252"/>
      <c r="N157" s="252"/>
      <c r="O157" s="252"/>
      <c r="P157" s="78"/>
      <c r="Q157" s="624"/>
      <c r="R157" s="625"/>
    </row>
    <row r="158" spans="1:18" ht="18" customHeight="1">
      <c r="A158" s="37"/>
      <c r="B158" s="175">
        <f>#REF!</f>
      </c>
      <c r="C158" s="233"/>
      <c r="D158" s="176">
        <f>IF(#REF!&lt;&gt;"",#REF!,IF(#REF!&lt;&gt;"",#REF!,""))</f>
      </c>
      <c r="E158" s="176"/>
      <c r="F158" s="176"/>
      <c r="G158" s="176"/>
      <c r="H158" s="176"/>
      <c r="I158" s="176"/>
      <c r="J158" s="252">
        <f>#REF!</f>
      </c>
      <c r="K158" s="252">
        <f ca="1">'rincian 3'!S135</f>
      </c>
      <c r="L158" s="252">
        <f>'rincian 3'!U135</f>
      </c>
      <c r="M158" s="252">
        <f ca="1">K158+L158</f>
      </c>
      <c r="N158" s="252">
        <f>L158</f>
      </c>
      <c r="O158" s="252">
        <f ca="1">J158-M158</f>
      </c>
      <c r="P158" s="78">
        <f>#REF!</f>
      </c>
      <c r="Q158" s="608">
        <f>N158*P158</f>
      </c>
      <c r="R158" s="609"/>
    </row>
    <row r="159" spans="1:18" ht="18" customHeight="1">
      <c r="A159" s="37"/>
      <c r="B159" s="175">
        <f>#REF!</f>
      </c>
      <c r="C159" s="233"/>
      <c r="D159" s="176">
        <f>IF(#REF!&lt;&gt;"",#REF!,IF(#REF!&lt;&gt;"",#REF!,""))</f>
      </c>
      <c r="E159" s="176"/>
      <c r="F159" s="176"/>
      <c r="G159" s="176"/>
      <c r="H159" s="176"/>
      <c r="I159" s="176"/>
      <c r="J159" s="252">
        <f>#REF!</f>
      </c>
      <c r="K159" s="252">
        <f ca="1">'rincian 3'!S136</f>
      </c>
      <c r="L159" s="252">
        <f>'rincian 3'!U136</f>
      </c>
      <c r="M159" s="252">
        <f ca="1">K159+L159</f>
      </c>
      <c r="N159" s="252">
        <f>L159</f>
      </c>
      <c r="O159" s="252">
        <f ca="1">J159-M159</f>
      </c>
      <c r="P159" s="78">
        <f>#REF!</f>
      </c>
      <c r="Q159" s="608">
        <f>N159*P159</f>
      </c>
      <c r="R159" s="609"/>
    </row>
    <row r="160" spans="1:18" ht="18" customHeight="1">
      <c r="A160" s="37"/>
      <c r="B160" s="175">
        <f>#REF!</f>
      </c>
      <c r="C160" s="233"/>
      <c r="D160" s="176">
        <f>IF(#REF!&lt;&gt;"",#REF!,IF(#REF!&lt;&gt;"",#REF!,""))</f>
      </c>
      <c r="E160" s="176"/>
      <c r="F160" s="176"/>
      <c r="G160" s="176"/>
      <c r="H160" s="176"/>
      <c r="I160" s="176"/>
      <c r="J160" s="252">
        <f>#REF!</f>
      </c>
      <c r="K160" s="252">
        <f ca="1">'rincian 3'!S137</f>
      </c>
      <c r="L160" s="252">
        <f>'rincian 3'!U137</f>
      </c>
      <c r="M160" s="252">
        <f ca="1">K160+L160</f>
      </c>
      <c r="N160" s="252">
        <f>L160</f>
      </c>
      <c r="O160" s="252">
        <f ca="1">J160-M160</f>
      </c>
      <c r="P160" s="78">
        <f>#REF!</f>
      </c>
      <c r="Q160" s="608">
        <f>N160*P160</f>
      </c>
      <c r="R160" s="609"/>
    </row>
    <row r="161" spans="1:18" ht="18" customHeight="1">
      <c r="A161" s="37"/>
      <c r="B161" s="406">
        <f>#REF!</f>
      </c>
      <c r="C161" s="407"/>
      <c r="D161" s="408">
        <f>IF(#REF!&lt;&gt;"",#REF!,IF(#REF!&lt;&gt;"",#REF!,""))</f>
      </c>
      <c r="E161" s="408"/>
      <c r="F161" s="408"/>
      <c r="G161" s="408"/>
      <c r="H161" s="408"/>
      <c r="I161" s="408"/>
      <c r="J161" s="409"/>
      <c r="K161" s="409"/>
      <c r="L161" s="409"/>
      <c r="M161" s="409"/>
      <c r="N161" s="409"/>
      <c r="O161" s="409"/>
      <c r="P161" s="410"/>
      <c r="Q161" s="624"/>
      <c r="R161" s="625"/>
    </row>
    <row r="162" spans="1:18" ht="18" customHeight="1">
      <c r="A162" s="37"/>
      <c r="B162" s="404">
        <f>#REF!</f>
      </c>
      <c r="C162" s="233"/>
      <c r="D162" s="405">
        <f>IF(#REF!&lt;&gt;"",#REF!,IF(#REF!&lt;&gt;"",#REF!,""))</f>
      </c>
      <c r="E162" s="405"/>
      <c r="F162" s="405"/>
      <c r="G162" s="405"/>
      <c r="H162" s="405"/>
      <c r="I162" s="405"/>
      <c r="J162" s="252"/>
      <c r="K162" s="252"/>
      <c r="L162" s="252"/>
      <c r="M162" s="252"/>
      <c r="N162" s="252"/>
      <c r="O162" s="252"/>
      <c r="P162" s="78"/>
      <c r="Q162" s="624"/>
      <c r="R162" s="625"/>
    </row>
    <row r="163" spans="1:18" ht="18" customHeight="1">
      <c r="A163" s="37"/>
      <c r="B163" s="175">
        <f>#REF!</f>
      </c>
      <c r="C163" s="233"/>
      <c r="D163" s="176">
        <f>IF(#REF!&lt;&gt;"",#REF!,IF(#REF!&lt;&gt;"",#REF!,""))</f>
      </c>
      <c r="E163" s="176"/>
      <c r="F163" s="176"/>
      <c r="G163" s="176"/>
      <c r="H163" s="176"/>
      <c r="I163" s="176"/>
      <c r="J163" s="252">
        <f>#REF!</f>
      </c>
      <c r="K163" s="252">
        <f ca="1">'rincian 3'!S140</f>
      </c>
      <c r="L163" s="252">
        <f>'rincian 3'!U140</f>
      </c>
      <c r="M163" s="252">
        <f ca="1">K163+L163</f>
      </c>
      <c r="N163" s="252">
        <f>L163</f>
      </c>
      <c r="O163" s="252">
        <f ca="1">J163-M163</f>
      </c>
      <c r="P163" s="78">
        <f>#REF!</f>
      </c>
      <c r="Q163" s="608">
        <f>N163*P163</f>
      </c>
      <c r="R163" s="609"/>
    </row>
    <row r="164" spans="1:18" ht="18" customHeight="1">
      <c r="A164" s="37"/>
      <c r="B164" s="175">
        <f>#REF!</f>
      </c>
      <c r="C164" s="233"/>
      <c r="D164" s="176">
        <f>IF(#REF!&lt;&gt;"",#REF!,IF(#REF!&lt;&gt;"",#REF!,""))</f>
      </c>
      <c r="E164" s="176"/>
      <c r="F164" s="176"/>
      <c r="G164" s="176"/>
      <c r="H164" s="176"/>
      <c r="I164" s="176"/>
      <c r="J164" s="252">
        <f>#REF!</f>
      </c>
      <c r="K164" s="252">
        <f ca="1">'rincian 3'!S141</f>
      </c>
      <c r="L164" s="252">
        <f>'rincian 3'!U141</f>
      </c>
      <c r="M164" s="252">
        <f ca="1">K164+L164</f>
      </c>
      <c r="N164" s="252">
        <f>L164</f>
      </c>
      <c r="O164" s="252">
        <f ca="1">J164-M164</f>
      </c>
      <c r="P164" s="78">
        <f>#REF!</f>
      </c>
      <c r="Q164" s="608">
        <f>N164*P164</f>
      </c>
      <c r="R164" s="609"/>
    </row>
    <row r="165" spans="1:18" ht="18" customHeight="1">
      <c r="A165" s="37"/>
      <c r="B165" s="175">
        <f>#REF!</f>
      </c>
      <c r="C165" s="233"/>
      <c r="D165" s="176">
        <f>IF(#REF!&lt;&gt;"",#REF!,IF(#REF!&lt;&gt;"",#REF!,""))</f>
      </c>
      <c r="E165" s="176"/>
      <c r="F165" s="176"/>
      <c r="G165" s="176"/>
      <c r="H165" s="176"/>
      <c r="I165" s="176"/>
      <c r="J165" s="252">
        <f>#REF!</f>
      </c>
      <c r="K165" s="252">
        <f ca="1">'rincian 3'!S142</f>
      </c>
      <c r="L165" s="252">
        <f>'rincian 3'!U142</f>
      </c>
      <c r="M165" s="252">
        <f ca="1">K165+L165</f>
      </c>
      <c r="N165" s="252">
        <f>L165</f>
      </c>
      <c r="O165" s="252">
        <f ca="1">J165-M165</f>
      </c>
      <c r="P165" s="78">
        <f>#REF!</f>
      </c>
      <c r="Q165" s="608">
        <f>N165*P165</f>
      </c>
      <c r="R165" s="609"/>
    </row>
    <row r="166" spans="1:18" ht="18" customHeight="1">
      <c r="A166" s="37"/>
      <c r="B166" s="175">
        <f>#REF!</f>
      </c>
      <c r="C166" s="233"/>
      <c r="D166" s="176">
        <f>IF(#REF!&lt;&gt;"",#REF!,IF(#REF!&lt;&gt;"",#REF!,""))</f>
      </c>
      <c r="E166" s="176"/>
      <c r="F166" s="176"/>
      <c r="G166" s="176"/>
      <c r="H166" s="176"/>
      <c r="I166" s="176"/>
      <c r="J166" s="252">
        <f>#REF!</f>
      </c>
      <c r="K166" s="252">
        <f ca="1">'rincian 3'!S143</f>
      </c>
      <c r="L166" s="252">
        <f>'rincian 3'!U143</f>
      </c>
      <c r="M166" s="252">
        <f ca="1">K166+L166</f>
      </c>
      <c r="N166" s="252">
        <f>L166</f>
      </c>
      <c r="O166" s="252">
        <f ca="1">J166-M166</f>
      </c>
      <c r="P166" s="78">
        <f>#REF!</f>
      </c>
      <c r="Q166" s="608">
        <f>N166*P166</f>
      </c>
      <c r="R166" s="609"/>
    </row>
    <row r="167" spans="1:18" ht="18" customHeight="1">
      <c r="A167" s="37"/>
      <c r="B167" s="175">
        <f>#REF!</f>
      </c>
      <c r="C167" s="233"/>
      <c r="D167" s="176">
        <f>IF(#REF!&lt;&gt;"",#REF!,IF(#REF!&lt;&gt;"",#REF!,""))</f>
      </c>
      <c r="E167" s="176"/>
      <c r="F167" s="176"/>
      <c r="G167" s="176"/>
      <c r="H167" s="176"/>
      <c r="I167" s="176"/>
      <c r="J167" s="252"/>
      <c r="K167" s="252"/>
      <c r="L167" s="252"/>
      <c r="M167" s="252"/>
      <c r="N167" s="252"/>
      <c r="O167" s="252"/>
      <c r="P167" s="78"/>
      <c r="Q167" s="624"/>
      <c r="R167" s="625"/>
    </row>
    <row r="168" spans="1:18" ht="18" customHeight="1">
      <c r="A168" s="37"/>
      <c r="B168" s="175">
        <f>#REF!</f>
      </c>
      <c r="C168" s="233"/>
      <c r="D168" s="176">
        <f>IF(#REF!&lt;&gt;"",#REF!,IF(#REF!&lt;&gt;"",#REF!,""))</f>
      </c>
      <c r="E168" s="176"/>
      <c r="F168" s="176"/>
      <c r="G168" s="176"/>
      <c r="H168" s="176"/>
      <c r="I168" s="176"/>
      <c r="J168" s="252"/>
      <c r="K168" s="252"/>
      <c r="L168" s="252"/>
      <c r="M168" s="252"/>
      <c r="N168" s="252"/>
      <c r="O168" s="252"/>
      <c r="P168" s="78"/>
      <c r="Q168" s="624"/>
      <c r="R168" s="625"/>
    </row>
    <row r="169" spans="1:18" ht="36" customHeight="1">
      <c r="A169" s="37"/>
      <c r="B169" s="175">
        <f>#REF!</f>
      </c>
      <c r="C169" s="233"/>
      <c r="D169" s="653">
        <f>IF(#REF!&lt;&gt;"",#REF!,IF(#REF!&lt;&gt;"",#REF!,""))</f>
      </c>
      <c r="E169" s="653"/>
      <c r="F169" s="653"/>
      <c r="G169" s="653"/>
      <c r="H169" s="653"/>
      <c r="I169" s="654"/>
      <c r="J169" s="252"/>
      <c r="K169" s="252"/>
      <c r="L169" s="252"/>
      <c r="M169" s="252"/>
      <c r="N169" s="252"/>
      <c r="O169" s="252"/>
      <c r="P169" s="78"/>
      <c r="Q169" s="624"/>
      <c r="R169" s="625"/>
    </row>
    <row r="170" spans="1:18" ht="18" customHeight="1">
      <c r="A170" s="37"/>
      <c r="B170" s="175">
        <f>#REF!</f>
      </c>
      <c r="C170" s="233"/>
      <c r="D170" s="176">
        <f>IF(#REF!&lt;&gt;"",#REF!,IF(#REF!&lt;&gt;"",#REF!,""))</f>
      </c>
      <c r="E170" s="176"/>
      <c r="F170" s="176"/>
      <c r="G170" s="176"/>
      <c r="H170" s="176"/>
      <c r="I170" s="176"/>
      <c r="J170" s="252">
        <f>#REF!</f>
      </c>
      <c r="K170" s="252">
        <f ca="1">'rincian 3'!S147</f>
      </c>
      <c r="L170" s="252">
        <f>'rincian 3'!U147</f>
      </c>
      <c r="M170" s="252">
        <f ca="1">K170+L170</f>
      </c>
      <c r="N170" s="252">
        <f>L170</f>
      </c>
      <c r="O170" s="252">
        <f ca="1">J170-M170</f>
      </c>
      <c r="P170" s="78">
        <f>#REF!</f>
      </c>
      <c r="Q170" s="608">
        <f>N170*P170</f>
      </c>
      <c r="R170" s="609"/>
    </row>
    <row r="171" spans="1:18" ht="18" customHeight="1">
      <c r="A171" s="37"/>
      <c r="B171" s="175">
        <f>#REF!</f>
      </c>
      <c r="C171" s="233"/>
      <c r="D171" s="176">
        <f>IF(#REF!&lt;&gt;"",#REF!,IF(#REF!&lt;&gt;"",#REF!,""))</f>
      </c>
      <c r="E171" s="176"/>
      <c r="F171" s="176"/>
      <c r="G171" s="176"/>
      <c r="H171" s="176"/>
      <c r="I171" s="176"/>
      <c r="J171" s="252"/>
      <c r="K171" s="252"/>
      <c r="L171" s="252"/>
      <c r="M171" s="252"/>
      <c r="N171" s="252"/>
      <c r="O171" s="252"/>
      <c r="P171" s="78"/>
      <c r="Q171" s="624"/>
      <c r="R171" s="625"/>
    </row>
    <row r="172" spans="1:18" ht="18" customHeight="1">
      <c r="A172" s="37"/>
      <c r="B172" s="175">
        <f>#REF!</f>
      </c>
      <c r="C172" s="233"/>
      <c r="D172" s="176">
        <f>IF(#REF!&lt;&gt;"",#REF!,IF(#REF!&lt;&gt;"",#REF!,""))</f>
      </c>
      <c r="E172" s="176"/>
      <c r="F172" s="176"/>
      <c r="G172" s="176"/>
      <c r="H172" s="176"/>
      <c r="I172" s="176"/>
      <c r="J172" s="252"/>
      <c r="K172" s="252"/>
      <c r="L172" s="252"/>
      <c r="M172" s="252"/>
      <c r="N172" s="252"/>
      <c r="O172" s="252"/>
      <c r="P172" s="78"/>
      <c r="Q172" s="624"/>
      <c r="R172" s="625"/>
    </row>
    <row r="173" spans="1:18" ht="18" customHeight="1">
      <c r="A173" s="37"/>
      <c r="B173" s="175">
        <f>#REF!</f>
      </c>
      <c r="C173" s="233"/>
      <c r="D173" s="176">
        <f>IF(#REF!&lt;&gt;"",#REF!,IF(#REF!&lt;&gt;"",#REF!,""))</f>
      </c>
      <c r="E173" s="176"/>
      <c r="F173" s="176"/>
      <c r="G173" s="176"/>
      <c r="H173" s="176"/>
      <c r="I173" s="176"/>
      <c r="J173" s="252"/>
      <c r="K173" s="252"/>
      <c r="L173" s="252"/>
      <c r="M173" s="252"/>
      <c r="N173" s="252"/>
      <c r="O173" s="252"/>
      <c r="P173" s="78"/>
      <c r="Q173" s="624"/>
      <c r="R173" s="625"/>
    </row>
    <row r="174" spans="1:18" ht="18" customHeight="1">
      <c r="A174" s="37"/>
      <c r="B174" s="175">
        <f>#REF!</f>
      </c>
      <c r="C174" s="233"/>
      <c r="D174" s="176">
        <f>IF(#REF!&lt;&gt;"",#REF!,IF(#REF!&lt;&gt;"",#REF!,""))</f>
      </c>
      <c r="E174" s="176"/>
      <c r="F174" s="176"/>
      <c r="G174" s="176"/>
      <c r="H174" s="176"/>
      <c r="I174" s="176"/>
      <c r="J174" s="252"/>
      <c r="K174" s="252"/>
      <c r="L174" s="252"/>
      <c r="M174" s="252"/>
      <c r="N174" s="252"/>
      <c r="O174" s="252"/>
      <c r="P174" s="78"/>
      <c r="Q174" s="624"/>
      <c r="R174" s="625"/>
    </row>
    <row r="175" spans="1:18" ht="18" customHeight="1">
      <c r="A175" s="37"/>
      <c r="B175" s="175">
        <f>#REF!</f>
      </c>
      <c r="C175" s="233"/>
      <c r="D175" s="176">
        <f>IF(#REF!&lt;&gt;"",#REF!,IF(#REF!&lt;&gt;"",#REF!,""))</f>
      </c>
      <c r="E175" s="176"/>
      <c r="F175" s="176"/>
      <c r="G175" s="176"/>
      <c r="H175" s="176"/>
      <c r="I175" s="176"/>
      <c r="J175" s="252">
        <f>#REF!</f>
      </c>
      <c r="K175" s="252">
        <f ca="1">'rincian 3'!S152</f>
      </c>
      <c r="L175" s="252">
        <f>'rincian 3'!U152</f>
      </c>
      <c r="M175" s="252">
        <f ca="1">K175+L175</f>
      </c>
      <c r="N175" s="252">
        <f>L175</f>
      </c>
      <c r="O175" s="252">
        <f ca="1">J175-M175</f>
      </c>
      <c r="P175" s="78">
        <f>#REF!</f>
      </c>
      <c r="Q175" s="608">
        <f>N175*P175</f>
      </c>
      <c r="R175" s="609"/>
    </row>
    <row r="176" spans="1:18" ht="18" customHeight="1">
      <c r="A176" s="37"/>
      <c r="B176" s="404">
        <f>#REF!</f>
      </c>
      <c r="C176" s="233"/>
      <c r="D176" s="405">
        <f>IF(#REF!&lt;&gt;"",#REF!,IF(#REF!&lt;&gt;"",#REF!,""))</f>
      </c>
      <c r="E176" s="405"/>
      <c r="F176" s="405"/>
      <c r="G176" s="405"/>
      <c r="H176" s="405"/>
      <c r="I176" s="405"/>
      <c r="J176" s="252"/>
      <c r="K176" s="252"/>
      <c r="L176" s="252"/>
      <c r="M176" s="252"/>
      <c r="N176" s="252"/>
      <c r="O176" s="252"/>
      <c r="P176" s="78"/>
      <c r="Q176" s="624"/>
      <c r="R176" s="625"/>
    </row>
    <row r="177" spans="1:18" ht="18" customHeight="1">
      <c r="A177" s="37"/>
      <c r="B177" s="175">
        <f>#REF!</f>
      </c>
      <c r="C177" s="233"/>
      <c r="D177" s="176">
        <f>IF(#REF!&lt;&gt;"",#REF!,IF(#REF!&lt;&gt;"",#REF!,""))</f>
      </c>
      <c r="E177" s="176"/>
      <c r="F177" s="176"/>
      <c r="G177" s="176"/>
      <c r="H177" s="176"/>
      <c r="I177" s="176"/>
      <c r="J177" s="252">
        <f>#REF!</f>
      </c>
      <c r="K177" s="252">
        <f ca="1">'rincian 3'!S154</f>
      </c>
      <c r="L177" s="252">
        <f>'rincian 3'!U154</f>
      </c>
      <c r="M177" s="252">
        <f ca="1">K177+L177</f>
      </c>
      <c r="N177" s="252">
        <f>L177</f>
      </c>
      <c r="O177" s="252">
        <f ca="1">J177-M177</f>
      </c>
      <c r="P177" s="78">
        <f>#REF!</f>
      </c>
      <c r="Q177" s="608">
        <f>N177*P177</f>
      </c>
      <c r="R177" s="609"/>
    </row>
    <row r="178" spans="1:18" ht="18" customHeight="1">
      <c r="A178" s="37"/>
      <c r="B178" s="175">
        <f>#REF!</f>
      </c>
      <c r="C178" s="233"/>
      <c r="D178" s="176">
        <f>IF(#REF!&lt;&gt;"",#REF!,IF(#REF!&lt;&gt;"",#REF!,""))</f>
      </c>
      <c r="E178" s="176"/>
      <c r="F178" s="176"/>
      <c r="G178" s="176"/>
      <c r="H178" s="176"/>
      <c r="I178" s="176"/>
      <c r="J178" s="252">
        <f>#REF!</f>
      </c>
      <c r="K178" s="252">
        <f ca="1">'rincian 3'!S155</f>
      </c>
      <c r="L178" s="252">
        <f>'rincian 3'!U155</f>
      </c>
      <c r="M178" s="252">
        <f ca="1">K178+L178</f>
      </c>
      <c r="N178" s="252">
        <f>L178</f>
      </c>
      <c r="O178" s="252">
        <f ca="1">J178-M178</f>
      </c>
      <c r="P178" s="78">
        <f>#REF!</f>
      </c>
      <c r="Q178" s="608">
        <f>N178*P178</f>
      </c>
      <c r="R178" s="609"/>
    </row>
    <row r="179" spans="1:18" ht="18" customHeight="1">
      <c r="A179" s="37"/>
      <c r="B179" s="175">
        <f>#REF!</f>
      </c>
      <c r="C179" s="233"/>
      <c r="D179" s="176">
        <f>IF(#REF!&lt;&gt;"",#REF!,IF(#REF!&lt;&gt;"",#REF!,""))</f>
      </c>
      <c r="E179" s="176"/>
      <c r="F179" s="176"/>
      <c r="G179" s="176"/>
      <c r="H179" s="176"/>
      <c r="I179" s="176"/>
      <c r="J179" s="252"/>
      <c r="K179" s="252"/>
      <c r="L179" s="252"/>
      <c r="M179" s="252"/>
      <c r="N179" s="252"/>
      <c r="O179" s="252"/>
      <c r="P179" s="78"/>
      <c r="Q179" s="624"/>
      <c r="R179" s="625"/>
    </row>
    <row r="180" spans="1:18" ht="18" customHeight="1">
      <c r="A180" s="37"/>
      <c r="B180" s="175">
        <f>#REF!</f>
      </c>
      <c r="C180" s="233"/>
      <c r="D180" s="176">
        <f>IF(#REF!&lt;&gt;"",#REF!,IF(#REF!&lt;&gt;"",#REF!,""))</f>
      </c>
      <c r="E180" s="176"/>
      <c r="F180" s="176"/>
      <c r="G180" s="176"/>
      <c r="H180" s="176"/>
      <c r="I180" s="176"/>
      <c r="J180" s="252"/>
      <c r="K180" s="252"/>
      <c r="L180" s="252"/>
      <c r="M180" s="252"/>
      <c r="N180" s="252"/>
      <c r="O180" s="252"/>
      <c r="P180" s="78"/>
      <c r="Q180" s="624"/>
      <c r="R180" s="625"/>
    </row>
    <row r="181" spans="1:18" ht="18" customHeight="1">
      <c r="A181" s="37"/>
      <c r="B181" s="175">
        <f>#REF!</f>
      </c>
      <c r="C181" s="233"/>
      <c r="D181" s="176">
        <f>IF(#REF!&lt;&gt;"",#REF!,IF(#REF!&lt;&gt;"",#REF!,""))</f>
      </c>
      <c r="E181" s="176"/>
      <c r="F181" s="176"/>
      <c r="G181" s="176"/>
      <c r="H181" s="176"/>
      <c r="I181" s="176"/>
      <c r="J181" s="252"/>
      <c r="K181" s="252"/>
      <c r="L181" s="252"/>
      <c r="M181" s="252"/>
      <c r="N181" s="252"/>
      <c r="O181" s="252"/>
      <c r="P181" s="78"/>
      <c r="Q181" s="624"/>
      <c r="R181" s="625"/>
    </row>
    <row r="182" spans="1:18" ht="18" customHeight="1">
      <c r="A182" s="37"/>
      <c r="B182" s="175">
        <f>#REF!</f>
      </c>
      <c r="C182" s="233"/>
      <c r="D182" s="176">
        <f>IF(#REF!&lt;&gt;"",#REF!,IF(#REF!&lt;&gt;"",#REF!,""))</f>
      </c>
      <c r="E182" s="176"/>
      <c r="F182" s="176"/>
      <c r="G182" s="176"/>
      <c r="H182" s="176"/>
      <c r="I182" s="176"/>
      <c r="J182" s="252">
        <f>#REF!</f>
      </c>
      <c r="K182" s="252">
        <f ca="1">'rincian 3'!S159</f>
      </c>
      <c r="L182" s="252">
        <f>'rincian 3'!U159</f>
      </c>
      <c r="M182" s="252">
        <f ca="1">K182+L182</f>
      </c>
      <c r="N182" s="252">
        <f>L182</f>
      </c>
      <c r="O182" s="252">
        <f ca="1">J182-M182</f>
      </c>
      <c r="P182" s="78">
        <f>#REF!</f>
      </c>
      <c r="Q182" s="608">
        <f>N182*P182</f>
      </c>
      <c r="R182" s="609"/>
    </row>
    <row r="183" spans="1:18" ht="18" customHeight="1">
      <c r="A183" s="37"/>
      <c r="B183" s="175">
        <f>#REF!</f>
      </c>
      <c r="C183" s="233"/>
      <c r="D183" s="176">
        <f>IF(#REF!&lt;&gt;"",#REF!,IF(#REF!&lt;&gt;"",#REF!,""))</f>
      </c>
      <c r="E183" s="176"/>
      <c r="F183" s="176"/>
      <c r="G183" s="176"/>
      <c r="H183" s="176"/>
      <c r="I183" s="176"/>
      <c r="J183" s="252"/>
      <c r="K183" s="252"/>
      <c r="L183" s="252"/>
      <c r="M183" s="252"/>
      <c r="N183" s="252"/>
      <c r="O183" s="252"/>
      <c r="P183" s="78"/>
      <c r="Q183" s="624"/>
      <c r="R183" s="625"/>
    </row>
    <row r="184" spans="1:18" ht="18" customHeight="1">
      <c r="A184" s="37"/>
      <c r="B184" s="175">
        <f>#REF!</f>
      </c>
      <c r="C184" s="233"/>
      <c r="D184" s="176">
        <f>IF(#REF!&lt;&gt;"",#REF!,IF(#REF!&lt;&gt;"",#REF!,""))</f>
      </c>
      <c r="E184" s="176"/>
      <c r="F184" s="176"/>
      <c r="G184" s="176"/>
      <c r="H184" s="176"/>
      <c r="I184" s="176"/>
      <c r="J184" s="252"/>
      <c r="K184" s="252"/>
      <c r="L184" s="252"/>
      <c r="M184" s="252"/>
      <c r="N184" s="252"/>
      <c r="O184" s="252"/>
      <c r="P184" s="78"/>
      <c r="Q184" s="624"/>
      <c r="R184" s="625"/>
    </row>
    <row r="185" spans="1:18" ht="18" customHeight="1">
      <c r="A185" s="37"/>
      <c r="B185" s="175">
        <f>#REF!</f>
      </c>
      <c r="C185" s="233"/>
      <c r="D185" s="176">
        <f>IF(#REF!&lt;&gt;"",#REF!,IF(#REF!&lt;&gt;"",#REF!,""))</f>
      </c>
      <c r="E185" s="176"/>
      <c r="F185" s="176"/>
      <c r="G185" s="176"/>
      <c r="H185" s="176"/>
      <c r="I185" s="176"/>
      <c r="J185" s="252">
        <f>#REF!</f>
      </c>
      <c r="K185" s="252">
        <f ca="1">'rincian 3'!S162</f>
      </c>
      <c r="L185" s="252">
        <f>'rincian 3'!U162</f>
      </c>
      <c r="M185" s="252">
        <f ca="1">K185+L185</f>
      </c>
      <c r="N185" s="252">
        <f>L185</f>
      </c>
      <c r="O185" s="252">
        <f ca="1">J185-M185</f>
      </c>
      <c r="P185" s="78">
        <f>#REF!</f>
      </c>
      <c r="Q185" s="608">
        <f>N185*P185</f>
      </c>
      <c r="R185" s="609"/>
    </row>
    <row r="186" spans="1:18" ht="18" customHeight="1">
      <c r="A186" s="37"/>
      <c r="B186" s="175">
        <f>#REF!</f>
      </c>
      <c r="C186" s="233"/>
      <c r="D186" s="176">
        <f>IF(#REF!&lt;&gt;"",#REF!,IF(#REF!&lt;&gt;"",#REF!,""))</f>
      </c>
      <c r="E186" s="176"/>
      <c r="F186" s="176"/>
      <c r="G186" s="176"/>
      <c r="H186" s="176"/>
      <c r="I186" s="176"/>
      <c r="J186" s="252">
        <f>#REF!</f>
      </c>
      <c r="K186" s="252">
        <f ca="1">'rincian 3'!S163</f>
      </c>
      <c r="L186" s="252">
        <f>'rincian 3'!U163</f>
      </c>
      <c r="M186" s="252">
        <f ca="1">K186+L186</f>
      </c>
      <c r="N186" s="252">
        <f>L186</f>
      </c>
      <c r="O186" s="252">
        <f ca="1">J186-M186</f>
      </c>
      <c r="P186" s="78">
        <f>#REF!</f>
      </c>
      <c r="Q186" s="608">
        <f>N186*P186</f>
      </c>
      <c r="R186" s="609"/>
    </row>
    <row r="187" spans="1:18" ht="18" customHeight="1">
      <c r="A187" s="37"/>
      <c r="B187" s="175">
        <f>#REF!</f>
      </c>
      <c r="C187" s="233"/>
      <c r="D187" s="176">
        <f>IF(#REF!&lt;&gt;"",#REF!,IF(#REF!&lt;&gt;"",#REF!,""))</f>
      </c>
      <c r="E187" s="176"/>
      <c r="F187" s="176"/>
      <c r="G187" s="176"/>
      <c r="H187" s="176"/>
      <c r="I187" s="176"/>
      <c r="J187" s="252">
        <f>#REF!</f>
      </c>
      <c r="K187" s="252">
        <f ca="1">'rincian 3'!S164</f>
      </c>
      <c r="L187" s="252">
        <f>'rincian 3'!U164</f>
      </c>
      <c r="M187" s="252">
        <f ca="1">K187+L187</f>
      </c>
      <c r="N187" s="252">
        <f>L187</f>
      </c>
      <c r="O187" s="252">
        <f ca="1">J187-M187</f>
      </c>
      <c r="P187" s="78">
        <f>#REF!</f>
      </c>
      <c r="Q187" s="608">
        <f>N187*P187</f>
      </c>
      <c r="R187" s="609"/>
    </row>
    <row r="188" spans="1:18">
      <c r="B188" s="178"/>
      <c r="C188" s="177"/>
      <c r="D188" s="176"/>
      <c r="E188" s="176"/>
      <c r="F188" s="176"/>
      <c r="G188" s="176"/>
      <c r="H188" s="176"/>
      <c r="I188" s="176"/>
      <c r="J188" s="78"/>
      <c r="K188" s="78"/>
      <c r="L188" s="78"/>
      <c r="M188" s="78"/>
      <c r="N188" s="78"/>
      <c r="O188" s="78"/>
      <c r="P188" s="78"/>
      <c r="Q188" s="626"/>
      <c r="R188" s="627"/>
    </row>
    <row r="189" spans="1:18">
      <c r="B189" s="179"/>
      <c r="C189" s="65"/>
      <c r="D189" s="180" t="s">
        <v>123</v>
      </c>
      <c r="E189" s="180"/>
      <c r="F189" s="180"/>
      <c r="G189" s="180"/>
      <c r="H189" s="180"/>
      <c r="I189" s="180"/>
      <c r="J189" s="65"/>
      <c r="K189" s="65"/>
      <c r="L189" s="65"/>
      <c r="M189" s="65"/>
      <c r="N189" s="65"/>
      <c r="O189" s="65"/>
      <c r="P189" s="65"/>
      <c r="Q189" s="628">
        <f>SUM(Q35:Q187)</f>
      </c>
      <c r="R189" s="629"/>
    </row>
    <row r="190" spans="1:18" ht="7.5" customHeight="1">
      <c r="B190" s="181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2"/>
    </row>
    <row r="191" spans="1:18">
      <c r="B191" s="183"/>
      <c r="C191" s="184" t="s">
        <v>124</v>
      </c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2"/>
    </row>
    <row r="192" spans="1:18" ht="17.399999999999999">
      <c r="B192" s="183"/>
      <c r="C192" s="184">
        <v>1</v>
      </c>
      <c r="D192" s="184" t="s">
        <v>125</v>
      </c>
      <c r="E192" s="184"/>
      <c r="F192" s="184"/>
      <c r="G192" s="184"/>
      <c r="H192" s="184"/>
      <c r="I192" s="184"/>
      <c r="J192" s="184" t="s">
        <v>2</v>
      </c>
      <c r="K192" s="185">
        <f ca="1">'rincian 3'!X166</f>
      </c>
      <c r="L192" s="184"/>
      <c r="M192" s="186" t="s">
        <v>126</v>
      </c>
      <c r="N192" s="612">
        <f ca="1">K192*$I$24</f>
      </c>
      <c r="O192" s="612"/>
      <c r="P192" s="187" t="s">
        <v>127</v>
      </c>
      <c r="Q192" s="184"/>
      <c r="R192" s="182"/>
    </row>
    <row r="193" spans="2:21" ht="17.399999999999999">
      <c r="B193" s="183"/>
      <c r="C193" s="184">
        <v>2</v>
      </c>
      <c r="D193" s="184" t="s">
        <v>128</v>
      </c>
      <c r="E193" s="184"/>
      <c r="F193" s="184"/>
      <c r="G193" s="184"/>
      <c r="H193" s="184"/>
      <c r="I193" s="184"/>
      <c r="J193" s="184" t="s">
        <v>2</v>
      </c>
      <c r="K193" s="185">
        <f ca="1">'rincian 3'!T166</f>
      </c>
      <c r="L193" s="184"/>
      <c r="M193" s="186" t="s">
        <v>126</v>
      </c>
      <c r="N193" s="612">
        <f ca="1">K193*$I$24</f>
      </c>
      <c r="O193" s="612"/>
      <c r="P193" s="187" t="s">
        <v>129</v>
      </c>
      <c r="Q193" s="184"/>
      <c r="R193" s="182"/>
    </row>
    <row r="194" spans="2:21">
      <c r="B194" s="183"/>
      <c r="C194" s="184">
        <v>3</v>
      </c>
      <c r="D194" s="184" t="s">
        <v>130</v>
      </c>
      <c r="E194" s="184"/>
      <c r="F194" s="184"/>
      <c r="G194" s="184"/>
      <c r="H194" s="184"/>
      <c r="I194" s="184"/>
      <c r="J194" s="184" t="s">
        <v>2</v>
      </c>
      <c r="K194" s="185">
        <f t="shared" ref="K194:K197" ca="1" si="16">N194/$I$24</f>
      </c>
      <c r="L194" s="184"/>
      <c r="M194" s="188" t="s">
        <v>126</v>
      </c>
      <c r="N194" s="610">
        <f ca="1">N192-N193</f>
      </c>
      <c r="O194" s="610"/>
      <c r="P194" s="184"/>
      <c r="Q194" s="184"/>
      <c r="R194" s="182"/>
    </row>
    <row r="195" spans="2:21">
      <c r="B195" s="183"/>
      <c r="C195" s="184">
        <v>4</v>
      </c>
      <c r="D195" s="184" t="s">
        <v>131</v>
      </c>
      <c r="E195" s="184"/>
      <c r="F195" s="184"/>
      <c r="G195" s="184"/>
      <c r="H195" s="184"/>
      <c r="I195" s="184"/>
      <c r="J195" s="184"/>
      <c r="K195" s="223">
        <f ca="1">K192*100</f>
      </c>
      <c r="L195" s="184"/>
      <c r="M195" s="184"/>
      <c r="N195" s="184"/>
      <c r="O195" s="184"/>
      <c r="P195" s="184"/>
      <c r="Q195" s="184"/>
      <c r="R195" s="182"/>
    </row>
    <row r="196" spans="2:21" ht="17.399999999999999">
      <c r="B196" s="183"/>
      <c r="C196" s="184"/>
      <c r="D196" s="184" t="s">
        <v>132</v>
      </c>
      <c r="E196" s="184"/>
      <c r="F196" s="184"/>
      <c r="G196" s="184"/>
      <c r="H196" s="184"/>
      <c r="I196" s="184"/>
      <c r="J196" s="184" t="s">
        <v>2</v>
      </c>
      <c r="K196" s="185">
        <f t="shared" si="16"/>
      </c>
      <c r="L196" s="184"/>
      <c r="M196" s="186" t="s">
        <v>126</v>
      </c>
      <c r="N196" s="611">
        <v>0</v>
      </c>
      <c r="O196" s="611"/>
      <c r="P196" s="187" t="s">
        <v>129</v>
      </c>
      <c r="Q196" s="184"/>
      <c r="R196" s="182"/>
    </row>
    <row r="197" spans="2:21" ht="17.399999999999999">
      <c r="B197" s="183"/>
      <c r="C197" s="184"/>
      <c r="D197" s="184" t="s">
        <v>136</v>
      </c>
      <c r="E197" s="184"/>
      <c r="F197" s="184"/>
      <c r="G197" s="184"/>
      <c r="H197" s="184"/>
      <c r="I197" s="184"/>
      <c r="J197" s="184" t="s">
        <v>2</v>
      </c>
      <c r="K197" s="185">
        <f t="shared" si="16"/>
      </c>
      <c r="L197" s="184"/>
      <c r="M197" s="186" t="s">
        <v>126</v>
      </c>
      <c r="N197" s="613">
        <v>0</v>
      </c>
      <c r="O197" s="613"/>
      <c r="P197" s="187" t="s">
        <v>129</v>
      </c>
      <c r="Q197" s="184"/>
      <c r="R197" s="182"/>
    </row>
    <row r="198" spans="2:21" ht="15.6" thickBot="1">
      <c r="B198" s="183"/>
      <c r="C198" s="184">
        <v>5</v>
      </c>
      <c r="D198" s="184" t="s">
        <v>134</v>
      </c>
      <c r="E198" s="184"/>
      <c r="F198" s="184"/>
      <c r="G198" s="184"/>
      <c r="H198" s="184"/>
      <c r="I198" s="184"/>
      <c r="J198" s="184" t="s">
        <v>2</v>
      </c>
      <c r="K198" s="184"/>
      <c r="L198" s="184"/>
      <c r="M198" s="188" t="s">
        <v>126</v>
      </c>
      <c r="N198" s="607">
        <f ca="1">N194-N196-N197</f>
      </c>
      <c r="O198" s="607"/>
      <c r="P198" s="184"/>
      <c r="Q198" s="184"/>
      <c r="R198" s="182"/>
    </row>
    <row r="199" spans="2:21" ht="15.6" thickTop="1">
      <c r="B199" s="183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9"/>
      <c r="N199" s="189"/>
      <c r="O199" s="189"/>
      <c r="P199" s="184"/>
      <c r="Q199" s="184"/>
      <c r="R199" s="182"/>
    </row>
    <row r="200" spans="2:21">
      <c r="B200" s="183"/>
      <c r="C200" s="184" t="s">
        <v>135</v>
      </c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2"/>
    </row>
    <row r="201" spans="2:21">
      <c r="B201" s="183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2"/>
    </row>
    <row r="202" spans="2:21">
      <c r="B202" s="183"/>
      <c r="D202" s="634" t="s">
        <v>39</v>
      </c>
      <c r="E202" s="634"/>
      <c r="F202" s="634"/>
      <c r="G202" s="634"/>
      <c r="H202" s="634"/>
      <c r="K202" s="184"/>
      <c r="L202" s="184"/>
      <c r="M202" s="184"/>
      <c r="N202" s="640" t="s">
        <v>40</v>
      </c>
      <c r="O202" s="640"/>
      <c r="P202" s="640"/>
      <c r="Q202" s="640"/>
      <c r="R202" s="182"/>
    </row>
    <row r="203" spans="2:21">
      <c r="B203" s="183"/>
      <c r="D203" s="634">
        <f>UPPER(DATA!$B$24)</f>
      </c>
      <c r="E203" s="634"/>
      <c r="F203" s="634"/>
      <c r="G203" s="634"/>
      <c r="H203" s="634"/>
      <c r="I203" s="184"/>
      <c r="M203" s="184"/>
      <c r="N203" s="640">
        <f>UPPER(DATA!$B$17)</f>
      </c>
      <c r="O203" s="640"/>
      <c r="P203" s="640"/>
      <c r="Q203" s="640"/>
      <c r="R203" s="182"/>
      <c r="U203" s="253"/>
    </row>
    <row r="204" spans="2:21">
      <c r="B204" s="183"/>
      <c r="C204" s="79"/>
      <c r="D204" s="79"/>
      <c r="E204" s="184"/>
      <c r="F204" s="184"/>
      <c r="G204" s="184"/>
      <c r="H204" s="184"/>
      <c r="I204" s="184"/>
      <c r="J204" s="184"/>
      <c r="K204" s="184"/>
      <c r="L204" s="184"/>
      <c r="M204" s="184"/>
      <c r="N204" s="640"/>
      <c r="O204" s="640"/>
      <c r="P204" s="640"/>
      <c r="Q204" s="640"/>
      <c r="R204" s="182"/>
    </row>
    <row r="205" spans="2:21">
      <c r="B205" s="183"/>
      <c r="C205" s="79"/>
      <c r="D205" s="79"/>
      <c r="E205" s="184"/>
      <c r="F205" s="184"/>
      <c r="G205" s="184"/>
      <c r="H205" s="184"/>
      <c r="I205" s="184"/>
      <c r="J205" s="184"/>
      <c r="K205" s="184"/>
      <c r="L205" s="184"/>
      <c r="M205" s="184"/>
      <c r="N205" s="224"/>
      <c r="O205" s="224"/>
      <c r="P205" s="224"/>
      <c r="Q205" s="224"/>
      <c r="R205" s="182"/>
    </row>
    <row r="206" spans="2:21">
      <c r="B206" s="183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234"/>
      <c r="O206" s="234"/>
      <c r="P206" s="234"/>
      <c r="Q206" s="234"/>
      <c r="R206" s="182"/>
    </row>
    <row r="207" spans="2:21">
      <c r="B207" s="183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234"/>
      <c r="O207" s="234"/>
      <c r="Q207" s="234"/>
      <c r="R207" s="182"/>
    </row>
    <row r="208" spans="2:21">
      <c r="B208" s="183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234"/>
      <c r="O208" s="234"/>
      <c r="P208" s="234"/>
      <c r="Q208" s="234"/>
      <c r="R208" s="182"/>
    </row>
    <row r="209" spans="2:18">
      <c r="B209" s="183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234"/>
      <c r="O209" s="234"/>
      <c r="P209" s="234"/>
      <c r="Q209" s="234"/>
      <c r="R209" s="182"/>
    </row>
    <row r="210" spans="2:18">
      <c r="B210" s="183"/>
      <c r="D210" s="636">
        <f>DATA!$B$22</f>
      </c>
      <c r="E210" s="636"/>
      <c r="F210" s="636"/>
      <c r="G210" s="636"/>
      <c r="H210" s="636"/>
      <c r="I210" s="190"/>
      <c r="L210" s="190"/>
      <c r="M210" s="190"/>
      <c r="N210" s="641">
        <f>D14</f>
      </c>
      <c r="O210" s="641"/>
      <c r="P210" s="641"/>
      <c r="Q210" s="641"/>
      <c r="R210" s="182"/>
    </row>
    <row r="211" spans="2:18">
      <c r="B211" s="183"/>
      <c r="D211" s="634">
        <f>DATA!$B$23</f>
      </c>
      <c r="E211" s="634"/>
      <c r="F211" s="634"/>
      <c r="G211" s="634"/>
      <c r="H211" s="634"/>
      <c r="I211" s="184"/>
      <c r="J211" s="184"/>
      <c r="K211" s="184"/>
      <c r="L211" s="190"/>
      <c r="M211" s="190"/>
      <c r="N211" s="640">
        <f>DATA!$B$16</f>
      </c>
      <c r="O211" s="640"/>
      <c r="P211" s="640"/>
      <c r="Q211" s="640"/>
      <c r="R211" s="182"/>
    </row>
    <row r="212" spans="2:18" ht="15.6" thickBot="1">
      <c r="B212" s="191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3"/>
    </row>
    <row r="213" spans="2:18" ht="15.6" thickTop="1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</row>
    <row r="214" spans="2:18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spans="2:18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spans="2:18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spans="2:18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spans="2:18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spans="2:18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spans="2:18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spans="2:18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spans="2:18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spans="2:18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spans="2:18"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</row>
    <row r="225" spans="2:18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</row>
    <row r="226" spans="2:18"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</row>
    <row r="227" spans="2:18"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</row>
    <row r="228" spans="2:18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</row>
    <row r="229" spans="2:18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</row>
    <row r="230" spans="2:18"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</row>
    <row r="231" spans="2:18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</row>
    <row r="232" spans="2:18"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</row>
    <row r="233" spans="2:18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</row>
    <row r="234" spans="2:18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</row>
    <row r="235" spans="2:18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</row>
    <row r="236" spans="2:18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</row>
    <row r="237" spans="2:18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</row>
    <row r="238" spans="2:18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</row>
    <row r="239" spans="2:18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</row>
    <row r="240" spans="2:18"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</row>
    <row r="241" spans="2:18"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</row>
    <row r="242" spans="2:18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</row>
    <row r="243" spans="2:18"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</row>
    <row r="244" spans="2:18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</row>
    <row r="245" spans="2:18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</row>
    <row r="246" spans="2:18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</row>
    <row r="247" spans="2:18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</row>
    <row r="248" spans="2:18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</row>
    <row r="249" spans="2:18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</row>
    <row r="250" spans="2:18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</row>
    <row r="251" spans="2:18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</row>
    <row r="252" spans="2:18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</row>
    <row r="253" spans="2:18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</row>
    <row r="254" spans="2:18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</row>
    <row r="255" spans="2:18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</row>
    <row r="256" spans="2:18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</row>
    <row r="257" spans="2:18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2:18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2:18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2:18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2:18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2:18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</sheetData>
  <mergeCells count="198">
    <mergeCell ref="N204:Q204"/>
    <mergeCell ref="D210:H210"/>
    <mergeCell ref="N210:Q210"/>
    <mergeCell ref="D211:H211"/>
    <mergeCell ref="N211:Q211"/>
    <mergeCell ref="N197:O197"/>
    <mergeCell ref="N198:O198"/>
    <mergeCell ref="D202:H202"/>
    <mergeCell ref="N202:Q202"/>
    <mergeCell ref="D203:H203"/>
    <mergeCell ref="N203:Q203"/>
    <mergeCell ref="Q188:R188"/>
    <mergeCell ref="Q189:R189"/>
    <mergeCell ref="N192:O192"/>
    <mergeCell ref="N193:O193"/>
    <mergeCell ref="N194:O194"/>
    <mergeCell ref="N196:O196"/>
    <mergeCell ref="Q182:R182"/>
    <mergeCell ref="Q183:R183"/>
    <mergeCell ref="Q184:R184"/>
    <mergeCell ref="Q185:R185"/>
    <mergeCell ref="Q186:R186"/>
    <mergeCell ref="Q187:R187"/>
    <mergeCell ref="Q176:R176"/>
    <mergeCell ref="Q177:R177"/>
    <mergeCell ref="Q178:R178"/>
    <mergeCell ref="Q179:R179"/>
    <mergeCell ref="Q180:R180"/>
    <mergeCell ref="Q181:R181"/>
    <mergeCell ref="Q170:R170"/>
    <mergeCell ref="Q171:R171"/>
    <mergeCell ref="Q172:R172"/>
    <mergeCell ref="Q173:R173"/>
    <mergeCell ref="Q174:R174"/>
    <mergeCell ref="Q175:R175"/>
    <mergeCell ref="Q165:R165"/>
    <mergeCell ref="Q166:R166"/>
    <mergeCell ref="Q167:R167"/>
    <mergeCell ref="Q168:R168"/>
    <mergeCell ref="D169:I169"/>
    <mergeCell ref="Q169:R169"/>
    <mergeCell ref="Q159:R159"/>
    <mergeCell ref="Q160:R160"/>
    <mergeCell ref="Q161:R161"/>
    <mergeCell ref="Q162:R162"/>
    <mergeCell ref="Q163:R163"/>
    <mergeCell ref="Q164:R164"/>
    <mergeCell ref="Q153:R153"/>
    <mergeCell ref="Q154:R154"/>
    <mergeCell ref="Q155:R155"/>
    <mergeCell ref="Q156:R156"/>
    <mergeCell ref="Q157:R157"/>
    <mergeCell ref="Q158:R158"/>
    <mergeCell ref="Q147:R147"/>
    <mergeCell ref="Q148:R148"/>
    <mergeCell ref="Q149:R149"/>
    <mergeCell ref="Q150:R150"/>
    <mergeCell ref="Q151:R151"/>
    <mergeCell ref="Q152:R152"/>
    <mergeCell ref="Q141:R141"/>
    <mergeCell ref="Q142:R142"/>
    <mergeCell ref="Q143:R143"/>
    <mergeCell ref="Q144:R144"/>
    <mergeCell ref="Q145:R145"/>
    <mergeCell ref="Q146:R146"/>
    <mergeCell ref="Q135:R135"/>
    <mergeCell ref="Q136:R136"/>
    <mergeCell ref="Q137:R137"/>
    <mergeCell ref="Q138:R138"/>
    <mergeCell ref="Q139:R139"/>
    <mergeCell ref="Q140:R140"/>
    <mergeCell ref="Q129:R129"/>
    <mergeCell ref="Q130:R130"/>
    <mergeCell ref="Q131:R131"/>
    <mergeCell ref="Q132:R132"/>
    <mergeCell ref="Q133:R133"/>
    <mergeCell ref="Q134:R134"/>
    <mergeCell ref="D124:I124"/>
    <mergeCell ref="Q124:R124"/>
    <mergeCell ref="Q125:R125"/>
    <mergeCell ref="Q126:R126"/>
    <mergeCell ref="Q127:R127"/>
    <mergeCell ref="Q128:R128"/>
    <mergeCell ref="Q118:R118"/>
    <mergeCell ref="Q119:R119"/>
    <mergeCell ref="Q120:R120"/>
    <mergeCell ref="Q121:R121"/>
    <mergeCell ref="Q122:R122"/>
    <mergeCell ref="Q123:R123"/>
    <mergeCell ref="Q112:R112"/>
    <mergeCell ref="Q113:R113"/>
    <mergeCell ref="Q114:R114"/>
    <mergeCell ref="Q115:R115"/>
    <mergeCell ref="Q116:R116"/>
    <mergeCell ref="Q117:R117"/>
    <mergeCell ref="Q106:R106"/>
    <mergeCell ref="Q107:R107"/>
    <mergeCell ref="Q108:R108"/>
    <mergeCell ref="Q109:R109"/>
    <mergeCell ref="Q110:R110"/>
    <mergeCell ref="Q111:R111"/>
    <mergeCell ref="Q100:R100"/>
    <mergeCell ref="Q101:R101"/>
    <mergeCell ref="Q102:R102"/>
    <mergeCell ref="Q103:R103"/>
    <mergeCell ref="Q104:R104"/>
    <mergeCell ref="Q105:R105"/>
    <mergeCell ref="Q94:R94"/>
    <mergeCell ref="Q95:R95"/>
    <mergeCell ref="Q96:R96"/>
    <mergeCell ref="Q97:R97"/>
    <mergeCell ref="Q98:R98"/>
    <mergeCell ref="Q99:R99"/>
    <mergeCell ref="Q88:R88"/>
    <mergeCell ref="Q89:R89"/>
    <mergeCell ref="Q90:R90"/>
    <mergeCell ref="Q91:R91"/>
    <mergeCell ref="Q92:R92"/>
    <mergeCell ref="Q93:R93"/>
    <mergeCell ref="D83:I83"/>
    <mergeCell ref="Q83:R83"/>
    <mergeCell ref="Q84:R84"/>
    <mergeCell ref="Q85:R85"/>
    <mergeCell ref="Q86:R86"/>
    <mergeCell ref="Q87:R87"/>
    <mergeCell ref="D80:I80"/>
    <mergeCell ref="Q80:R80"/>
    <mergeCell ref="D81:I81"/>
    <mergeCell ref="Q81:R81"/>
    <mergeCell ref="D82:I82"/>
    <mergeCell ref="Q82:R82"/>
    <mergeCell ref="Q74:R74"/>
    <mergeCell ref="Q75:R75"/>
    <mergeCell ref="Q76:R76"/>
    <mergeCell ref="Q77:R77"/>
    <mergeCell ref="Q78:R78"/>
    <mergeCell ref="Q79:R79"/>
    <mergeCell ref="Q68:R68"/>
    <mergeCell ref="Q69:R69"/>
    <mergeCell ref="Q70:R70"/>
    <mergeCell ref="Q71:R71"/>
    <mergeCell ref="Q72:R72"/>
    <mergeCell ref="Q73:R73"/>
    <mergeCell ref="D63:I63"/>
    <mergeCell ref="Q63:R63"/>
    <mergeCell ref="Q64:R64"/>
    <mergeCell ref="Q65:R65"/>
    <mergeCell ref="Q66:R66"/>
    <mergeCell ref="Q67:R67"/>
    <mergeCell ref="Q57:R57"/>
    <mergeCell ref="Q58:R58"/>
    <mergeCell ref="Q59:R59"/>
    <mergeCell ref="Q60:R60"/>
    <mergeCell ref="Q61:R61"/>
    <mergeCell ref="Q62:R62"/>
    <mergeCell ref="Q51:R51"/>
    <mergeCell ref="Q52:R52"/>
    <mergeCell ref="Q53:R53"/>
    <mergeCell ref="Q54:R54"/>
    <mergeCell ref="Q55:R55"/>
    <mergeCell ref="Q56:R56"/>
    <mergeCell ref="Q45:R45"/>
    <mergeCell ref="Q46:R46"/>
    <mergeCell ref="Q47:R47"/>
    <mergeCell ref="Q48:R48"/>
    <mergeCell ref="Q49:R49"/>
    <mergeCell ref="Q50:R50"/>
    <mergeCell ref="D40:I40"/>
    <mergeCell ref="Q40:R40"/>
    <mergeCell ref="Q41:R41"/>
    <mergeCell ref="Q42:R42"/>
    <mergeCell ref="Q43:R43"/>
    <mergeCell ref="Q44:R44"/>
    <mergeCell ref="D37:I37"/>
    <mergeCell ref="Q37:R37"/>
    <mergeCell ref="D38:I38"/>
    <mergeCell ref="Q38:R38"/>
    <mergeCell ref="D39:I39"/>
    <mergeCell ref="Q39:R39"/>
    <mergeCell ref="Q35:R35"/>
    <mergeCell ref="Q36:R36"/>
    <mergeCell ref="F18:R18"/>
    <mergeCell ref="C21:R22"/>
    <mergeCell ref="M23:N23"/>
    <mergeCell ref="I24:J24"/>
    <mergeCell ref="K24:L24"/>
    <mergeCell ref="H25:I25"/>
    <mergeCell ref="K25:L25"/>
    <mergeCell ref="B6:R6"/>
    <mergeCell ref="B7:R7"/>
    <mergeCell ref="B9:R9"/>
    <mergeCell ref="B10:R10"/>
    <mergeCell ref="C12:Q12"/>
    <mergeCell ref="F14:R15"/>
    <mergeCell ref="L29:L31"/>
    <mergeCell ref="Q33:R33"/>
    <mergeCell ref="C34:I34"/>
    <mergeCell ref="Q34:R34"/>
  </mergeCells>
  <printOptions horizontalCentered="1"/>
  <pageMargins left="0.32" right="0.27" top="0.75" bottom="0.75" header="0.3" footer="0.3"/>
  <pageSetup paperSize="9" scale="55" fitToHeight="0" orientation="portrait" r:id="rId1"/>
  <rowBreaks count="1" manualBreakCount="1">
    <brk id="139" min="1" max="17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F083-C7D3-4A97-A0D5-27923A6101C1}">
  <sheetPr>
    <tabColor rgb="FF00B0F0"/>
  </sheetPr>
  <dimension ref="A1:Z262"/>
  <sheetViews>
    <sheetView showOutlineSymbols="0" view="pageBreakPreview" topLeftCell="A190" zoomScale="70" zoomScaleNormal="87" zoomScaleSheetLayoutView="70" workbookViewId="0">
      <selection activeCell="K37" sqref="K37"/>
    </sheetView>
  </sheetViews>
  <sheetFormatPr defaultColWidth="11.1796875" defaultRowHeight="15"/>
  <cols>
    <col min="1" max="1" width="1" style="28" customWidth="1"/>
    <col min="2" max="2" width="2.81640625" style="28" customWidth="1"/>
    <col min="3" max="3" width="2.54296875" style="28" customWidth="1"/>
    <col min="4" max="4" width="23.453125" style="28" customWidth="1"/>
    <col min="5" max="6" width="2.08984375" style="28" customWidth="1"/>
    <col min="7" max="7" width="1.453125" style="28" customWidth="1"/>
    <col min="8" max="8" width="12.08984375" style="28" customWidth="1"/>
    <col min="9" max="9" width="5.81640625" style="28" customWidth="1"/>
    <col min="10" max="10" width="10.453125" style="28" customWidth="1"/>
    <col min="11" max="14" width="9.54296875" style="28" customWidth="1"/>
    <col min="15" max="15" width="10" style="28" customWidth="1"/>
    <col min="16" max="16" width="14.08984375" style="28" customWidth="1"/>
    <col min="17" max="17" width="8" style="28" customWidth="1"/>
    <col min="18" max="18" width="8.81640625" style="28" customWidth="1"/>
    <col min="19" max="19" width="1" style="28" customWidth="1"/>
    <col min="20" max="20" width="11.1796875" style="28"/>
    <col min="21" max="22" width="14" style="28" bestFit="1" customWidth="1"/>
    <col min="23" max="252" width="11.1796875" style="28"/>
    <col min="253" max="253" width="1.81640625" style="28" customWidth="1"/>
    <col min="254" max="255" width="3.81640625" style="28" customWidth="1"/>
    <col min="256" max="256" width="11.81640625" style="28" customWidth="1"/>
    <col min="257" max="258" width="7.81640625" style="28" customWidth="1"/>
    <col min="259" max="260" width="8.81640625" style="28" customWidth="1"/>
    <col min="261" max="261" width="10.81640625" style="28" customWidth="1"/>
    <col min="262" max="262" width="8.81640625" style="28" customWidth="1"/>
    <col min="263" max="263" width="7.81640625" style="28" customWidth="1"/>
    <col min="264" max="264" width="8.81640625" style="28" customWidth="1"/>
    <col min="265" max="265" width="2.81640625" style="28" customWidth="1"/>
    <col min="266" max="266" width="1.81640625" style="28" customWidth="1"/>
    <col min="267" max="508" width="11.1796875" style="28"/>
    <col min="509" max="509" width="1.81640625" style="28" customWidth="1"/>
    <col min="510" max="511" width="3.81640625" style="28" customWidth="1"/>
    <col min="512" max="512" width="11.81640625" style="28" customWidth="1"/>
    <col min="513" max="514" width="7.81640625" style="28" customWidth="1"/>
    <col min="515" max="516" width="8.81640625" style="28" customWidth="1"/>
    <col min="517" max="517" width="10.81640625" style="28" customWidth="1"/>
    <col min="518" max="518" width="8.81640625" style="28" customWidth="1"/>
    <col min="519" max="519" width="7.81640625" style="28" customWidth="1"/>
    <col min="520" max="520" width="8.81640625" style="28" customWidth="1"/>
    <col min="521" max="521" width="2.81640625" style="28" customWidth="1"/>
    <col min="522" max="522" width="1.81640625" style="28" customWidth="1"/>
    <col min="523" max="764" width="11.1796875" style="28"/>
    <col min="765" max="765" width="1.81640625" style="28" customWidth="1"/>
    <col min="766" max="767" width="3.81640625" style="28" customWidth="1"/>
    <col min="768" max="768" width="11.81640625" style="28" customWidth="1"/>
    <col min="769" max="770" width="7.81640625" style="28" customWidth="1"/>
    <col min="771" max="772" width="8.81640625" style="28" customWidth="1"/>
    <col min="773" max="773" width="10.81640625" style="28" customWidth="1"/>
    <col min="774" max="774" width="8.81640625" style="28" customWidth="1"/>
    <col min="775" max="775" width="7.81640625" style="28" customWidth="1"/>
    <col min="776" max="776" width="8.81640625" style="28" customWidth="1"/>
    <col min="777" max="777" width="2.81640625" style="28" customWidth="1"/>
    <col min="778" max="778" width="1.81640625" style="28" customWidth="1"/>
    <col min="779" max="1020" width="11.1796875" style="28"/>
    <col min="1021" max="1021" width="1.81640625" style="28" customWidth="1"/>
    <col min="1022" max="1023" width="3.81640625" style="28" customWidth="1"/>
    <col min="1024" max="1024" width="11.81640625" style="28" customWidth="1"/>
    <col min="1025" max="1026" width="7.81640625" style="28" customWidth="1"/>
    <col min="1027" max="1028" width="8.81640625" style="28" customWidth="1"/>
    <col min="1029" max="1029" width="10.81640625" style="28" customWidth="1"/>
    <col min="1030" max="1030" width="8.81640625" style="28" customWidth="1"/>
    <col min="1031" max="1031" width="7.81640625" style="28" customWidth="1"/>
    <col min="1032" max="1032" width="8.81640625" style="28" customWidth="1"/>
    <col min="1033" max="1033" width="2.81640625" style="28" customWidth="1"/>
    <col min="1034" max="1034" width="1.81640625" style="28" customWidth="1"/>
    <col min="1035" max="1276" width="11.1796875" style="28"/>
    <col min="1277" max="1277" width="1.81640625" style="28" customWidth="1"/>
    <col min="1278" max="1279" width="3.81640625" style="28" customWidth="1"/>
    <col min="1280" max="1280" width="11.81640625" style="28" customWidth="1"/>
    <col min="1281" max="1282" width="7.81640625" style="28" customWidth="1"/>
    <col min="1283" max="1284" width="8.81640625" style="28" customWidth="1"/>
    <col min="1285" max="1285" width="10.81640625" style="28" customWidth="1"/>
    <col min="1286" max="1286" width="8.81640625" style="28" customWidth="1"/>
    <col min="1287" max="1287" width="7.81640625" style="28" customWidth="1"/>
    <col min="1288" max="1288" width="8.81640625" style="28" customWidth="1"/>
    <col min="1289" max="1289" width="2.81640625" style="28" customWidth="1"/>
    <col min="1290" max="1290" width="1.81640625" style="28" customWidth="1"/>
    <col min="1291" max="1532" width="11.1796875" style="28"/>
    <col min="1533" max="1533" width="1.81640625" style="28" customWidth="1"/>
    <col min="1534" max="1535" width="3.81640625" style="28" customWidth="1"/>
    <col min="1536" max="1536" width="11.81640625" style="28" customWidth="1"/>
    <col min="1537" max="1538" width="7.81640625" style="28" customWidth="1"/>
    <col min="1539" max="1540" width="8.81640625" style="28" customWidth="1"/>
    <col min="1541" max="1541" width="10.81640625" style="28" customWidth="1"/>
    <col min="1542" max="1542" width="8.81640625" style="28" customWidth="1"/>
    <col min="1543" max="1543" width="7.81640625" style="28" customWidth="1"/>
    <col min="1544" max="1544" width="8.81640625" style="28" customWidth="1"/>
    <col min="1545" max="1545" width="2.81640625" style="28" customWidth="1"/>
    <col min="1546" max="1546" width="1.81640625" style="28" customWidth="1"/>
    <col min="1547" max="1788" width="11.1796875" style="28"/>
    <col min="1789" max="1789" width="1.81640625" style="28" customWidth="1"/>
    <col min="1790" max="1791" width="3.81640625" style="28" customWidth="1"/>
    <col min="1792" max="1792" width="11.81640625" style="28" customWidth="1"/>
    <col min="1793" max="1794" width="7.81640625" style="28" customWidth="1"/>
    <col min="1795" max="1796" width="8.81640625" style="28" customWidth="1"/>
    <col min="1797" max="1797" width="10.81640625" style="28" customWidth="1"/>
    <col min="1798" max="1798" width="8.81640625" style="28" customWidth="1"/>
    <col min="1799" max="1799" width="7.81640625" style="28" customWidth="1"/>
    <col min="1800" max="1800" width="8.81640625" style="28" customWidth="1"/>
    <col min="1801" max="1801" width="2.81640625" style="28" customWidth="1"/>
    <col min="1802" max="1802" width="1.81640625" style="28" customWidth="1"/>
    <col min="1803" max="2044" width="11.1796875" style="28"/>
    <col min="2045" max="2045" width="1.81640625" style="28" customWidth="1"/>
    <col min="2046" max="2047" width="3.81640625" style="28" customWidth="1"/>
    <col min="2048" max="2048" width="11.81640625" style="28" customWidth="1"/>
    <col min="2049" max="2050" width="7.81640625" style="28" customWidth="1"/>
    <col min="2051" max="2052" width="8.81640625" style="28" customWidth="1"/>
    <col min="2053" max="2053" width="10.81640625" style="28" customWidth="1"/>
    <col min="2054" max="2054" width="8.81640625" style="28" customWidth="1"/>
    <col min="2055" max="2055" width="7.81640625" style="28" customWidth="1"/>
    <col min="2056" max="2056" width="8.81640625" style="28" customWidth="1"/>
    <col min="2057" max="2057" width="2.81640625" style="28" customWidth="1"/>
    <col min="2058" max="2058" width="1.81640625" style="28" customWidth="1"/>
    <col min="2059" max="2300" width="11.1796875" style="28"/>
    <col min="2301" max="2301" width="1.81640625" style="28" customWidth="1"/>
    <col min="2302" max="2303" width="3.81640625" style="28" customWidth="1"/>
    <col min="2304" max="2304" width="11.81640625" style="28" customWidth="1"/>
    <col min="2305" max="2306" width="7.81640625" style="28" customWidth="1"/>
    <col min="2307" max="2308" width="8.81640625" style="28" customWidth="1"/>
    <col min="2309" max="2309" width="10.81640625" style="28" customWidth="1"/>
    <col min="2310" max="2310" width="8.81640625" style="28" customWidth="1"/>
    <col min="2311" max="2311" width="7.81640625" style="28" customWidth="1"/>
    <col min="2312" max="2312" width="8.81640625" style="28" customWidth="1"/>
    <col min="2313" max="2313" width="2.81640625" style="28" customWidth="1"/>
    <col min="2314" max="2314" width="1.81640625" style="28" customWidth="1"/>
    <col min="2315" max="2556" width="11.1796875" style="28"/>
    <col min="2557" max="2557" width="1.81640625" style="28" customWidth="1"/>
    <col min="2558" max="2559" width="3.81640625" style="28" customWidth="1"/>
    <col min="2560" max="2560" width="11.81640625" style="28" customWidth="1"/>
    <col min="2561" max="2562" width="7.81640625" style="28" customWidth="1"/>
    <col min="2563" max="2564" width="8.81640625" style="28" customWidth="1"/>
    <col min="2565" max="2565" width="10.81640625" style="28" customWidth="1"/>
    <col min="2566" max="2566" width="8.81640625" style="28" customWidth="1"/>
    <col min="2567" max="2567" width="7.81640625" style="28" customWidth="1"/>
    <col min="2568" max="2568" width="8.81640625" style="28" customWidth="1"/>
    <col min="2569" max="2569" width="2.81640625" style="28" customWidth="1"/>
    <col min="2570" max="2570" width="1.81640625" style="28" customWidth="1"/>
    <col min="2571" max="2812" width="11.1796875" style="28"/>
    <col min="2813" max="2813" width="1.81640625" style="28" customWidth="1"/>
    <col min="2814" max="2815" width="3.81640625" style="28" customWidth="1"/>
    <col min="2816" max="2816" width="11.81640625" style="28" customWidth="1"/>
    <col min="2817" max="2818" width="7.81640625" style="28" customWidth="1"/>
    <col min="2819" max="2820" width="8.81640625" style="28" customWidth="1"/>
    <col min="2821" max="2821" width="10.81640625" style="28" customWidth="1"/>
    <col min="2822" max="2822" width="8.81640625" style="28" customWidth="1"/>
    <col min="2823" max="2823" width="7.81640625" style="28" customWidth="1"/>
    <col min="2824" max="2824" width="8.81640625" style="28" customWidth="1"/>
    <col min="2825" max="2825" width="2.81640625" style="28" customWidth="1"/>
    <col min="2826" max="2826" width="1.81640625" style="28" customWidth="1"/>
    <col min="2827" max="3068" width="11.1796875" style="28"/>
    <col min="3069" max="3069" width="1.81640625" style="28" customWidth="1"/>
    <col min="3070" max="3071" width="3.81640625" style="28" customWidth="1"/>
    <col min="3072" max="3072" width="11.81640625" style="28" customWidth="1"/>
    <col min="3073" max="3074" width="7.81640625" style="28" customWidth="1"/>
    <col min="3075" max="3076" width="8.81640625" style="28" customWidth="1"/>
    <col min="3077" max="3077" width="10.81640625" style="28" customWidth="1"/>
    <col min="3078" max="3078" width="8.81640625" style="28" customWidth="1"/>
    <col min="3079" max="3079" width="7.81640625" style="28" customWidth="1"/>
    <col min="3080" max="3080" width="8.81640625" style="28" customWidth="1"/>
    <col min="3081" max="3081" width="2.81640625" style="28" customWidth="1"/>
    <col min="3082" max="3082" width="1.81640625" style="28" customWidth="1"/>
    <col min="3083" max="3324" width="11.1796875" style="28"/>
    <col min="3325" max="3325" width="1.81640625" style="28" customWidth="1"/>
    <col min="3326" max="3327" width="3.81640625" style="28" customWidth="1"/>
    <col min="3328" max="3328" width="11.81640625" style="28" customWidth="1"/>
    <col min="3329" max="3330" width="7.81640625" style="28" customWidth="1"/>
    <col min="3331" max="3332" width="8.81640625" style="28" customWidth="1"/>
    <col min="3333" max="3333" width="10.81640625" style="28" customWidth="1"/>
    <col min="3334" max="3334" width="8.81640625" style="28" customWidth="1"/>
    <col min="3335" max="3335" width="7.81640625" style="28" customWidth="1"/>
    <col min="3336" max="3336" width="8.81640625" style="28" customWidth="1"/>
    <col min="3337" max="3337" width="2.81640625" style="28" customWidth="1"/>
    <col min="3338" max="3338" width="1.81640625" style="28" customWidth="1"/>
    <col min="3339" max="3580" width="11.1796875" style="28"/>
    <col min="3581" max="3581" width="1.81640625" style="28" customWidth="1"/>
    <col min="3582" max="3583" width="3.81640625" style="28" customWidth="1"/>
    <col min="3584" max="3584" width="11.81640625" style="28" customWidth="1"/>
    <col min="3585" max="3586" width="7.81640625" style="28" customWidth="1"/>
    <col min="3587" max="3588" width="8.81640625" style="28" customWidth="1"/>
    <col min="3589" max="3589" width="10.81640625" style="28" customWidth="1"/>
    <col min="3590" max="3590" width="8.81640625" style="28" customWidth="1"/>
    <col min="3591" max="3591" width="7.81640625" style="28" customWidth="1"/>
    <col min="3592" max="3592" width="8.81640625" style="28" customWidth="1"/>
    <col min="3593" max="3593" width="2.81640625" style="28" customWidth="1"/>
    <col min="3594" max="3594" width="1.81640625" style="28" customWidth="1"/>
    <col min="3595" max="3836" width="11.1796875" style="28"/>
    <col min="3837" max="3837" width="1.81640625" style="28" customWidth="1"/>
    <col min="3838" max="3839" width="3.81640625" style="28" customWidth="1"/>
    <col min="3840" max="3840" width="11.81640625" style="28" customWidth="1"/>
    <col min="3841" max="3842" width="7.81640625" style="28" customWidth="1"/>
    <col min="3843" max="3844" width="8.81640625" style="28" customWidth="1"/>
    <col min="3845" max="3845" width="10.81640625" style="28" customWidth="1"/>
    <col min="3846" max="3846" width="8.81640625" style="28" customWidth="1"/>
    <col min="3847" max="3847" width="7.81640625" style="28" customWidth="1"/>
    <col min="3848" max="3848" width="8.81640625" style="28" customWidth="1"/>
    <col min="3849" max="3849" width="2.81640625" style="28" customWidth="1"/>
    <col min="3850" max="3850" width="1.81640625" style="28" customWidth="1"/>
    <col min="3851" max="4092" width="11.1796875" style="28"/>
    <col min="4093" max="4093" width="1.81640625" style="28" customWidth="1"/>
    <col min="4094" max="4095" width="3.81640625" style="28" customWidth="1"/>
    <col min="4096" max="4096" width="11.81640625" style="28" customWidth="1"/>
    <col min="4097" max="4098" width="7.81640625" style="28" customWidth="1"/>
    <col min="4099" max="4100" width="8.81640625" style="28" customWidth="1"/>
    <col min="4101" max="4101" width="10.81640625" style="28" customWidth="1"/>
    <col min="4102" max="4102" width="8.81640625" style="28" customWidth="1"/>
    <col min="4103" max="4103" width="7.81640625" style="28" customWidth="1"/>
    <col min="4104" max="4104" width="8.81640625" style="28" customWidth="1"/>
    <col min="4105" max="4105" width="2.81640625" style="28" customWidth="1"/>
    <col min="4106" max="4106" width="1.81640625" style="28" customWidth="1"/>
    <col min="4107" max="4348" width="11.1796875" style="28"/>
    <col min="4349" max="4349" width="1.81640625" style="28" customWidth="1"/>
    <col min="4350" max="4351" width="3.81640625" style="28" customWidth="1"/>
    <col min="4352" max="4352" width="11.81640625" style="28" customWidth="1"/>
    <col min="4353" max="4354" width="7.81640625" style="28" customWidth="1"/>
    <col min="4355" max="4356" width="8.81640625" style="28" customWidth="1"/>
    <col min="4357" max="4357" width="10.81640625" style="28" customWidth="1"/>
    <col min="4358" max="4358" width="8.81640625" style="28" customWidth="1"/>
    <col min="4359" max="4359" width="7.81640625" style="28" customWidth="1"/>
    <col min="4360" max="4360" width="8.81640625" style="28" customWidth="1"/>
    <col min="4361" max="4361" width="2.81640625" style="28" customWidth="1"/>
    <col min="4362" max="4362" width="1.81640625" style="28" customWidth="1"/>
    <col min="4363" max="4604" width="11.1796875" style="28"/>
    <col min="4605" max="4605" width="1.81640625" style="28" customWidth="1"/>
    <col min="4606" max="4607" width="3.81640625" style="28" customWidth="1"/>
    <col min="4608" max="4608" width="11.81640625" style="28" customWidth="1"/>
    <col min="4609" max="4610" width="7.81640625" style="28" customWidth="1"/>
    <col min="4611" max="4612" width="8.81640625" style="28" customWidth="1"/>
    <col min="4613" max="4613" width="10.81640625" style="28" customWidth="1"/>
    <col min="4614" max="4614" width="8.81640625" style="28" customWidth="1"/>
    <col min="4615" max="4615" width="7.81640625" style="28" customWidth="1"/>
    <col min="4616" max="4616" width="8.81640625" style="28" customWidth="1"/>
    <col min="4617" max="4617" width="2.81640625" style="28" customWidth="1"/>
    <col min="4618" max="4618" width="1.81640625" style="28" customWidth="1"/>
    <col min="4619" max="4860" width="11.1796875" style="28"/>
    <col min="4861" max="4861" width="1.81640625" style="28" customWidth="1"/>
    <col min="4862" max="4863" width="3.81640625" style="28" customWidth="1"/>
    <col min="4864" max="4864" width="11.81640625" style="28" customWidth="1"/>
    <col min="4865" max="4866" width="7.81640625" style="28" customWidth="1"/>
    <col min="4867" max="4868" width="8.81640625" style="28" customWidth="1"/>
    <col min="4869" max="4869" width="10.81640625" style="28" customWidth="1"/>
    <col min="4870" max="4870" width="8.81640625" style="28" customWidth="1"/>
    <col min="4871" max="4871" width="7.81640625" style="28" customWidth="1"/>
    <col min="4872" max="4872" width="8.81640625" style="28" customWidth="1"/>
    <col min="4873" max="4873" width="2.81640625" style="28" customWidth="1"/>
    <col min="4874" max="4874" width="1.81640625" style="28" customWidth="1"/>
    <col min="4875" max="5116" width="11.1796875" style="28"/>
    <col min="5117" max="5117" width="1.81640625" style="28" customWidth="1"/>
    <col min="5118" max="5119" width="3.81640625" style="28" customWidth="1"/>
    <col min="5120" max="5120" width="11.81640625" style="28" customWidth="1"/>
    <col min="5121" max="5122" width="7.81640625" style="28" customWidth="1"/>
    <col min="5123" max="5124" width="8.81640625" style="28" customWidth="1"/>
    <col min="5125" max="5125" width="10.81640625" style="28" customWidth="1"/>
    <col min="5126" max="5126" width="8.81640625" style="28" customWidth="1"/>
    <col min="5127" max="5127" width="7.81640625" style="28" customWidth="1"/>
    <col min="5128" max="5128" width="8.81640625" style="28" customWidth="1"/>
    <col min="5129" max="5129" width="2.81640625" style="28" customWidth="1"/>
    <col min="5130" max="5130" width="1.81640625" style="28" customWidth="1"/>
    <col min="5131" max="5372" width="11.1796875" style="28"/>
    <col min="5373" max="5373" width="1.81640625" style="28" customWidth="1"/>
    <col min="5374" max="5375" width="3.81640625" style="28" customWidth="1"/>
    <col min="5376" max="5376" width="11.81640625" style="28" customWidth="1"/>
    <col min="5377" max="5378" width="7.81640625" style="28" customWidth="1"/>
    <col min="5379" max="5380" width="8.81640625" style="28" customWidth="1"/>
    <col min="5381" max="5381" width="10.81640625" style="28" customWidth="1"/>
    <col min="5382" max="5382" width="8.81640625" style="28" customWidth="1"/>
    <col min="5383" max="5383" width="7.81640625" style="28" customWidth="1"/>
    <col min="5384" max="5384" width="8.81640625" style="28" customWidth="1"/>
    <col min="5385" max="5385" width="2.81640625" style="28" customWidth="1"/>
    <col min="5386" max="5386" width="1.81640625" style="28" customWidth="1"/>
    <col min="5387" max="5628" width="11.1796875" style="28"/>
    <col min="5629" max="5629" width="1.81640625" style="28" customWidth="1"/>
    <col min="5630" max="5631" width="3.81640625" style="28" customWidth="1"/>
    <col min="5632" max="5632" width="11.81640625" style="28" customWidth="1"/>
    <col min="5633" max="5634" width="7.81640625" style="28" customWidth="1"/>
    <col min="5635" max="5636" width="8.81640625" style="28" customWidth="1"/>
    <col min="5637" max="5637" width="10.81640625" style="28" customWidth="1"/>
    <col min="5638" max="5638" width="8.81640625" style="28" customWidth="1"/>
    <col min="5639" max="5639" width="7.81640625" style="28" customWidth="1"/>
    <col min="5640" max="5640" width="8.81640625" style="28" customWidth="1"/>
    <col min="5641" max="5641" width="2.81640625" style="28" customWidth="1"/>
    <col min="5642" max="5642" width="1.81640625" style="28" customWidth="1"/>
    <col min="5643" max="5884" width="11.1796875" style="28"/>
    <col min="5885" max="5885" width="1.81640625" style="28" customWidth="1"/>
    <col min="5886" max="5887" width="3.81640625" style="28" customWidth="1"/>
    <col min="5888" max="5888" width="11.81640625" style="28" customWidth="1"/>
    <col min="5889" max="5890" width="7.81640625" style="28" customWidth="1"/>
    <col min="5891" max="5892" width="8.81640625" style="28" customWidth="1"/>
    <col min="5893" max="5893" width="10.81640625" style="28" customWidth="1"/>
    <col min="5894" max="5894" width="8.81640625" style="28" customWidth="1"/>
    <col min="5895" max="5895" width="7.81640625" style="28" customWidth="1"/>
    <col min="5896" max="5896" width="8.81640625" style="28" customWidth="1"/>
    <col min="5897" max="5897" width="2.81640625" style="28" customWidth="1"/>
    <col min="5898" max="5898" width="1.81640625" style="28" customWidth="1"/>
    <col min="5899" max="6140" width="11.1796875" style="28"/>
    <col min="6141" max="6141" width="1.81640625" style="28" customWidth="1"/>
    <col min="6142" max="6143" width="3.81640625" style="28" customWidth="1"/>
    <col min="6144" max="6144" width="11.81640625" style="28" customWidth="1"/>
    <col min="6145" max="6146" width="7.81640625" style="28" customWidth="1"/>
    <col min="6147" max="6148" width="8.81640625" style="28" customWidth="1"/>
    <col min="6149" max="6149" width="10.81640625" style="28" customWidth="1"/>
    <col min="6150" max="6150" width="8.81640625" style="28" customWidth="1"/>
    <col min="6151" max="6151" width="7.81640625" style="28" customWidth="1"/>
    <col min="6152" max="6152" width="8.81640625" style="28" customWidth="1"/>
    <col min="6153" max="6153" width="2.81640625" style="28" customWidth="1"/>
    <col min="6154" max="6154" width="1.81640625" style="28" customWidth="1"/>
    <col min="6155" max="6396" width="11.1796875" style="28"/>
    <col min="6397" max="6397" width="1.81640625" style="28" customWidth="1"/>
    <col min="6398" max="6399" width="3.81640625" style="28" customWidth="1"/>
    <col min="6400" max="6400" width="11.81640625" style="28" customWidth="1"/>
    <col min="6401" max="6402" width="7.81640625" style="28" customWidth="1"/>
    <col min="6403" max="6404" width="8.81640625" style="28" customWidth="1"/>
    <col min="6405" max="6405" width="10.81640625" style="28" customWidth="1"/>
    <col min="6406" max="6406" width="8.81640625" style="28" customWidth="1"/>
    <col min="6407" max="6407" width="7.81640625" style="28" customWidth="1"/>
    <col min="6408" max="6408" width="8.81640625" style="28" customWidth="1"/>
    <col min="6409" max="6409" width="2.81640625" style="28" customWidth="1"/>
    <col min="6410" max="6410" width="1.81640625" style="28" customWidth="1"/>
    <col min="6411" max="6652" width="11.1796875" style="28"/>
    <col min="6653" max="6653" width="1.81640625" style="28" customWidth="1"/>
    <col min="6654" max="6655" width="3.81640625" style="28" customWidth="1"/>
    <col min="6656" max="6656" width="11.81640625" style="28" customWidth="1"/>
    <col min="6657" max="6658" width="7.81640625" style="28" customWidth="1"/>
    <col min="6659" max="6660" width="8.81640625" style="28" customWidth="1"/>
    <col min="6661" max="6661" width="10.81640625" style="28" customWidth="1"/>
    <col min="6662" max="6662" width="8.81640625" style="28" customWidth="1"/>
    <col min="6663" max="6663" width="7.81640625" style="28" customWidth="1"/>
    <col min="6664" max="6664" width="8.81640625" style="28" customWidth="1"/>
    <col min="6665" max="6665" width="2.81640625" style="28" customWidth="1"/>
    <col min="6666" max="6666" width="1.81640625" style="28" customWidth="1"/>
    <col min="6667" max="6908" width="11.1796875" style="28"/>
    <col min="6909" max="6909" width="1.81640625" style="28" customWidth="1"/>
    <col min="6910" max="6911" width="3.81640625" style="28" customWidth="1"/>
    <col min="6912" max="6912" width="11.81640625" style="28" customWidth="1"/>
    <col min="6913" max="6914" width="7.81640625" style="28" customWidth="1"/>
    <col min="6915" max="6916" width="8.81640625" style="28" customWidth="1"/>
    <col min="6917" max="6917" width="10.81640625" style="28" customWidth="1"/>
    <col min="6918" max="6918" width="8.81640625" style="28" customWidth="1"/>
    <col min="6919" max="6919" width="7.81640625" style="28" customWidth="1"/>
    <col min="6920" max="6920" width="8.81640625" style="28" customWidth="1"/>
    <col min="6921" max="6921" width="2.81640625" style="28" customWidth="1"/>
    <col min="6922" max="6922" width="1.81640625" style="28" customWidth="1"/>
    <col min="6923" max="7164" width="11.1796875" style="28"/>
    <col min="7165" max="7165" width="1.81640625" style="28" customWidth="1"/>
    <col min="7166" max="7167" width="3.81640625" style="28" customWidth="1"/>
    <col min="7168" max="7168" width="11.81640625" style="28" customWidth="1"/>
    <col min="7169" max="7170" width="7.81640625" style="28" customWidth="1"/>
    <col min="7171" max="7172" width="8.81640625" style="28" customWidth="1"/>
    <col min="7173" max="7173" width="10.81640625" style="28" customWidth="1"/>
    <col min="7174" max="7174" width="8.81640625" style="28" customWidth="1"/>
    <col min="7175" max="7175" width="7.81640625" style="28" customWidth="1"/>
    <col min="7176" max="7176" width="8.81640625" style="28" customWidth="1"/>
    <col min="7177" max="7177" width="2.81640625" style="28" customWidth="1"/>
    <col min="7178" max="7178" width="1.81640625" style="28" customWidth="1"/>
    <col min="7179" max="7420" width="11.1796875" style="28"/>
    <col min="7421" max="7421" width="1.81640625" style="28" customWidth="1"/>
    <col min="7422" max="7423" width="3.81640625" style="28" customWidth="1"/>
    <col min="7424" max="7424" width="11.81640625" style="28" customWidth="1"/>
    <col min="7425" max="7426" width="7.81640625" style="28" customWidth="1"/>
    <col min="7427" max="7428" width="8.81640625" style="28" customWidth="1"/>
    <col min="7429" max="7429" width="10.81640625" style="28" customWidth="1"/>
    <col min="7430" max="7430" width="8.81640625" style="28" customWidth="1"/>
    <col min="7431" max="7431" width="7.81640625" style="28" customWidth="1"/>
    <col min="7432" max="7432" width="8.81640625" style="28" customWidth="1"/>
    <col min="7433" max="7433" width="2.81640625" style="28" customWidth="1"/>
    <col min="7434" max="7434" width="1.81640625" style="28" customWidth="1"/>
    <col min="7435" max="7676" width="11.1796875" style="28"/>
    <col min="7677" max="7677" width="1.81640625" style="28" customWidth="1"/>
    <col min="7678" max="7679" width="3.81640625" style="28" customWidth="1"/>
    <col min="7680" max="7680" width="11.81640625" style="28" customWidth="1"/>
    <col min="7681" max="7682" width="7.81640625" style="28" customWidth="1"/>
    <col min="7683" max="7684" width="8.81640625" style="28" customWidth="1"/>
    <col min="7685" max="7685" width="10.81640625" style="28" customWidth="1"/>
    <col min="7686" max="7686" width="8.81640625" style="28" customWidth="1"/>
    <col min="7687" max="7687" width="7.81640625" style="28" customWidth="1"/>
    <col min="7688" max="7688" width="8.81640625" style="28" customWidth="1"/>
    <col min="7689" max="7689" width="2.81640625" style="28" customWidth="1"/>
    <col min="7690" max="7690" width="1.81640625" style="28" customWidth="1"/>
    <col min="7691" max="7932" width="11.1796875" style="28"/>
    <col min="7933" max="7933" width="1.81640625" style="28" customWidth="1"/>
    <col min="7934" max="7935" width="3.81640625" style="28" customWidth="1"/>
    <col min="7936" max="7936" width="11.81640625" style="28" customWidth="1"/>
    <col min="7937" max="7938" width="7.81640625" style="28" customWidth="1"/>
    <col min="7939" max="7940" width="8.81640625" style="28" customWidth="1"/>
    <col min="7941" max="7941" width="10.81640625" style="28" customWidth="1"/>
    <col min="7942" max="7942" width="8.81640625" style="28" customWidth="1"/>
    <col min="7943" max="7943" width="7.81640625" style="28" customWidth="1"/>
    <col min="7944" max="7944" width="8.81640625" style="28" customWidth="1"/>
    <col min="7945" max="7945" width="2.81640625" style="28" customWidth="1"/>
    <col min="7946" max="7946" width="1.81640625" style="28" customWidth="1"/>
    <col min="7947" max="8188" width="11.1796875" style="28"/>
    <col min="8189" max="8189" width="1.81640625" style="28" customWidth="1"/>
    <col min="8190" max="8191" width="3.81640625" style="28" customWidth="1"/>
    <col min="8192" max="8192" width="11.81640625" style="28" customWidth="1"/>
    <col min="8193" max="8194" width="7.81640625" style="28" customWidth="1"/>
    <col min="8195" max="8196" width="8.81640625" style="28" customWidth="1"/>
    <col min="8197" max="8197" width="10.81640625" style="28" customWidth="1"/>
    <col min="8198" max="8198" width="8.81640625" style="28" customWidth="1"/>
    <col min="8199" max="8199" width="7.81640625" style="28" customWidth="1"/>
    <col min="8200" max="8200" width="8.81640625" style="28" customWidth="1"/>
    <col min="8201" max="8201" width="2.81640625" style="28" customWidth="1"/>
    <col min="8202" max="8202" width="1.81640625" style="28" customWidth="1"/>
    <col min="8203" max="8444" width="11.1796875" style="28"/>
    <col min="8445" max="8445" width="1.81640625" style="28" customWidth="1"/>
    <col min="8446" max="8447" width="3.81640625" style="28" customWidth="1"/>
    <col min="8448" max="8448" width="11.81640625" style="28" customWidth="1"/>
    <col min="8449" max="8450" width="7.81640625" style="28" customWidth="1"/>
    <col min="8451" max="8452" width="8.81640625" style="28" customWidth="1"/>
    <col min="8453" max="8453" width="10.81640625" style="28" customWidth="1"/>
    <col min="8454" max="8454" width="8.81640625" style="28" customWidth="1"/>
    <col min="8455" max="8455" width="7.81640625" style="28" customWidth="1"/>
    <col min="8456" max="8456" width="8.81640625" style="28" customWidth="1"/>
    <col min="8457" max="8457" width="2.81640625" style="28" customWidth="1"/>
    <col min="8458" max="8458" width="1.81640625" style="28" customWidth="1"/>
    <col min="8459" max="8700" width="11.1796875" style="28"/>
    <col min="8701" max="8701" width="1.81640625" style="28" customWidth="1"/>
    <col min="8702" max="8703" width="3.81640625" style="28" customWidth="1"/>
    <col min="8704" max="8704" width="11.81640625" style="28" customWidth="1"/>
    <col min="8705" max="8706" width="7.81640625" style="28" customWidth="1"/>
    <col min="8707" max="8708" width="8.81640625" style="28" customWidth="1"/>
    <col min="8709" max="8709" width="10.81640625" style="28" customWidth="1"/>
    <col min="8710" max="8710" width="8.81640625" style="28" customWidth="1"/>
    <col min="8711" max="8711" width="7.81640625" style="28" customWidth="1"/>
    <col min="8712" max="8712" width="8.81640625" style="28" customWidth="1"/>
    <col min="8713" max="8713" width="2.81640625" style="28" customWidth="1"/>
    <col min="8714" max="8714" width="1.81640625" style="28" customWidth="1"/>
    <col min="8715" max="8956" width="11.1796875" style="28"/>
    <col min="8957" max="8957" width="1.81640625" style="28" customWidth="1"/>
    <col min="8958" max="8959" width="3.81640625" style="28" customWidth="1"/>
    <col min="8960" max="8960" width="11.81640625" style="28" customWidth="1"/>
    <col min="8961" max="8962" width="7.81640625" style="28" customWidth="1"/>
    <col min="8963" max="8964" width="8.81640625" style="28" customWidth="1"/>
    <col min="8965" max="8965" width="10.81640625" style="28" customWidth="1"/>
    <col min="8966" max="8966" width="8.81640625" style="28" customWidth="1"/>
    <col min="8967" max="8967" width="7.81640625" style="28" customWidth="1"/>
    <col min="8968" max="8968" width="8.81640625" style="28" customWidth="1"/>
    <col min="8969" max="8969" width="2.81640625" style="28" customWidth="1"/>
    <col min="8970" max="8970" width="1.81640625" style="28" customWidth="1"/>
    <col min="8971" max="9212" width="11.1796875" style="28"/>
    <col min="9213" max="9213" width="1.81640625" style="28" customWidth="1"/>
    <col min="9214" max="9215" width="3.81640625" style="28" customWidth="1"/>
    <col min="9216" max="9216" width="11.81640625" style="28" customWidth="1"/>
    <col min="9217" max="9218" width="7.81640625" style="28" customWidth="1"/>
    <col min="9219" max="9220" width="8.81640625" style="28" customWidth="1"/>
    <col min="9221" max="9221" width="10.81640625" style="28" customWidth="1"/>
    <col min="9222" max="9222" width="8.81640625" style="28" customWidth="1"/>
    <col min="9223" max="9223" width="7.81640625" style="28" customWidth="1"/>
    <col min="9224" max="9224" width="8.81640625" style="28" customWidth="1"/>
    <col min="9225" max="9225" width="2.81640625" style="28" customWidth="1"/>
    <col min="9226" max="9226" width="1.81640625" style="28" customWidth="1"/>
    <col min="9227" max="9468" width="11.1796875" style="28"/>
    <col min="9469" max="9469" width="1.81640625" style="28" customWidth="1"/>
    <col min="9470" max="9471" width="3.81640625" style="28" customWidth="1"/>
    <col min="9472" max="9472" width="11.81640625" style="28" customWidth="1"/>
    <col min="9473" max="9474" width="7.81640625" style="28" customWidth="1"/>
    <col min="9475" max="9476" width="8.81640625" style="28" customWidth="1"/>
    <col min="9477" max="9477" width="10.81640625" style="28" customWidth="1"/>
    <col min="9478" max="9478" width="8.81640625" style="28" customWidth="1"/>
    <col min="9479" max="9479" width="7.81640625" style="28" customWidth="1"/>
    <col min="9480" max="9480" width="8.81640625" style="28" customWidth="1"/>
    <col min="9481" max="9481" width="2.81640625" style="28" customWidth="1"/>
    <col min="9482" max="9482" width="1.81640625" style="28" customWidth="1"/>
    <col min="9483" max="9724" width="11.1796875" style="28"/>
    <col min="9725" max="9725" width="1.81640625" style="28" customWidth="1"/>
    <col min="9726" max="9727" width="3.81640625" style="28" customWidth="1"/>
    <col min="9728" max="9728" width="11.81640625" style="28" customWidth="1"/>
    <col min="9729" max="9730" width="7.81640625" style="28" customWidth="1"/>
    <col min="9731" max="9732" width="8.81640625" style="28" customWidth="1"/>
    <col min="9733" max="9733" width="10.81640625" style="28" customWidth="1"/>
    <col min="9734" max="9734" width="8.81640625" style="28" customWidth="1"/>
    <col min="9735" max="9735" width="7.81640625" style="28" customWidth="1"/>
    <col min="9736" max="9736" width="8.81640625" style="28" customWidth="1"/>
    <col min="9737" max="9737" width="2.81640625" style="28" customWidth="1"/>
    <col min="9738" max="9738" width="1.81640625" style="28" customWidth="1"/>
    <col min="9739" max="9980" width="11.1796875" style="28"/>
    <col min="9981" max="9981" width="1.81640625" style="28" customWidth="1"/>
    <col min="9982" max="9983" width="3.81640625" style="28" customWidth="1"/>
    <col min="9984" max="9984" width="11.81640625" style="28" customWidth="1"/>
    <col min="9985" max="9986" width="7.81640625" style="28" customWidth="1"/>
    <col min="9987" max="9988" width="8.81640625" style="28" customWidth="1"/>
    <col min="9989" max="9989" width="10.81640625" style="28" customWidth="1"/>
    <col min="9990" max="9990" width="8.81640625" style="28" customWidth="1"/>
    <col min="9991" max="9991" width="7.81640625" style="28" customWidth="1"/>
    <col min="9992" max="9992" width="8.81640625" style="28" customWidth="1"/>
    <col min="9993" max="9993" width="2.81640625" style="28" customWidth="1"/>
    <col min="9994" max="9994" width="1.81640625" style="28" customWidth="1"/>
    <col min="9995" max="10236" width="11.1796875" style="28"/>
    <col min="10237" max="10237" width="1.81640625" style="28" customWidth="1"/>
    <col min="10238" max="10239" width="3.81640625" style="28" customWidth="1"/>
    <col min="10240" max="10240" width="11.81640625" style="28" customWidth="1"/>
    <col min="10241" max="10242" width="7.81640625" style="28" customWidth="1"/>
    <col min="10243" max="10244" width="8.81640625" style="28" customWidth="1"/>
    <col min="10245" max="10245" width="10.81640625" style="28" customWidth="1"/>
    <col min="10246" max="10246" width="8.81640625" style="28" customWidth="1"/>
    <col min="10247" max="10247" width="7.81640625" style="28" customWidth="1"/>
    <col min="10248" max="10248" width="8.81640625" style="28" customWidth="1"/>
    <col min="10249" max="10249" width="2.81640625" style="28" customWidth="1"/>
    <col min="10250" max="10250" width="1.81640625" style="28" customWidth="1"/>
    <col min="10251" max="10492" width="11.1796875" style="28"/>
    <col min="10493" max="10493" width="1.81640625" style="28" customWidth="1"/>
    <col min="10494" max="10495" width="3.81640625" style="28" customWidth="1"/>
    <col min="10496" max="10496" width="11.81640625" style="28" customWidth="1"/>
    <col min="10497" max="10498" width="7.81640625" style="28" customWidth="1"/>
    <col min="10499" max="10500" width="8.81640625" style="28" customWidth="1"/>
    <col min="10501" max="10501" width="10.81640625" style="28" customWidth="1"/>
    <col min="10502" max="10502" width="8.81640625" style="28" customWidth="1"/>
    <col min="10503" max="10503" width="7.81640625" style="28" customWidth="1"/>
    <col min="10504" max="10504" width="8.81640625" style="28" customWidth="1"/>
    <col min="10505" max="10505" width="2.81640625" style="28" customWidth="1"/>
    <col min="10506" max="10506" width="1.81640625" style="28" customWidth="1"/>
    <col min="10507" max="10748" width="11.1796875" style="28"/>
    <col min="10749" max="10749" width="1.81640625" style="28" customWidth="1"/>
    <col min="10750" max="10751" width="3.81640625" style="28" customWidth="1"/>
    <col min="10752" max="10752" width="11.81640625" style="28" customWidth="1"/>
    <col min="10753" max="10754" width="7.81640625" style="28" customWidth="1"/>
    <col min="10755" max="10756" width="8.81640625" style="28" customWidth="1"/>
    <col min="10757" max="10757" width="10.81640625" style="28" customWidth="1"/>
    <col min="10758" max="10758" width="8.81640625" style="28" customWidth="1"/>
    <col min="10759" max="10759" width="7.81640625" style="28" customWidth="1"/>
    <col min="10760" max="10760" width="8.81640625" style="28" customWidth="1"/>
    <col min="10761" max="10761" width="2.81640625" style="28" customWidth="1"/>
    <col min="10762" max="10762" width="1.81640625" style="28" customWidth="1"/>
    <col min="10763" max="11004" width="11.1796875" style="28"/>
    <col min="11005" max="11005" width="1.81640625" style="28" customWidth="1"/>
    <col min="11006" max="11007" width="3.81640625" style="28" customWidth="1"/>
    <col min="11008" max="11008" width="11.81640625" style="28" customWidth="1"/>
    <col min="11009" max="11010" width="7.81640625" style="28" customWidth="1"/>
    <col min="11011" max="11012" width="8.81640625" style="28" customWidth="1"/>
    <col min="11013" max="11013" width="10.81640625" style="28" customWidth="1"/>
    <col min="11014" max="11014" width="8.81640625" style="28" customWidth="1"/>
    <col min="11015" max="11015" width="7.81640625" style="28" customWidth="1"/>
    <col min="11016" max="11016" width="8.81640625" style="28" customWidth="1"/>
    <col min="11017" max="11017" width="2.81640625" style="28" customWidth="1"/>
    <col min="11018" max="11018" width="1.81640625" style="28" customWidth="1"/>
    <col min="11019" max="11260" width="11.1796875" style="28"/>
    <col min="11261" max="11261" width="1.81640625" style="28" customWidth="1"/>
    <col min="11262" max="11263" width="3.81640625" style="28" customWidth="1"/>
    <col min="11264" max="11264" width="11.81640625" style="28" customWidth="1"/>
    <col min="11265" max="11266" width="7.81640625" style="28" customWidth="1"/>
    <col min="11267" max="11268" width="8.81640625" style="28" customWidth="1"/>
    <col min="11269" max="11269" width="10.81640625" style="28" customWidth="1"/>
    <col min="11270" max="11270" width="8.81640625" style="28" customWidth="1"/>
    <col min="11271" max="11271" width="7.81640625" style="28" customWidth="1"/>
    <col min="11272" max="11272" width="8.81640625" style="28" customWidth="1"/>
    <col min="11273" max="11273" width="2.81640625" style="28" customWidth="1"/>
    <col min="11274" max="11274" width="1.81640625" style="28" customWidth="1"/>
    <col min="11275" max="11516" width="11.1796875" style="28"/>
    <col min="11517" max="11517" width="1.81640625" style="28" customWidth="1"/>
    <col min="11518" max="11519" width="3.81640625" style="28" customWidth="1"/>
    <col min="11520" max="11520" width="11.81640625" style="28" customWidth="1"/>
    <col min="11521" max="11522" width="7.81640625" style="28" customWidth="1"/>
    <col min="11523" max="11524" width="8.81640625" style="28" customWidth="1"/>
    <col min="11525" max="11525" width="10.81640625" style="28" customWidth="1"/>
    <col min="11526" max="11526" width="8.81640625" style="28" customWidth="1"/>
    <col min="11527" max="11527" width="7.81640625" style="28" customWidth="1"/>
    <col min="11528" max="11528" width="8.81640625" style="28" customWidth="1"/>
    <col min="11529" max="11529" width="2.81640625" style="28" customWidth="1"/>
    <col min="11530" max="11530" width="1.81640625" style="28" customWidth="1"/>
    <col min="11531" max="11772" width="11.1796875" style="28"/>
    <col min="11773" max="11773" width="1.81640625" style="28" customWidth="1"/>
    <col min="11774" max="11775" width="3.81640625" style="28" customWidth="1"/>
    <col min="11776" max="11776" width="11.81640625" style="28" customWidth="1"/>
    <col min="11777" max="11778" width="7.81640625" style="28" customWidth="1"/>
    <col min="11779" max="11780" width="8.81640625" style="28" customWidth="1"/>
    <col min="11781" max="11781" width="10.81640625" style="28" customWidth="1"/>
    <col min="11782" max="11782" width="8.81640625" style="28" customWidth="1"/>
    <col min="11783" max="11783" width="7.81640625" style="28" customWidth="1"/>
    <col min="11784" max="11784" width="8.81640625" style="28" customWidth="1"/>
    <col min="11785" max="11785" width="2.81640625" style="28" customWidth="1"/>
    <col min="11786" max="11786" width="1.81640625" style="28" customWidth="1"/>
    <col min="11787" max="12028" width="11.1796875" style="28"/>
    <col min="12029" max="12029" width="1.81640625" style="28" customWidth="1"/>
    <col min="12030" max="12031" width="3.81640625" style="28" customWidth="1"/>
    <col min="12032" max="12032" width="11.81640625" style="28" customWidth="1"/>
    <col min="12033" max="12034" width="7.81640625" style="28" customWidth="1"/>
    <col min="12035" max="12036" width="8.81640625" style="28" customWidth="1"/>
    <col min="12037" max="12037" width="10.81640625" style="28" customWidth="1"/>
    <col min="12038" max="12038" width="8.81640625" style="28" customWidth="1"/>
    <col min="12039" max="12039" width="7.81640625" style="28" customWidth="1"/>
    <col min="12040" max="12040" width="8.81640625" style="28" customWidth="1"/>
    <col min="12041" max="12041" width="2.81640625" style="28" customWidth="1"/>
    <col min="12042" max="12042" width="1.81640625" style="28" customWidth="1"/>
    <col min="12043" max="12284" width="11.1796875" style="28"/>
    <col min="12285" max="12285" width="1.81640625" style="28" customWidth="1"/>
    <col min="12286" max="12287" width="3.81640625" style="28" customWidth="1"/>
    <col min="12288" max="12288" width="11.81640625" style="28" customWidth="1"/>
    <col min="12289" max="12290" width="7.81640625" style="28" customWidth="1"/>
    <col min="12291" max="12292" width="8.81640625" style="28" customWidth="1"/>
    <col min="12293" max="12293" width="10.81640625" style="28" customWidth="1"/>
    <col min="12294" max="12294" width="8.81640625" style="28" customWidth="1"/>
    <col min="12295" max="12295" width="7.81640625" style="28" customWidth="1"/>
    <col min="12296" max="12296" width="8.81640625" style="28" customWidth="1"/>
    <col min="12297" max="12297" width="2.81640625" style="28" customWidth="1"/>
    <col min="12298" max="12298" width="1.81640625" style="28" customWidth="1"/>
    <col min="12299" max="12540" width="11.1796875" style="28"/>
    <col min="12541" max="12541" width="1.81640625" style="28" customWidth="1"/>
    <col min="12542" max="12543" width="3.81640625" style="28" customWidth="1"/>
    <col min="12544" max="12544" width="11.81640625" style="28" customWidth="1"/>
    <col min="12545" max="12546" width="7.81640625" style="28" customWidth="1"/>
    <col min="12547" max="12548" width="8.81640625" style="28" customWidth="1"/>
    <col min="12549" max="12549" width="10.81640625" style="28" customWidth="1"/>
    <col min="12550" max="12550" width="8.81640625" style="28" customWidth="1"/>
    <col min="12551" max="12551" width="7.81640625" style="28" customWidth="1"/>
    <col min="12552" max="12552" width="8.81640625" style="28" customWidth="1"/>
    <col min="12553" max="12553" width="2.81640625" style="28" customWidth="1"/>
    <col min="12554" max="12554" width="1.81640625" style="28" customWidth="1"/>
    <col min="12555" max="12796" width="11.1796875" style="28"/>
    <col min="12797" max="12797" width="1.81640625" style="28" customWidth="1"/>
    <col min="12798" max="12799" width="3.81640625" style="28" customWidth="1"/>
    <col min="12800" max="12800" width="11.81640625" style="28" customWidth="1"/>
    <col min="12801" max="12802" width="7.81640625" style="28" customWidth="1"/>
    <col min="12803" max="12804" width="8.81640625" style="28" customWidth="1"/>
    <col min="12805" max="12805" width="10.81640625" style="28" customWidth="1"/>
    <col min="12806" max="12806" width="8.81640625" style="28" customWidth="1"/>
    <col min="12807" max="12807" width="7.81640625" style="28" customWidth="1"/>
    <col min="12808" max="12808" width="8.81640625" style="28" customWidth="1"/>
    <col min="12809" max="12809" width="2.81640625" style="28" customWidth="1"/>
    <col min="12810" max="12810" width="1.81640625" style="28" customWidth="1"/>
    <col min="12811" max="13052" width="11.1796875" style="28"/>
    <col min="13053" max="13053" width="1.81640625" style="28" customWidth="1"/>
    <col min="13054" max="13055" width="3.81640625" style="28" customWidth="1"/>
    <col min="13056" max="13056" width="11.81640625" style="28" customWidth="1"/>
    <col min="13057" max="13058" width="7.81640625" style="28" customWidth="1"/>
    <col min="13059" max="13060" width="8.81640625" style="28" customWidth="1"/>
    <col min="13061" max="13061" width="10.81640625" style="28" customWidth="1"/>
    <col min="13062" max="13062" width="8.81640625" style="28" customWidth="1"/>
    <col min="13063" max="13063" width="7.81640625" style="28" customWidth="1"/>
    <col min="13064" max="13064" width="8.81640625" style="28" customWidth="1"/>
    <col min="13065" max="13065" width="2.81640625" style="28" customWidth="1"/>
    <col min="13066" max="13066" width="1.81640625" style="28" customWidth="1"/>
    <col min="13067" max="13308" width="11.1796875" style="28"/>
    <col min="13309" max="13309" width="1.81640625" style="28" customWidth="1"/>
    <col min="13310" max="13311" width="3.81640625" style="28" customWidth="1"/>
    <col min="13312" max="13312" width="11.81640625" style="28" customWidth="1"/>
    <col min="13313" max="13314" width="7.81640625" style="28" customWidth="1"/>
    <col min="13315" max="13316" width="8.81640625" style="28" customWidth="1"/>
    <col min="13317" max="13317" width="10.81640625" style="28" customWidth="1"/>
    <col min="13318" max="13318" width="8.81640625" style="28" customWidth="1"/>
    <col min="13319" max="13319" width="7.81640625" style="28" customWidth="1"/>
    <col min="13320" max="13320" width="8.81640625" style="28" customWidth="1"/>
    <col min="13321" max="13321" width="2.81640625" style="28" customWidth="1"/>
    <col min="13322" max="13322" width="1.81640625" style="28" customWidth="1"/>
    <col min="13323" max="13564" width="11.1796875" style="28"/>
    <col min="13565" max="13565" width="1.81640625" style="28" customWidth="1"/>
    <col min="13566" max="13567" width="3.81640625" style="28" customWidth="1"/>
    <col min="13568" max="13568" width="11.81640625" style="28" customWidth="1"/>
    <col min="13569" max="13570" width="7.81640625" style="28" customWidth="1"/>
    <col min="13571" max="13572" width="8.81640625" style="28" customWidth="1"/>
    <col min="13573" max="13573" width="10.81640625" style="28" customWidth="1"/>
    <col min="13574" max="13574" width="8.81640625" style="28" customWidth="1"/>
    <col min="13575" max="13575" width="7.81640625" style="28" customWidth="1"/>
    <col min="13576" max="13576" width="8.81640625" style="28" customWidth="1"/>
    <col min="13577" max="13577" width="2.81640625" style="28" customWidth="1"/>
    <col min="13578" max="13578" width="1.81640625" style="28" customWidth="1"/>
    <col min="13579" max="13820" width="11.1796875" style="28"/>
    <col min="13821" max="13821" width="1.81640625" style="28" customWidth="1"/>
    <col min="13822" max="13823" width="3.81640625" style="28" customWidth="1"/>
    <col min="13824" max="13824" width="11.81640625" style="28" customWidth="1"/>
    <col min="13825" max="13826" width="7.81640625" style="28" customWidth="1"/>
    <col min="13827" max="13828" width="8.81640625" style="28" customWidth="1"/>
    <col min="13829" max="13829" width="10.81640625" style="28" customWidth="1"/>
    <col min="13830" max="13830" width="8.81640625" style="28" customWidth="1"/>
    <col min="13831" max="13831" width="7.81640625" style="28" customWidth="1"/>
    <col min="13832" max="13832" width="8.81640625" style="28" customWidth="1"/>
    <col min="13833" max="13833" width="2.81640625" style="28" customWidth="1"/>
    <col min="13834" max="13834" width="1.81640625" style="28" customWidth="1"/>
    <col min="13835" max="14076" width="11.1796875" style="28"/>
    <col min="14077" max="14077" width="1.81640625" style="28" customWidth="1"/>
    <col min="14078" max="14079" width="3.81640625" style="28" customWidth="1"/>
    <col min="14080" max="14080" width="11.81640625" style="28" customWidth="1"/>
    <col min="14081" max="14082" width="7.81640625" style="28" customWidth="1"/>
    <col min="14083" max="14084" width="8.81640625" style="28" customWidth="1"/>
    <col min="14085" max="14085" width="10.81640625" style="28" customWidth="1"/>
    <col min="14086" max="14086" width="8.81640625" style="28" customWidth="1"/>
    <col min="14087" max="14087" width="7.81640625" style="28" customWidth="1"/>
    <col min="14088" max="14088" width="8.81640625" style="28" customWidth="1"/>
    <col min="14089" max="14089" width="2.81640625" style="28" customWidth="1"/>
    <col min="14090" max="14090" width="1.81640625" style="28" customWidth="1"/>
    <col min="14091" max="14332" width="11.1796875" style="28"/>
    <col min="14333" max="14333" width="1.81640625" style="28" customWidth="1"/>
    <col min="14334" max="14335" width="3.81640625" style="28" customWidth="1"/>
    <col min="14336" max="14336" width="11.81640625" style="28" customWidth="1"/>
    <col min="14337" max="14338" width="7.81640625" style="28" customWidth="1"/>
    <col min="14339" max="14340" width="8.81640625" style="28" customWidth="1"/>
    <col min="14341" max="14341" width="10.81640625" style="28" customWidth="1"/>
    <col min="14342" max="14342" width="8.81640625" style="28" customWidth="1"/>
    <col min="14343" max="14343" width="7.81640625" style="28" customWidth="1"/>
    <col min="14344" max="14344" width="8.81640625" style="28" customWidth="1"/>
    <col min="14345" max="14345" width="2.81640625" style="28" customWidth="1"/>
    <col min="14346" max="14346" width="1.81640625" style="28" customWidth="1"/>
    <col min="14347" max="14588" width="11.1796875" style="28"/>
    <col min="14589" max="14589" width="1.81640625" style="28" customWidth="1"/>
    <col min="14590" max="14591" width="3.81640625" style="28" customWidth="1"/>
    <col min="14592" max="14592" width="11.81640625" style="28" customWidth="1"/>
    <col min="14593" max="14594" width="7.81640625" style="28" customWidth="1"/>
    <col min="14595" max="14596" width="8.81640625" style="28" customWidth="1"/>
    <col min="14597" max="14597" width="10.81640625" style="28" customWidth="1"/>
    <col min="14598" max="14598" width="8.81640625" style="28" customWidth="1"/>
    <col min="14599" max="14599" width="7.81640625" style="28" customWidth="1"/>
    <col min="14600" max="14600" width="8.81640625" style="28" customWidth="1"/>
    <col min="14601" max="14601" width="2.81640625" style="28" customWidth="1"/>
    <col min="14602" max="14602" width="1.81640625" style="28" customWidth="1"/>
    <col min="14603" max="14844" width="11.1796875" style="28"/>
    <col min="14845" max="14845" width="1.81640625" style="28" customWidth="1"/>
    <col min="14846" max="14847" width="3.81640625" style="28" customWidth="1"/>
    <col min="14848" max="14848" width="11.81640625" style="28" customWidth="1"/>
    <col min="14849" max="14850" width="7.81640625" style="28" customWidth="1"/>
    <col min="14851" max="14852" width="8.81640625" style="28" customWidth="1"/>
    <col min="14853" max="14853" width="10.81640625" style="28" customWidth="1"/>
    <col min="14854" max="14854" width="8.81640625" style="28" customWidth="1"/>
    <col min="14855" max="14855" width="7.81640625" style="28" customWidth="1"/>
    <col min="14856" max="14856" width="8.81640625" style="28" customWidth="1"/>
    <col min="14857" max="14857" width="2.81640625" style="28" customWidth="1"/>
    <col min="14858" max="14858" width="1.81640625" style="28" customWidth="1"/>
    <col min="14859" max="15100" width="11.1796875" style="28"/>
    <col min="15101" max="15101" width="1.81640625" style="28" customWidth="1"/>
    <col min="15102" max="15103" width="3.81640625" style="28" customWidth="1"/>
    <col min="15104" max="15104" width="11.81640625" style="28" customWidth="1"/>
    <col min="15105" max="15106" width="7.81640625" style="28" customWidth="1"/>
    <col min="15107" max="15108" width="8.81640625" style="28" customWidth="1"/>
    <col min="15109" max="15109" width="10.81640625" style="28" customWidth="1"/>
    <col min="15110" max="15110" width="8.81640625" style="28" customWidth="1"/>
    <col min="15111" max="15111" width="7.81640625" style="28" customWidth="1"/>
    <col min="15112" max="15112" width="8.81640625" style="28" customWidth="1"/>
    <col min="15113" max="15113" width="2.81640625" style="28" customWidth="1"/>
    <col min="15114" max="15114" width="1.81640625" style="28" customWidth="1"/>
    <col min="15115" max="15356" width="11.1796875" style="28"/>
    <col min="15357" max="15357" width="1.81640625" style="28" customWidth="1"/>
    <col min="15358" max="15359" width="3.81640625" style="28" customWidth="1"/>
    <col min="15360" max="15360" width="11.81640625" style="28" customWidth="1"/>
    <col min="15361" max="15362" width="7.81640625" style="28" customWidth="1"/>
    <col min="15363" max="15364" width="8.81640625" style="28" customWidth="1"/>
    <col min="15365" max="15365" width="10.81640625" style="28" customWidth="1"/>
    <col min="15366" max="15366" width="8.81640625" style="28" customWidth="1"/>
    <col min="15367" max="15367" width="7.81640625" style="28" customWidth="1"/>
    <col min="15368" max="15368" width="8.81640625" style="28" customWidth="1"/>
    <col min="15369" max="15369" width="2.81640625" style="28" customWidth="1"/>
    <col min="15370" max="15370" width="1.81640625" style="28" customWidth="1"/>
    <col min="15371" max="15612" width="11.1796875" style="28"/>
    <col min="15613" max="15613" width="1.81640625" style="28" customWidth="1"/>
    <col min="15614" max="15615" width="3.81640625" style="28" customWidth="1"/>
    <col min="15616" max="15616" width="11.81640625" style="28" customWidth="1"/>
    <col min="15617" max="15618" width="7.81640625" style="28" customWidth="1"/>
    <col min="15619" max="15620" width="8.81640625" style="28" customWidth="1"/>
    <col min="15621" max="15621" width="10.81640625" style="28" customWidth="1"/>
    <col min="15622" max="15622" width="8.81640625" style="28" customWidth="1"/>
    <col min="15623" max="15623" width="7.81640625" style="28" customWidth="1"/>
    <col min="15624" max="15624" width="8.81640625" style="28" customWidth="1"/>
    <col min="15625" max="15625" width="2.81640625" style="28" customWidth="1"/>
    <col min="15626" max="15626" width="1.81640625" style="28" customWidth="1"/>
    <col min="15627" max="15868" width="11.1796875" style="28"/>
    <col min="15869" max="15869" width="1.81640625" style="28" customWidth="1"/>
    <col min="15870" max="15871" width="3.81640625" style="28" customWidth="1"/>
    <col min="15872" max="15872" width="11.81640625" style="28" customWidth="1"/>
    <col min="15873" max="15874" width="7.81640625" style="28" customWidth="1"/>
    <col min="15875" max="15876" width="8.81640625" style="28" customWidth="1"/>
    <col min="15877" max="15877" width="10.81640625" style="28" customWidth="1"/>
    <col min="15878" max="15878" width="8.81640625" style="28" customWidth="1"/>
    <col min="15879" max="15879" width="7.81640625" style="28" customWidth="1"/>
    <col min="15880" max="15880" width="8.81640625" style="28" customWidth="1"/>
    <col min="15881" max="15881" width="2.81640625" style="28" customWidth="1"/>
    <col min="15882" max="15882" width="1.81640625" style="28" customWidth="1"/>
    <col min="15883" max="16124" width="11.1796875" style="28"/>
    <col min="16125" max="16125" width="1.81640625" style="28" customWidth="1"/>
    <col min="16126" max="16127" width="3.81640625" style="28" customWidth="1"/>
    <col min="16128" max="16128" width="11.81640625" style="28" customWidth="1"/>
    <col min="16129" max="16130" width="7.81640625" style="28" customWidth="1"/>
    <col min="16131" max="16132" width="8.81640625" style="28" customWidth="1"/>
    <col min="16133" max="16133" width="10.81640625" style="28" customWidth="1"/>
    <col min="16134" max="16134" width="8.81640625" style="28" customWidth="1"/>
    <col min="16135" max="16135" width="7.81640625" style="28" customWidth="1"/>
    <col min="16136" max="16136" width="8.81640625" style="28" customWidth="1"/>
    <col min="16137" max="16137" width="2.81640625" style="28" customWidth="1"/>
    <col min="16138" max="16138" width="1.81640625" style="28" customWidth="1"/>
    <col min="16139" max="16384" width="11.1796875" style="28"/>
  </cols>
  <sheetData>
    <row r="1" spans="1:26" ht="15.6" thickBot="1"/>
    <row r="2" spans="1:26" ht="21" customHeight="1" thickTop="1">
      <c r="B2" s="29"/>
      <c r="C2" s="30"/>
      <c r="D2" s="31"/>
      <c r="E2" s="31"/>
      <c r="F2" s="31"/>
      <c r="G2" s="31"/>
      <c r="H2" s="31"/>
      <c r="I2" s="31"/>
      <c r="J2" s="30"/>
      <c r="K2" s="30"/>
      <c r="L2" s="30"/>
      <c r="M2" s="30"/>
      <c r="N2" s="30"/>
      <c r="O2" s="30"/>
      <c r="P2" s="30"/>
      <c r="Q2" s="30"/>
      <c r="R2" s="32"/>
      <c r="T2" s="246" cm="1">
        <f t="array" ref="T2">INDEX(DATA!$B$99:$B$104,$T$8)</f>
      </c>
      <c r="U2" s="246"/>
      <c r="V2" s="246">
        <f>TEXT($T$2,"[$-21]dd mmmm yyyy")</f>
      </c>
      <c r="W2" s="261">
        <f>TEXT(T2,"[$-21]dd mmmm yyyy")</f>
      </c>
    </row>
    <row r="3" spans="1:26" ht="17.399999999999999">
      <c r="B3" s="33"/>
      <c r="C3" s="34"/>
      <c r="D3" s="53"/>
      <c r="E3" s="53"/>
      <c r="F3" s="53"/>
      <c r="G3" s="53"/>
      <c r="H3" s="53"/>
      <c r="I3" s="53"/>
      <c r="J3" s="34"/>
      <c r="K3" s="34"/>
      <c r="L3" s="35"/>
      <c r="M3" s="35"/>
      <c r="N3" s="35"/>
      <c r="O3" s="35"/>
      <c r="P3" s="35"/>
      <c r="Q3" s="35"/>
      <c r="R3" s="36"/>
      <c r="T3" s="246">
        <f>TEXT($T$2,"[$-21]dddd")</f>
      </c>
      <c r="U3" s="61"/>
      <c r="V3" s="246"/>
      <c r="W3" s="61"/>
      <c r="X3" s="61"/>
      <c r="Y3" s="61"/>
      <c r="Z3" s="61"/>
    </row>
    <row r="4" spans="1:26">
      <c r="A4" s="37"/>
      <c r="B4" s="38"/>
      <c r="C4" s="39"/>
      <c r="D4" s="40"/>
      <c r="E4" s="40"/>
      <c r="F4" s="40"/>
      <c r="G4" s="40"/>
      <c r="H4" s="40"/>
      <c r="I4" s="40"/>
      <c r="J4" s="40"/>
      <c r="K4" s="37"/>
      <c r="L4" s="37"/>
      <c r="M4" s="37"/>
      <c r="N4" s="37"/>
      <c r="O4" s="37"/>
      <c r="P4" s="37"/>
      <c r="Q4" s="37"/>
      <c r="R4" s="41"/>
      <c r="S4" s="37"/>
      <c r="T4" s="246">
        <f>VLOOKUP(DAY($T$2),HELPER!$A$2:$B$100,2,0)</f>
      </c>
      <c r="U4" s="61"/>
      <c r="V4" s="246"/>
      <c r="W4" s="61"/>
      <c r="X4" s="61"/>
      <c r="Y4" s="61"/>
      <c r="Z4" s="61"/>
    </row>
    <row r="5" spans="1:26">
      <c r="A5" s="37"/>
      <c r="B5" s="38"/>
      <c r="C5" s="39"/>
      <c r="D5" s="40"/>
      <c r="E5" s="40"/>
      <c r="F5" s="40"/>
      <c r="G5" s="40"/>
      <c r="H5" s="40"/>
      <c r="I5" s="40"/>
      <c r="J5" s="40"/>
      <c r="K5" s="37"/>
      <c r="L5" s="37"/>
      <c r="M5" s="37"/>
      <c r="N5" s="37"/>
      <c r="O5" s="37"/>
      <c r="P5" s="37"/>
      <c r="Q5" s="37"/>
      <c r="R5" s="41"/>
      <c r="S5" s="37"/>
      <c r="T5" s="246">
        <f>TEXT($T$2,"[$-21]mmmm")</f>
      </c>
      <c r="U5" s="61"/>
      <c r="V5" s="61"/>
      <c r="W5" s="61"/>
      <c r="X5" s="61"/>
      <c r="Y5" s="61"/>
      <c r="Z5" s="61"/>
    </row>
    <row r="6" spans="1:26" ht="9" customHeight="1">
      <c r="A6" s="37"/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4"/>
      <c r="S6" s="37"/>
      <c r="T6" s="246">
        <f>"Dua Ribu"&amp;IF(MOD(YEAR($T$2),100)=0,""," "&amp;VLOOKUP(MOD(YEAR($T$2),100),HELPER!$A$2:$B$100,2,0))</f>
      </c>
      <c r="U6" s="61"/>
      <c r="V6" s="61"/>
      <c r="W6" s="61"/>
      <c r="X6" s="61"/>
      <c r="Y6" s="61"/>
      <c r="Z6" s="61"/>
    </row>
    <row r="7" spans="1:26" ht="15.6">
      <c r="A7" s="37"/>
      <c r="B7" s="645"/>
      <c r="C7" s="646"/>
      <c r="D7" s="646"/>
      <c r="E7" s="646"/>
      <c r="F7" s="646"/>
      <c r="G7" s="646"/>
      <c r="H7" s="646"/>
      <c r="I7" s="646"/>
      <c r="J7" s="646"/>
      <c r="K7" s="646"/>
      <c r="L7" s="646"/>
      <c r="M7" s="646"/>
      <c r="N7" s="646"/>
      <c r="O7" s="646"/>
      <c r="P7" s="646"/>
      <c r="Q7" s="646"/>
      <c r="R7" s="647"/>
      <c r="S7" s="37"/>
      <c r="T7" s="468" t="s">
        <v>51</v>
      </c>
      <c r="U7" s="61"/>
      <c r="V7" s="61"/>
      <c r="W7" s="61"/>
      <c r="X7" s="61"/>
      <c r="Y7" s="61"/>
      <c r="Z7" s="61"/>
    </row>
    <row r="8" spans="1:26">
      <c r="A8" s="37"/>
      <c r="B8" s="429"/>
      <c r="C8" s="430"/>
      <c r="D8" s="430"/>
      <c r="E8" s="430"/>
      <c r="F8" s="430"/>
      <c r="G8" s="430"/>
      <c r="H8" s="430"/>
      <c r="I8" s="430"/>
      <c r="J8" s="430"/>
      <c r="K8" s="430"/>
      <c r="L8" s="430"/>
      <c r="M8" s="430"/>
      <c r="N8" s="430"/>
      <c r="O8" s="430"/>
      <c r="P8" s="430"/>
      <c r="Q8" s="430"/>
      <c r="R8" s="431"/>
      <c r="S8" s="37"/>
      <c r="T8" s="469">
        <v>4</v>
      </c>
      <c r="U8" s="61"/>
      <c r="V8" s="61"/>
      <c r="W8" s="61"/>
      <c r="X8" s="61"/>
      <c r="Y8" s="61"/>
      <c r="Z8" s="61"/>
    </row>
    <row r="9" spans="1:26" ht="21">
      <c r="A9" s="37"/>
      <c r="B9" s="642" t="s">
        <v>87</v>
      </c>
      <c r="C9" s="643"/>
      <c r="D9" s="643"/>
      <c r="E9" s="643"/>
      <c r="F9" s="643"/>
      <c r="G9" s="643"/>
      <c r="H9" s="643"/>
      <c r="I9" s="643"/>
      <c r="J9" s="643"/>
      <c r="K9" s="643"/>
      <c r="L9" s="643"/>
      <c r="M9" s="643"/>
      <c r="N9" s="643"/>
      <c r="O9" s="643"/>
      <c r="P9" s="643"/>
      <c r="Q9" s="643"/>
      <c r="R9" s="644"/>
      <c r="S9" s="37"/>
      <c r="T9" s="246"/>
      <c r="U9" s="62"/>
      <c r="V9" s="62"/>
      <c r="W9" s="62"/>
      <c r="X9" s="62"/>
      <c r="Y9" s="62"/>
      <c r="Z9" s="62"/>
    </row>
    <row r="10" spans="1:26">
      <c r="A10" s="37"/>
      <c r="B10" s="645">
        <f>TEXT($T$8,"00")&amp;"/BAPP/"&amp;DATA!$B$4</f>
      </c>
      <c r="C10" s="646"/>
      <c r="D10" s="646"/>
      <c r="E10" s="646"/>
      <c r="F10" s="646"/>
      <c r="G10" s="646"/>
      <c r="H10" s="646"/>
      <c r="I10" s="646"/>
      <c r="J10" s="646"/>
      <c r="K10" s="646"/>
      <c r="L10" s="646"/>
      <c r="M10" s="646"/>
      <c r="N10" s="646"/>
      <c r="O10" s="646"/>
      <c r="P10" s="646"/>
      <c r="Q10" s="646"/>
      <c r="R10" s="647"/>
      <c r="S10" s="37"/>
      <c r="T10" s="246"/>
      <c r="U10" s="62"/>
      <c r="V10" s="62"/>
      <c r="W10" s="62"/>
      <c r="X10" s="62"/>
      <c r="Y10" s="62"/>
      <c r="Z10" s="62"/>
    </row>
    <row r="11" spans="1:26">
      <c r="A11" s="37"/>
      <c r="B11" s="429"/>
      <c r="C11" s="430"/>
      <c r="D11" s="430"/>
      <c r="E11" s="430"/>
      <c r="F11" s="430"/>
      <c r="G11" s="430"/>
      <c r="H11" s="430"/>
      <c r="I11" s="430"/>
      <c r="J11" s="430"/>
      <c r="K11" s="430"/>
      <c r="L11" s="430"/>
      <c r="M11" s="430"/>
      <c r="N11" s="430"/>
      <c r="O11" s="430"/>
      <c r="P11" s="430"/>
      <c r="Q11" s="430"/>
      <c r="R11" s="431"/>
      <c r="S11" s="37"/>
      <c r="T11" s="246"/>
      <c r="U11" s="62"/>
      <c r="V11" s="62"/>
      <c r="W11" s="62"/>
      <c r="X11" s="62"/>
      <c r="Y11" s="62"/>
      <c r="Z11" s="62"/>
    </row>
    <row r="12" spans="1:26" ht="21" customHeight="1">
      <c r="A12" s="37"/>
      <c r="B12" s="38"/>
      <c r="C12" s="648">
        <f>"Pada hari ini "&amp;T3&amp;" tanggal "&amp;T4&amp;" bulan "&amp;T5&amp;" tahun "&amp;T6&amp;" ("&amp;V2&amp;"), kami yang bertandatangan di bawah ini:"</f>
      </c>
      <c r="D12" s="648"/>
      <c r="E12" s="648"/>
      <c r="F12" s="648"/>
      <c r="G12" s="648"/>
      <c r="H12" s="648"/>
      <c r="I12" s="648"/>
      <c r="J12" s="648"/>
      <c r="K12" s="648"/>
      <c r="L12" s="648"/>
      <c r="M12" s="648"/>
      <c r="N12" s="648"/>
      <c r="O12" s="648"/>
      <c r="P12" s="648"/>
      <c r="Q12" s="648"/>
      <c r="R12" s="46"/>
      <c r="S12" s="37"/>
      <c r="T12" s="62"/>
      <c r="U12" s="62"/>
      <c r="V12" s="62"/>
      <c r="W12" s="62"/>
      <c r="X12" s="62"/>
      <c r="Y12" s="62"/>
      <c r="Z12" s="62"/>
    </row>
    <row r="13" spans="1:26" ht="5.25" customHeight="1">
      <c r="A13" s="37"/>
      <c r="B13" s="38"/>
      <c r="C13" s="43"/>
      <c r="D13" s="60"/>
      <c r="E13" s="60"/>
      <c r="F13" s="60"/>
      <c r="G13" s="60"/>
      <c r="H13" s="60"/>
      <c r="I13" s="60"/>
      <c r="J13" s="43"/>
      <c r="K13" s="43"/>
      <c r="L13" s="43"/>
      <c r="M13" s="43"/>
      <c r="N13" s="43"/>
      <c r="O13" s="43"/>
      <c r="P13" s="43"/>
      <c r="Q13" s="43"/>
      <c r="R13" s="46"/>
      <c r="S13" s="37"/>
      <c r="T13" s="62"/>
      <c r="U13" s="62"/>
      <c r="V13" s="62"/>
      <c r="W13" s="62"/>
      <c r="X13" s="62"/>
      <c r="Y13" s="62"/>
      <c r="Z13" s="62"/>
    </row>
    <row r="14" spans="1:26" ht="18" customHeight="1">
      <c r="A14" s="37"/>
      <c r="B14" s="38"/>
      <c r="C14" s="221" t="s">
        <v>88</v>
      </c>
      <c r="D14" s="222">
        <f>DATA!$B$14</f>
      </c>
      <c r="E14" s="222" t="s">
        <v>2</v>
      </c>
      <c r="F14" s="630">
        <f>"Selaku "&amp;DATA!$B$16&amp;", Proyek "&amp;DATA!$B$7&amp;", dalam hal ini bertindak untuk dan atas nama "&amp;DATA!$B$17&amp;", yang berkedudukan di "&amp;DATA!$B$18</f>
      </c>
      <c r="G14" s="630"/>
      <c r="H14" s="630"/>
      <c r="I14" s="630"/>
      <c r="J14" s="630"/>
      <c r="K14" s="630"/>
      <c r="L14" s="630"/>
      <c r="M14" s="630"/>
      <c r="N14" s="630"/>
      <c r="O14" s="630"/>
      <c r="P14" s="630"/>
      <c r="Q14" s="630"/>
      <c r="R14" s="631"/>
      <c r="S14" s="37" t="s">
        <v>89</v>
      </c>
    </row>
    <row r="15" spans="1:26" ht="12.45" customHeight="1">
      <c r="A15" s="37"/>
      <c r="B15" s="38"/>
      <c r="C15" s="43"/>
      <c r="D15" s="60"/>
      <c r="E15" s="60"/>
      <c r="F15" s="630"/>
      <c r="G15" s="630"/>
      <c r="H15" s="630"/>
      <c r="I15" s="630"/>
      <c r="J15" s="630"/>
      <c r="K15" s="630"/>
      <c r="L15" s="630"/>
      <c r="M15" s="630"/>
      <c r="N15" s="630"/>
      <c r="O15" s="630"/>
      <c r="P15" s="630"/>
      <c r="Q15" s="630"/>
      <c r="R15" s="631"/>
      <c r="S15" s="37"/>
      <c r="U15" s="253" t="s">
        <v>90</v>
      </c>
    </row>
    <row r="16" spans="1:26">
      <c r="A16" s="37"/>
      <c r="B16" s="38"/>
      <c r="C16" s="43"/>
      <c r="D16" s="60"/>
      <c r="E16" s="60"/>
      <c r="F16" s="44" t="s">
        <v>91</v>
      </c>
      <c r="G16" s="44"/>
      <c r="H16" s="44"/>
      <c r="I16" s="44"/>
      <c r="J16" s="43"/>
      <c r="M16" s="45"/>
      <c r="N16" s="45"/>
      <c r="O16" s="45"/>
      <c r="P16" s="45"/>
      <c r="Q16" s="45"/>
      <c r="R16" s="46"/>
      <c r="S16" s="37"/>
    </row>
    <row r="17" spans="1:19" ht="7.5" customHeight="1">
      <c r="A17" s="37"/>
      <c r="B17" s="38"/>
      <c r="C17" s="43"/>
      <c r="D17" s="60"/>
      <c r="E17" s="60"/>
      <c r="F17" s="60"/>
      <c r="G17" s="60"/>
      <c r="H17" s="60"/>
      <c r="I17" s="60"/>
      <c r="J17" s="43"/>
      <c r="K17" s="43"/>
      <c r="L17" s="45"/>
      <c r="M17" s="45"/>
      <c r="N17" s="45"/>
      <c r="O17" s="45"/>
      <c r="P17" s="45"/>
      <c r="Q17" s="45"/>
      <c r="R17" s="46"/>
      <c r="S17" s="37"/>
    </row>
    <row r="18" spans="1:19" ht="30.45" customHeight="1">
      <c r="A18" s="37"/>
      <c r="B18" s="38"/>
      <c r="C18" s="221" t="s">
        <v>92</v>
      </c>
      <c r="D18" s="222">
        <f>DATA!$B$22</f>
      </c>
      <c r="E18" s="222" t="s">
        <v>2</v>
      </c>
      <c r="F18" s="630">
        <f>"Selaku "&amp;DATA!$B$23&amp;" "&amp;DATA!$B$24&amp;", dalam hal ini bertindak untuk dan atas nama "&amp;DATA!$B$24&amp;" yang berkedudukan di "&amp;DATA!$B$25</f>
      </c>
      <c r="G18" s="630"/>
      <c r="H18" s="630"/>
      <c r="I18" s="630"/>
      <c r="J18" s="630"/>
      <c r="K18" s="630"/>
      <c r="L18" s="630"/>
      <c r="M18" s="630"/>
      <c r="N18" s="630"/>
      <c r="O18" s="630"/>
      <c r="P18" s="630"/>
      <c r="Q18" s="630"/>
      <c r="R18" s="631"/>
      <c r="S18" s="37" t="s">
        <v>89</v>
      </c>
    </row>
    <row r="19" spans="1:19">
      <c r="A19" s="37"/>
      <c r="B19" s="38"/>
      <c r="C19" s="43"/>
      <c r="D19" s="60"/>
      <c r="E19" s="60"/>
      <c r="F19" s="44" t="s">
        <v>93</v>
      </c>
      <c r="G19" s="44"/>
      <c r="H19" s="44"/>
      <c r="I19" s="44"/>
      <c r="J19" s="43"/>
      <c r="M19" s="45"/>
      <c r="N19" s="45"/>
      <c r="O19" s="45"/>
      <c r="P19" s="45"/>
      <c r="Q19" s="45"/>
      <c r="R19" s="46"/>
      <c r="S19" s="37"/>
    </row>
    <row r="20" spans="1:19" ht="8.4" customHeight="1">
      <c r="A20" s="37"/>
      <c r="B20" s="38"/>
      <c r="C20" s="43"/>
      <c r="D20" s="60"/>
      <c r="E20" s="60"/>
      <c r="F20" s="60"/>
      <c r="G20" s="60"/>
      <c r="H20" s="60"/>
      <c r="I20" s="60"/>
      <c r="J20" s="43"/>
      <c r="K20" s="43"/>
      <c r="L20" s="45"/>
      <c r="M20" s="45"/>
      <c r="N20" s="45"/>
      <c r="O20" s="45"/>
      <c r="P20" s="45"/>
      <c r="Q20" s="45"/>
      <c r="R20" s="46"/>
      <c r="S20" s="37"/>
    </row>
    <row r="21" spans="1:19">
      <c r="A21" s="37"/>
      <c r="B21" s="38"/>
      <c r="C21" s="632">
        <f>"Menerangkan bahwa kedua belah pihak telah setuju dan sepakat melakukan pemeriksaan pekerjaan sesuai dengan lampiran SPKP Nomor "&amp;DATA!$B$4&amp;", dan menyetujui prestasi pekerjaan berdasakan :"</f>
      </c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3"/>
      <c r="S21" s="37"/>
    </row>
    <row r="22" spans="1:19" ht="17.25" customHeight="1">
      <c r="A22" s="37"/>
      <c r="B22" s="38"/>
      <c r="C22" s="632"/>
      <c r="D22" s="632"/>
      <c r="E22" s="632"/>
      <c r="F22" s="632"/>
      <c r="G22" s="63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3"/>
      <c r="S22" s="37"/>
    </row>
    <row r="23" spans="1:19">
      <c r="A23" s="37"/>
      <c r="B23" s="38"/>
      <c r="C23" s="204">
        <v>1</v>
      </c>
      <c r="D23" s="205" t="s">
        <v>53</v>
      </c>
      <c r="E23" s="205"/>
      <c r="F23" s="205"/>
      <c r="G23" s="205" t="s">
        <v>2</v>
      </c>
      <c r="H23" s="206">
        <f>DATA!$B$4</f>
      </c>
      <c r="I23" s="204"/>
      <c r="J23" s="204"/>
      <c r="K23" s="204"/>
      <c r="L23" s="207" t="s">
        <v>94</v>
      </c>
      <c r="M23" s="616">
        <f>TEXT(DATA!$B$5,"[$-21]dd mmmm yyyy")</f>
      </c>
      <c r="N23" s="616"/>
      <c r="R23" s="208"/>
      <c r="S23" s="37"/>
    </row>
    <row r="24" spans="1:19">
      <c r="A24" s="37"/>
      <c r="B24" s="38"/>
      <c r="C24" s="204">
        <v>2</v>
      </c>
      <c r="D24" s="205" t="s">
        <v>59</v>
      </c>
      <c r="E24" s="205"/>
      <c r="F24" s="205"/>
      <c r="G24" s="205" t="s">
        <v>2</v>
      </c>
      <c r="H24" s="207" t="s">
        <v>95</v>
      </c>
      <c r="I24" s="614">
        <f>#REF!</f>
      </c>
      <c r="J24" s="614"/>
      <c r="K24" s="615" t="s">
        <v>60</v>
      </c>
      <c r="L24" s="615"/>
      <c r="N24" s="209"/>
      <c r="O24" s="204"/>
      <c r="P24" s="204"/>
      <c r="Q24" s="204"/>
      <c r="R24" s="208"/>
      <c r="S24" s="37"/>
    </row>
    <row r="25" spans="1:19">
      <c r="A25" s="37"/>
      <c r="B25" s="38"/>
      <c r="C25" s="204">
        <v>3</v>
      </c>
      <c r="D25" s="205" t="s">
        <v>96</v>
      </c>
      <c r="E25" s="205"/>
      <c r="F25" s="205"/>
      <c r="G25" s="205" t="s">
        <v>2</v>
      </c>
      <c r="H25" s="616">
        <f>TEXT(DATA!$B$8,"[$-21]dd mmmm yyyy")</f>
      </c>
      <c r="I25" s="616"/>
      <c r="J25" s="210" t="s">
        <v>97</v>
      </c>
      <c r="K25" s="635">
        <f>TEXT(DATA!$B$9,"[$-21]dd mmmm yyyy")</f>
      </c>
      <c r="L25" s="635"/>
      <c r="M25" s="211"/>
      <c r="Q25" s="204"/>
      <c r="R25" s="208"/>
      <c r="S25" s="37"/>
    </row>
    <row r="26" spans="1:19">
      <c r="A26" s="37"/>
      <c r="B26" s="38"/>
      <c r="C26" s="205" t="s">
        <v>98</v>
      </c>
      <c r="D26" s="204"/>
      <c r="E26" s="204"/>
      <c r="F26" s="204"/>
      <c r="G26" s="204"/>
      <c r="H26" s="204"/>
      <c r="I26" s="205"/>
      <c r="J26" s="204"/>
      <c r="K26" s="204"/>
      <c r="L26" s="204"/>
      <c r="M26" s="204"/>
      <c r="N26" s="204"/>
      <c r="O26" s="204"/>
      <c r="P26" s="204"/>
      <c r="Q26" s="204"/>
      <c r="R26" s="208"/>
      <c r="S26" s="37"/>
    </row>
    <row r="27" spans="1:19" ht="5.25" customHeight="1">
      <c r="A27" s="37"/>
      <c r="B27" s="38"/>
      <c r="C27" s="212"/>
      <c r="D27" s="209"/>
      <c r="E27" s="209"/>
      <c r="F27" s="209"/>
      <c r="G27" s="209"/>
      <c r="H27" s="209"/>
      <c r="I27" s="209"/>
      <c r="J27" s="212"/>
      <c r="K27" s="212"/>
      <c r="L27" s="204"/>
      <c r="M27" s="212"/>
      <c r="N27" s="212"/>
      <c r="O27" s="212"/>
      <c r="P27" s="212"/>
      <c r="Q27" s="212"/>
      <c r="R27" s="208"/>
      <c r="S27" s="37"/>
    </row>
    <row r="28" spans="1:19">
      <c r="A28" s="37"/>
      <c r="B28" s="82"/>
      <c r="C28" s="65"/>
      <c r="D28" s="83"/>
      <c r="E28" s="83"/>
      <c r="F28" s="83"/>
      <c r="G28" s="83"/>
      <c r="H28" s="83"/>
      <c r="I28" s="83"/>
      <c r="J28" s="80" t="s">
        <v>99</v>
      </c>
      <c r="K28" s="80" t="s">
        <v>100</v>
      </c>
      <c r="L28" s="84"/>
      <c r="M28" s="84"/>
      <c r="N28" s="84"/>
      <c r="O28" s="84"/>
      <c r="P28" s="65"/>
      <c r="Q28" s="80" t="s">
        <v>36</v>
      </c>
      <c r="R28" s="47"/>
    </row>
    <row r="29" spans="1:19" ht="15" customHeight="1">
      <c r="A29" s="37"/>
      <c r="B29" s="85"/>
      <c r="C29" s="86"/>
      <c r="D29" s="79"/>
      <c r="E29" s="79"/>
      <c r="F29" s="79"/>
      <c r="G29" s="79"/>
      <c r="H29" s="79"/>
      <c r="I29" s="79"/>
      <c r="J29" s="81" t="s">
        <v>101</v>
      </c>
      <c r="K29" s="80" t="s">
        <v>102</v>
      </c>
      <c r="L29" s="637" t="s">
        <v>103</v>
      </c>
      <c r="M29" s="54" t="s">
        <v>102</v>
      </c>
      <c r="N29" s="80" t="s">
        <v>102</v>
      </c>
      <c r="O29" s="80" t="s">
        <v>104</v>
      </c>
      <c r="P29" s="87" t="s">
        <v>105</v>
      </c>
      <c r="Q29" s="81" t="s">
        <v>105</v>
      </c>
      <c r="R29" s="42"/>
    </row>
    <row r="30" spans="1:19" ht="15" customHeight="1">
      <c r="A30" s="37"/>
      <c r="B30" s="88" t="s">
        <v>106</v>
      </c>
      <c r="C30" s="81" t="s">
        <v>107</v>
      </c>
      <c r="D30" s="89"/>
      <c r="E30" s="89"/>
      <c r="F30" s="89"/>
      <c r="G30" s="89"/>
      <c r="H30" s="89"/>
      <c r="I30" s="89"/>
      <c r="J30" s="81" t="s">
        <v>108</v>
      </c>
      <c r="K30" s="81" t="s">
        <v>109</v>
      </c>
      <c r="L30" s="638"/>
      <c r="M30" s="55" t="s">
        <v>109</v>
      </c>
      <c r="N30" s="81" t="s">
        <v>110</v>
      </c>
      <c r="O30" s="81" t="s">
        <v>111</v>
      </c>
      <c r="P30" s="87" t="s">
        <v>112</v>
      </c>
      <c r="Q30" s="81" t="s">
        <v>110</v>
      </c>
      <c r="R30" s="42"/>
    </row>
    <row r="31" spans="1:19" ht="15.75" customHeight="1">
      <c r="A31" s="37"/>
      <c r="B31" s="85"/>
      <c r="C31" s="86"/>
      <c r="D31" s="79"/>
      <c r="E31" s="79"/>
      <c r="F31" s="79"/>
      <c r="G31" s="79"/>
      <c r="H31" s="79"/>
      <c r="I31" s="79"/>
      <c r="J31" s="81" t="s">
        <v>113</v>
      </c>
      <c r="K31" s="81" t="s">
        <v>114</v>
      </c>
      <c r="L31" s="639"/>
      <c r="M31" s="69" t="s">
        <v>115</v>
      </c>
      <c r="N31" s="81" t="s">
        <v>116</v>
      </c>
      <c r="O31" s="81" t="s">
        <v>117</v>
      </c>
      <c r="P31" s="86"/>
      <c r="Q31" s="81" t="s">
        <v>116</v>
      </c>
      <c r="R31" s="42"/>
    </row>
    <row r="32" spans="1:19">
      <c r="A32" s="37"/>
      <c r="B32" s="48" t="s">
        <v>118</v>
      </c>
      <c r="C32" s="49" t="s">
        <v>119</v>
      </c>
      <c r="D32" s="50"/>
      <c r="E32" s="50"/>
      <c r="F32" s="50"/>
      <c r="G32" s="50"/>
      <c r="H32" s="50"/>
      <c r="I32" s="50"/>
      <c r="J32" s="49">
        <v>3</v>
      </c>
      <c r="K32" s="49">
        <v>4</v>
      </c>
      <c r="L32" s="49">
        <v>5</v>
      </c>
      <c r="M32" s="49" t="s">
        <v>120</v>
      </c>
      <c r="N32" s="49">
        <v>7</v>
      </c>
      <c r="O32" s="49" t="s">
        <v>121</v>
      </c>
      <c r="P32" s="51">
        <v>9</v>
      </c>
      <c r="Q32" s="49" t="s">
        <v>122</v>
      </c>
      <c r="R32" s="52"/>
    </row>
    <row r="33" spans="1:18" ht="18" customHeight="1">
      <c r="A33" s="37"/>
      <c r="B33" s="175"/>
      <c r="C33" s="177"/>
      <c r="D33" s="176"/>
      <c r="E33" s="176"/>
      <c r="F33" s="176"/>
      <c r="G33" s="176"/>
      <c r="H33" s="176"/>
      <c r="I33" s="176"/>
      <c r="J33" s="78"/>
      <c r="K33" s="78"/>
      <c r="L33" s="78"/>
      <c r="M33" s="78"/>
      <c r="N33" s="78"/>
      <c r="O33" s="78"/>
      <c r="P33" s="78"/>
      <c r="Q33" s="608"/>
      <c r="R33" s="609"/>
    </row>
    <row r="34" spans="1:18" ht="31.2" customHeight="1">
      <c r="A34" s="37"/>
      <c r="B34" s="175"/>
      <c r="C34" s="649">
        <f>'rincian 4'!C11</f>
      </c>
      <c r="D34" s="650"/>
      <c r="E34" s="650"/>
      <c r="F34" s="650"/>
      <c r="G34" s="650"/>
      <c r="H34" s="650"/>
      <c r="I34" s="651"/>
      <c r="J34" s="91"/>
      <c r="K34" s="78"/>
      <c r="L34" s="78"/>
      <c r="M34" s="78"/>
      <c r="N34" s="78"/>
      <c r="O34" s="78"/>
      <c r="P34" s="78"/>
      <c r="Q34" s="608"/>
      <c r="R34" s="609"/>
    </row>
    <row r="35" spans="1:18" ht="18" customHeight="1">
      <c r="A35" s="37"/>
      <c r="B35" s="406">
        <f>#REF!</f>
      </c>
      <c r="C35" s="407"/>
      <c r="D35" s="408">
        <f>IF(#REF!&lt;&gt;"",#REF!,IF(#REF!&lt;&gt;"",#REF!,""))</f>
      </c>
      <c r="E35" s="408"/>
      <c r="F35" s="408"/>
      <c r="G35" s="408"/>
      <c r="H35" s="408"/>
      <c r="I35" s="408"/>
      <c r="J35" s="409"/>
      <c r="K35" s="409"/>
      <c r="L35" s="409"/>
      <c r="M35" s="409"/>
      <c r="N35" s="409"/>
      <c r="O35" s="409"/>
      <c r="P35" s="410"/>
      <c r="Q35" s="652"/>
      <c r="R35" s="609"/>
    </row>
    <row r="36" spans="1:18" ht="18" customHeight="1">
      <c r="A36" s="37"/>
      <c r="B36" s="404">
        <f>#REF!</f>
      </c>
      <c r="C36" s="233"/>
      <c r="D36" s="405">
        <f>IF(#REF!&lt;&gt;"",#REF!,IF(#REF!&lt;&gt;"",#REF!,""))</f>
      </c>
      <c r="E36" s="405"/>
      <c r="F36" s="405"/>
      <c r="G36" s="405"/>
      <c r="H36" s="405"/>
      <c r="I36" s="405"/>
      <c r="J36" s="252"/>
      <c r="K36" s="252"/>
      <c r="L36" s="252"/>
      <c r="M36" s="252"/>
      <c r="N36" s="252"/>
      <c r="O36" s="252"/>
      <c r="P36" s="78"/>
      <c r="Q36" s="624"/>
      <c r="R36" s="625"/>
    </row>
    <row r="37" spans="1:18" ht="21" customHeight="1">
      <c r="A37" s="37"/>
      <c r="B37" s="175">
        <f>#REF!</f>
      </c>
      <c r="C37" s="177"/>
      <c r="D37" s="653">
        <f>IF(#REF!&lt;&gt;"",#REF!,IF(#REF!&lt;&gt;"",#REF!,""))</f>
      </c>
      <c r="E37" s="653"/>
      <c r="F37" s="653"/>
      <c r="G37" s="653"/>
      <c r="H37" s="653"/>
      <c r="I37" s="654"/>
      <c r="J37" s="252">
        <f>#REF!</f>
      </c>
      <c r="K37" s="252">
        <f ca="1">'rincian 4'!S14</f>
      </c>
      <c r="L37" s="252">
        <f>'rincian 4'!U14</f>
      </c>
      <c r="M37" s="252">
        <f ca="1">K37+L37</f>
      </c>
      <c r="N37" s="252">
        <f>L37</f>
      </c>
      <c r="O37" s="252">
        <f ca="1">J37-M37</f>
      </c>
      <c r="P37" s="78">
        <f>#REF!</f>
      </c>
      <c r="Q37" s="608">
        <f>N37*P37</f>
      </c>
      <c r="R37" s="609"/>
    </row>
    <row r="38" spans="1:18" ht="36" customHeight="1">
      <c r="A38" s="37"/>
      <c r="B38" s="175">
        <f>#REF!</f>
      </c>
      <c r="C38" s="177"/>
      <c r="D38" s="653">
        <f>IF(#REF!&lt;&gt;"",#REF!,IF(#REF!&lt;&gt;"",#REF!,""))</f>
      </c>
      <c r="E38" s="653"/>
      <c r="F38" s="653"/>
      <c r="G38" s="653"/>
      <c r="H38" s="653"/>
      <c r="I38" s="654"/>
      <c r="J38" s="252">
        <f>#REF!</f>
      </c>
      <c r="K38" s="252">
        <f ca="1">'rincian 4'!S15</f>
      </c>
      <c r="L38" s="252">
        <f>'rincian 4'!U15</f>
      </c>
      <c r="M38" s="252">
        <f ca="1">K38+L38</f>
      </c>
      <c r="N38" s="252">
        <f>L38</f>
      </c>
      <c r="O38" s="252">
        <f ca="1">J38-M38</f>
      </c>
      <c r="P38" s="78">
        <f>#REF!</f>
      </c>
      <c r="Q38" s="608">
        <f>N38*P38</f>
      </c>
      <c r="R38" s="609"/>
    </row>
    <row r="39" spans="1:18" ht="36" customHeight="1">
      <c r="A39" s="37"/>
      <c r="B39" s="175">
        <f>#REF!</f>
      </c>
      <c r="C39" s="177"/>
      <c r="D39" s="653">
        <f>IF(#REF!&lt;&gt;"",#REF!,IF(#REF!&lt;&gt;"",#REF!,""))</f>
      </c>
      <c r="E39" s="653"/>
      <c r="F39" s="653"/>
      <c r="G39" s="653"/>
      <c r="H39" s="653"/>
      <c r="I39" s="654"/>
      <c r="J39" s="252">
        <f>#REF!</f>
      </c>
      <c r="K39" s="252">
        <f ca="1">'rincian 4'!S16</f>
      </c>
      <c r="L39" s="252">
        <f>'rincian 4'!U16</f>
      </c>
      <c r="M39" s="252">
        <f ca="1">K39+L39</f>
      </c>
      <c r="N39" s="252">
        <f>L39</f>
      </c>
      <c r="O39" s="252">
        <f ca="1">J39-M39</f>
      </c>
      <c r="P39" s="78">
        <f>#REF!</f>
      </c>
      <c r="Q39" s="608">
        <f>N39*P39</f>
      </c>
      <c r="R39" s="609"/>
    </row>
    <row r="40" spans="1:18" ht="36" customHeight="1">
      <c r="A40" s="37"/>
      <c r="B40" s="175">
        <f>#REF!</f>
      </c>
      <c r="C40" s="233"/>
      <c r="D40" s="653">
        <f>IF(#REF!&lt;&gt;"",#REF!,IF(#REF!&lt;&gt;"",#REF!,""))</f>
      </c>
      <c r="E40" s="653"/>
      <c r="F40" s="653"/>
      <c r="G40" s="653"/>
      <c r="H40" s="653"/>
      <c r="I40" s="654"/>
      <c r="J40" s="252">
        <f>#REF!</f>
      </c>
      <c r="K40" s="252">
        <f ca="1">'rincian 4'!S17</f>
      </c>
      <c r="L40" s="252">
        <f>'rincian 4'!U17</f>
      </c>
      <c r="M40" s="252">
        <f ca="1">K40+L40</f>
      </c>
      <c r="N40" s="252">
        <f>L40</f>
      </c>
      <c r="O40" s="252">
        <f ca="1">J40-M40</f>
      </c>
      <c r="P40" s="78">
        <f>#REF!</f>
      </c>
      <c r="Q40" s="608">
        <f>N40*P40</f>
      </c>
      <c r="R40" s="609"/>
    </row>
    <row r="41" spans="1:18" ht="18" customHeight="1">
      <c r="A41" s="37"/>
      <c r="B41" s="404">
        <f>#REF!</f>
      </c>
      <c r="C41" s="233"/>
      <c r="D41" s="405">
        <f>IF(#REF!&lt;&gt;"",#REF!,IF(#REF!&lt;&gt;"",#REF!,""))</f>
      </c>
      <c r="E41" s="405"/>
      <c r="F41" s="405"/>
      <c r="G41" s="405"/>
      <c r="H41" s="405"/>
      <c r="I41" s="405"/>
      <c r="J41" s="252"/>
      <c r="K41" s="252"/>
      <c r="L41" s="252"/>
      <c r="M41" s="252"/>
      <c r="N41" s="252"/>
      <c r="O41" s="252"/>
      <c r="P41" s="78"/>
      <c r="Q41" s="624"/>
      <c r="R41" s="625"/>
    </row>
    <row r="42" spans="1:18" ht="18" customHeight="1">
      <c r="A42" s="37"/>
      <c r="B42" s="175">
        <f>#REF!</f>
      </c>
      <c r="C42" s="233"/>
      <c r="D42" s="176">
        <f>IF(#REF!&lt;&gt;"",#REF!,IF(#REF!&lt;&gt;"",#REF!,""))</f>
      </c>
      <c r="E42" s="176"/>
      <c r="F42" s="176"/>
      <c r="G42" s="176"/>
      <c r="H42" s="176"/>
      <c r="I42" s="176"/>
      <c r="J42" s="252">
        <f>#REF!</f>
      </c>
      <c r="K42" s="252">
        <f ca="1">'rincian 4'!S19</f>
      </c>
      <c r="L42" s="252">
        <f>'rincian 4'!U19</f>
      </c>
      <c r="M42" s="252">
        <f t="shared" ref="M42:M47" ca="1" si="0">K42+L42</f>
      </c>
      <c r="N42" s="252">
        <f t="shared" ref="N42:N47" si="1">L42</f>
      </c>
      <c r="O42" s="252">
        <f t="shared" ref="O42:O47" ca="1" si="2">J42-M42</f>
      </c>
      <c r="P42" s="78">
        <f>#REF!</f>
      </c>
      <c r="Q42" s="608">
        <f t="shared" ref="Q42:Q47" si="3">N42*P42</f>
      </c>
      <c r="R42" s="609"/>
    </row>
    <row r="43" spans="1:18" ht="18" customHeight="1">
      <c r="A43" s="37"/>
      <c r="B43" s="175">
        <f>#REF!</f>
      </c>
      <c r="C43" s="233"/>
      <c r="D43" s="176">
        <f>IF(#REF!&lt;&gt;"",#REF!,IF(#REF!&lt;&gt;"",#REF!,""))</f>
      </c>
      <c r="E43" s="176"/>
      <c r="F43" s="176"/>
      <c r="G43" s="176"/>
      <c r="H43" s="176"/>
      <c r="I43" s="176"/>
      <c r="J43" s="252">
        <f>#REF!</f>
      </c>
      <c r="K43" s="252">
        <f ca="1">'rincian 4'!S20</f>
      </c>
      <c r="L43" s="252">
        <f>'rincian 4'!U20</f>
      </c>
      <c r="M43" s="252">
        <f t="shared" ca="1" si="0"/>
      </c>
      <c r="N43" s="252">
        <f t="shared" si="1"/>
      </c>
      <c r="O43" s="252">
        <f t="shared" ca="1" si="2"/>
      </c>
      <c r="P43" s="78">
        <f>#REF!</f>
      </c>
      <c r="Q43" s="608">
        <f t="shared" si="3"/>
      </c>
      <c r="R43" s="609"/>
    </row>
    <row r="44" spans="1:18" ht="18" customHeight="1">
      <c r="A44" s="37"/>
      <c r="B44" s="175">
        <f>#REF!</f>
      </c>
      <c r="C44" s="233"/>
      <c r="D44" s="176">
        <f>IF(#REF!&lt;&gt;"",#REF!,IF(#REF!&lt;&gt;"",#REF!,""))</f>
      </c>
      <c r="E44" s="176"/>
      <c r="F44" s="176"/>
      <c r="G44" s="176"/>
      <c r="H44" s="176"/>
      <c r="I44" s="176"/>
      <c r="J44" s="252">
        <f>#REF!</f>
      </c>
      <c r="K44" s="252">
        <f ca="1">'rincian 4'!S21</f>
      </c>
      <c r="L44" s="252">
        <f>'rincian 4'!U21</f>
      </c>
      <c r="M44" s="252">
        <f t="shared" ca="1" si="0"/>
      </c>
      <c r="N44" s="252">
        <f t="shared" si="1"/>
      </c>
      <c r="O44" s="252">
        <f t="shared" ca="1" si="2"/>
      </c>
      <c r="P44" s="78">
        <f>#REF!</f>
      </c>
      <c r="Q44" s="608">
        <f t="shared" si="3"/>
      </c>
      <c r="R44" s="609"/>
    </row>
    <row r="45" spans="1:18" ht="18" customHeight="1">
      <c r="A45" s="37"/>
      <c r="B45" s="175">
        <f>#REF!</f>
      </c>
      <c r="C45" s="233"/>
      <c r="D45" s="176">
        <f>IF(#REF!&lt;&gt;"",#REF!,IF(#REF!&lt;&gt;"",#REF!,""))</f>
      </c>
      <c r="E45" s="176"/>
      <c r="F45" s="176"/>
      <c r="G45" s="176"/>
      <c r="H45" s="176"/>
      <c r="I45" s="176"/>
      <c r="J45" s="252">
        <f>#REF!</f>
      </c>
      <c r="K45" s="252">
        <f ca="1">'rincian 4'!S22</f>
      </c>
      <c r="L45" s="252">
        <f>'rincian 4'!U22</f>
      </c>
      <c r="M45" s="252">
        <f t="shared" ca="1" si="0"/>
      </c>
      <c r="N45" s="252">
        <f t="shared" si="1"/>
      </c>
      <c r="O45" s="252">
        <f t="shared" ca="1" si="2"/>
      </c>
      <c r="P45" s="78">
        <f>#REF!</f>
      </c>
      <c r="Q45" s="608">
        <f t="shared" si="3"/>
      </c>
      <c r="R45" s="609"/>
    </row>
    <row r="46" spans="1:18" ht="18" customHeight="1">
      <c r="A46" s="37"/>
      <c r="B46" s="175">
        <f>#REF!</f>
      </c>
      <c r="C46" s="233"/>
      <c r="D46" s="176">
        <f>IF(#REF!&lt;&gt;"",#REF!,IF(#REF!&lt;&gt;"",#REF!,""))</f>
      </c>
      <c r="E46" s="176"/>
      <c r="F46" s="176"/>
      <c r="G46" s="176"/>
      <c r="H46" s="176"/>
      <c r="I46" s="176"/>
      <c r="J46" s="252">
        <f>#REF!</f>
      </c>
      <c r="K46" s="252">
        <f ca="1">'rincian 4'!S23</f>
      </c>
      <c r="L46" s="252">
        <f>'rincian 4'!U23</f>
      </c>
      <c r="M46" s="252">
        <f t="shared" ca="1" si="0"/>
      </c>
      <c r="N46" s="252">
        <f t="shared" si="1"/>
      </c>
      <c r="O46" s="252">
        <f t="shared" ca="1" si="2"/>
      </c>
      <c r="P46" s="78">
        <f>#REF!</f>
      </c>
      <c r="Q46" s="608">
        <f t="shared" si="3"/>
      </c>
      <c r="R46" s="609"/>
    </row>
    <row r="47" spans="1:18" ht="18" customHeight="1">
      <c r="A47" s="37"/>
      <c r="B47" s="404">
        <f>#REF!</f>
      </c>
      <c r="C47" s="233"/>
      <c r="D47" s="405">
        <f>IF(#REF!&lt;&gt;"",#REF!,IF(#REF!&lt;&gt;"",#REF!,""))</f>
      </c>
      <c r="E47" s="405"/>
      <c r="F47" s="405"/>
      <c r="G47" s="405"/>
      <c r="H47" s="405"/>
      <c r="I47" s="405"/>
      <c r="J47" s="252">
        <f>#REF!</f>
      </c>
      <c r="K47" s="252">
        <f ca="1">'rincian 4'!S24</f>
      </c>
      <c r="L47" s="252">
        <f>'rincian 4'!U24</f>
      </c>
      <c r="M47" s="252">
        <f t="shared" ca="1" si="0"/>
      </c>
      <c r="N47" s="252">
        <f t="shared" si="1"/>
      </c>
      <c r="O47" s="252">
        <f t="shared" ca="1" si="2"/>
      </c>
      <c r="P47" s="78">
        <f>#REF!</f>
      </c>
      <c r="Q47" s="608">
        <f t="shared" si="3"/>
      </c>
      <c r="R47" s="609"/>
    </row>
    <row r="48" spans="1:18" ht="18" customHeight="1">
      <c r="A48" s="37"/>
      <c r="B48" s="404">
        <f>#REF!</f>
      </c>
      <c r="C48" s="233"/>
      <c r="D48" s="405">
        <f>IF(#REF!&lt;&gt;"",#REF!,IF(#REF!&lt;&gt;"",#REF!,""))</f>
      </c>
      <c r="E48" s="405"/>
      <c r="F48" s="405"/>
      <c r="G48" s="405"/>
      <c r="H48" s="405"/>
      <c r="I48" s="405"/>
      <c r="J48" s="252"/>
      <c r="K48" s="252"/>
      <c r="L48" s="252"/>
      <c r="M48" s="252"/>
      <c r="N48" s="252"/>
      <c r="O48" s="252"/>
      <c r="P48" s="78"/>
      <c r="Q48" s="624"/>
      <c r="R48" s="625"/>
    </row>
    <row r="49" spans="1:18" ht="18" customHeight="1">
      <c r="A49" s="37"/>
      <c r="B49" s="175">
        <f>#REF!</f>
      </c>
      <c r="C49" s="233"/>
      <c r="D49" s="176">
        <f>IF(#REF!&lt;&gt;"",#REF!,IF(#REF!&lt;&gt;"",#REF!,""))</f>
      </c>
      <c r="E49" s="176"/>
      <c r="F49" s="176"/>
      <c r="G49" s="176"/>
      <c r="H49" s="176"/>
      <c r="I49" s="176"/>
      <c r="J49" s="252">
        <f>#REF!</f>
      </c>
      <c r="K49" s="252">
        <f ca="1">'rincian 4'!S26</f>
      </c>
      <c r="L49" s="252">
        <f>'rincian 4'!U26</f>
      </c>
      <c r="M49" s="252">
        <f ca="1">K49+L49</f>
      </c>
      <c r="N49" s="252">
        <f>L49</f>
      </c>
      <c r="O49" s="252">
        <f ca="1">J49-M49</f>
      </c>
      <c r="P49" s="78">
        <f>#REF!</f>
      </c>
      <c r="Q49" s="608">
        <f>N49*P49</f>
      </c>
      <c r="R49" s="609"/>
    </row>
    <row r="50" spans="1:18" ht="18" customHeight="1">
      <c r="A50" s="37"/>
      <c r="B50" s="175">
        <f>#REF!</f>
      </c>
      <c r="C50" s="233"/>
      <c r="D50" s="176">
        <f>IF(#REF!&lt;&gt;"",#REF!,IF(#REF!&lt;&gt;"",#REF!,""))</f>
      </c>
      <c r="E50" s="176"/>
      <c r="F50" s="176"/>
      <c r="G50" s="176"/>
      <c r="H50" s="176"/>
      <c r="I50" s="176"/>
      <c r="J50" s="252">
        <f>#REF!</f>
      </c>
      <c r="K50" s="252">
        <f ca="1">'rincian 4'!S27</f>
      </c>
      <c r="L50" s="252">
        <f>'rincian 4'!U27</f>
      </c>
      <c r="M50" s="252">
        <f ca="1">K50+L50</f>
      </c>
      <c r="N50" s="252">
        <f>L50</f>
      </c>
      <c r="O50" s="252">
        <f ca="1">J50-M50</f>
      </c>
      <c r="P50" s="78">
        <f>#REF!</f>
      </c>
      <c r="Q50" s="608">
        <f>N50*P50</f>
      </c>
      <c r="R50" s="609"/>
    </row>
    <row r="51" spans="1:18" ht="18" customHeight="1">
      <c r="A51" s="37"/>
      <c r="B51" s="175">
        <f>#REF!</f>
      </c>
      <c r="C51" s="233"/>
      <c r="D51" s="176">
        <f>IF(#REF!&lt;&gt;"",#REF!,IF(#REF!&lt;&gt;"",#REF!,""))</f>
      </c>
      <c r="E51" s="176"/>
      <c r="F51" s="176"/>
      <c r="G51" s="176"/>
      <c r="H51" s="176"/>
      <c r="I51" s="176"/>
      <c r="J51" s="252">
        <f>#REF!</f>
      </c>
      <c r="K51" s="252">
        <f ca="1">'rincian 4'!S28</f>
      </c>
      <c r="L51" s="252">
        <f>'rincian 4'!U28</f>
      </c>
      <c r="M51" s="252">
        <f ca="1">K51+L51</f>
      </c>
      <c r="N51" s="252">
        <f>L51</f>
      </c>
      <c r="O51" s="252">
        <f ca="1">J51-M51</f>
      </c>
      <c r="P51" s="78">
        <f>#REF!</f>
      </c>
      <c r="Q51" s="608">
        <f>N51*P51</f>
      </c>
      <c r="R51" s="609"/>
    </row>
    <row r="52" spans="1:18" ht="18" customHeight="1">
      <c r="A52" s="37"/>
      <c r="B52" s="175">
        <f>#REF!</f>
      </c>
      <c r="C52" s="233"/>
      <c r="D52" s="176">
        <f>IF(#REF!&lt;&gt;"",#REF!,IF(#REF!&lt;&gt;"",#REF!,""))</f>
      </c>
      <c r="E52" s="176"/>
      <c r="F52" s="176"/>
      <c r="G52" s="176"/>
      <c r="H52" s="176"/>
      <c r="I52" s="176"/>
      <c r="J52" s="252">
        <f>#REF!</f>
      </c>
      <c r="K52" s="252">
        <f ca="1">'rincian 4'!S29</f>
      </c>
      <c r="L52" s="252">
        <f>'rincian 4'!U29</f>
      </c>
      <c r="M52" s="252">
        <f ca="1">K52+L52</f>
      </c>
      <c r="N52" s="252">
        <f>L52</f>
      </c>
      <c r="O52" s="252">
        <f ca="1">J52-M52</f>
      </c>
      <c r="P52" s="78">
        <f>#REF!</f>
      </c>
      <c r="Q52" s="608">
        <f>N52*P52</f>
      </c>
      <c r="R52" s="609"/>
    </row>
    <row r="53" spans="1:18" ht="18" customHeight="1">
      <c r="A53" s="37"/>
      <c r="B53" s="404">
        <f>#REF!</f>
      </c>
      <c r="C53" s="233"/>
      <c r="D53" s="405">
        <f>IF(#REF!&lt;&gt;"",#REF!,IF(#REF!&lt;&gt;"",#REF!,""))</f>
      </c>
      <c r="E53" s="405"/>
      <c r="F53" s="405"/>
      <c r="G53" s="405"/>
      <c r="H53" s="405"/>
      <c r="I53" s="405"/>
      <c r="J53" s="252"/>
      <c r="K53" s="252"/>
      <c r="L53" s="252"/>
      <c r="M53" s="252"/>
      <c r="N53" s="252"/>
      <c r="O53" s="252"/>
      <c r="P53" s="78"/>
      <c r="Q53" s="624"/>
      <c r="R53" s="625"/>
    </row>
    <row r="54" spans="1:18" ht="18" customHeight="1">
      <c r="A54" s="37"/>
      <c r="B54" s="175">
        <f>#REF!</f>
      </c>
      <c r="C54" s="233"/>
      <c r="D54" s="176">
        <f>IF(#REF!&lt;&gt;"",#REF!,IF(#REF!&lt;&gt;"",#REF!,""))</f>
      </c>
      <c r="E54" s="176"/>
      <c r="F54" s="176"/>
      <c r="G54" s="176"/>
      <c r="H54" s="176"/>
      <c r="I54" s="176"/>
      <c r="J54" s="252">
        <f>#REF!</f>
      </c>
      <c r="K54" s="252">
        <f ca="1">'rincian 4'!S31</f>
      </c>
      <c r="L54" s="252">
        <f>'rincian 4'!U31</f>
      </c>
      <c r="M54" s="252">
        <f ca="1">K54+L54</f>
      </c>
      <c r="N54" s="252">
        <f>L54</f>
      </c>
      <c r="O54" s="252">
        <f ca="1">J54-M54</f>
      </c>
      <c r="P54" s="78">
        <f>#REF!</f>
      </c>
      <c r="Q54" s="608">
        <f>N54*P54</f>
      </c>
      <c r="R54" s="609"/>
    </row>
    <row r="55" spans="1:18" ht="18" customHeight="1">
      <c r="A55" s="37"/>
      <c r="B55" s="175">
        <f>#REF!</f>
      </c>
      <c r="C55" s="233"/>
      <c r="D55" s="176">
        <f>IF(#REF!&lt;&gt;"",#REF!,IF(#REF!&lt;&gt;"",#REF!,""))</f>
      </c>
      <c r="E55" s="176"/>
      <c r="F55" s="176"/>
      <c r="G55" s="176"/>
      <c r="H55" s="176"/>
      <c r="I55" s="176"/>
      <c r="J55" s="252">
        <f>#REF!</f>
      </c>
      <c r="K55" s="252">
        <f ca="1">'rincian 4'!S32</f>
      </c>
      <c r="L55" s="252">
        <f>'rincian 4'!U32</f>
      </c>
      <c r="M55" s="252">
        <f ca="1">K55+L55</f>
      </c>
      <c r="N55" s="252">
        <f>L55</f>
      </c>
      <c r="O55" s="252">
        <f ca="1">J55-M55</f>
      </c>
      <c r="P55" s="78">
        <f>#REF!</f>
      </c>
      <c r="Q55" s="608">
        <f>N55*P55</f>
      </c>
      <c r="R55" s="609"/>
    </row>
    <row r="56" spans="1:18" ht="18" customHeight="1">
      <c r="A56" s="37"/>
      <c r="B56" s="175">
        <f>#REF!</f>
      </c>
      <c r="C56" s="233"/>
      <c r="D56" s="176">
        <f>IF(#REF!&lt;&gt;"",#REF!,IF(#REF!&lt;&gt;"",#REF!,""))</f>
      </c>
      <c r="E56" s="176"/>
      <c r="F56" s="176"/>
      <c r="G56" s="176"/>
      <c r="H56" s="176"/>
      <c r="I56" s="176"/>
      <c r="J56" s="252">
        <f>#REF!</f>
      </c>
      <c r="K56" s="252">
        <f ca="1">'rincian 4'!S33</f>
      </c>
      <c r="L56" s="252">
        <f>'rincian 4'!U33</f>
      </c>
      <c r="M56" s="252">
        <f ca="1">K56+L56</f>
      </c>
      <c r="N56" s="252">
        <f>L56</f>
      </c>
      <c r="O56" s="252">
        <f ca="1">J56-M56</f>
      </c>
      <c r="P56" s="78">
        <f>#REF!</f>
      </c>
      <c r="Q56" s="608">
        <f>N56*P56</f>
      </c>
      <c r="R56" s="609"/>
    </row>
    <row r="57" spans="1:18" ht="18" customHeight="1">
      <c r="A57" s="37"/>
      <c r="B57" s="175">
        <f>#REF!</f>
      </c>
      <c r="C57" s="233"/>
      <c r="D57" s="176">
        <f>IF(#REF!&lt;&gt;"",#REF!,IF(#REF!&lt;&gt;"",#REF!,""))</f>
      </c>
      <c r="E57" s="176"/>
      <c r="F57" s="176"/>
      <c r="G57" s="176"/>
      <c r="H57" s="176"/>
      <c r="I57" s="176"/>
      <c r="J57" s="252">
        <f>#REF!</f>
      </c>
      <c r="K57" s="252">
        <f ca="1">'rincian 4'!S34</f>
      </c>
      <c r="L57" s="252">
        <f>'rincian 4'!U34</f>
      </c>
      <c r="M57" s="252">
        <f ca="1">K57+L57</f>
      </c>
      <c r="N57" s="252">
        <f>L57</f>
      </c>
      <c r="O57" s="252">
        <f ca="1">J57-M57</f>
      </c>
      <c r="P57" s="78">
        <f>#REF!</f>
      </c>
      <c r="Q57" s="608">
        <f>N57*P57</f>
      </c>
      <c r="R57" s="609"/>
    </row>
    <row r="58" spans="1:18" ht="18" customHeight="1">
      <c r="A58" s="37"/>
      <c r="B58" s="175">
        <f>#REF!</f>
      </c>
      <c r="C58" s="233"/>
      <c r="D58" s="176">
        <f>IF(#REF!&lt;&gt;"",#REF!,IF(#REF!&lt;&gt;"",#REF!,""))</f>
      </c>
      <c r="E58" s="176"/>
      <c r="F58" s="176"/>
      <c r="G58" s="176"/>
      <c r="H58" s="176"/>
      <c r="I58" s="176"/>
      <c r="J58" s="252">
        <f>#REF!</f>
      </c>
      <c r="K58" s="252">
        <f ca="1">'rincian 4'!S35</f>
      </c>
      <c r="L58" s="252">
        <f>'rincian 4'!U35</f>
      </c>
      <c r="M58" s="252">
        <f ca="1">K58+L58</f>
      </c>
      <c r="N58" s="252">
        <f>L58</f>
      </c>
      <c r="O58" s="252">
        <f ca="1">J58-M58</f>
      </c>
      <c r="P58" s="78">
        <f>#REF!</f>
      </c>
      <c r="Q58" s="608">
        <f>N58*P58</f>
      </c>
      <c r="R58" s="609"/>
    </row>
    <row r="59" spans="1:18" ht="18" customHeight="1">
      <c r="A59" s="37"/>
      <c r="B59" s="175">
        <f>#REF!</f>
      </c>
      <c r="C59" s="233"/>
      <c r="D59" s="176">
        <f>IF(#REF!&lt;&gt;"",#REF!,IF(#REF!&lt;&gt;"",#REF!,""))</f>
      </c>
      <c r="E59" s="176"/>
      <c r="F59" s="176"/>
      <c r="G59" s="176"/>
      <c r="H59" s="176"/>
      <c r="I59" s="176"/>
      <c r="J59" s="252"/>
      <c r="K59" s="252"/>
      <c r="L59" s="252"/>
      <c r="M59" s="252"/>
      <c r="N59" s="252"/>
      <c r="O59" s="252"/>
      <c r="P59" s="78"/>
      <c r="Q59" s="624"/>
      <c r="R59" s="625"/>
    </row>
    <row r="60" spans="1:18" ht="18" customHeight="1">
      <c r="A60" s="37"/>
      <c r="B60" s="175">
        <f>#REF!</f>
      </c>
      <c r="C60" s="233"/>
      <c r="D60" s="176">
        <f>IF(#REF!&lt;&gt;"",#REF!,IF(#REF!&lt;&gt;"",#REF!,""))</f>
      </c>
      <c r="E60" s="176"/>
      <c r="F60" s="176"/>
      <c r="G60" s="176"/>
      <c r="H60" s="176"/>
      <c r="I60" s="176"/>
      <c r="J60" s="252">
        <f>#REF!</f>
      </c>
      <c r="K60" s="252">
        <f ca="1">'rincian 4'!S37</f>
      </c>
      <c r="L60" s="252">
        <f>'rincian 4'!U37</f>
      </c>
      <c r="M60" s="252">
        <f t="shared" ref="M60:M76" ca="1" si="4">K60+L60</f>
      </c>
      <c r="N60" s="252">
        <f t="shared" ref="N60:N76" si="5">L60</f>
      </c>
      <c r="O60" s="252">
        <f t="shared" ref="O60:O76" ca="1" si="6">J60-M60</f>
      </c>
      <c r="P60" s="78">
        <f>#REF!</f>
      </c>
      <c r="Q60" s="608">
        <f t="shared" ref="Q60:Q76" si="7">N60*P60</f>
      </c>
      <c r="R60" s="609"/>
    </row>
    <row r="61" spans="1:18" ht="18" customHeight="1">
      <c r="A61" s="37"/>
      <c r="B61" s="175">
        <f>#REF!</f>
      </c>
      <c r="C61" s="233"/>
      <c r="D61" s="176">
        <f>IF(#REF!&lt;&gt;"",#REF!,IF(#REF!&lt;&gt;"",#REF!,""))</f>
      </c>
      <c r="E61" s="176"/>
      <c r="F61" s="176"/>
      <c r="G61" s="176"/>
      <c r="H61" s="176"/>
      <c r="I61" s="176"/>
      <c r="J61" s="252">
        <f>#REF!</f>
      </c>
      <c r="K61" s="252">
        <f ca="1">'rincian 4'!S38</f>
      </c>
      <c r="L61" s="252">
        <f>'rincian 4'!U38</f>
      </c>
      <c r="M61" s="252">
        <f t="shared" ca="1" si="4"/>
      </c>
      <c r="N61" s="252">
        <f t="shared" si="5"/>
      </c>
      <c r="O61" s="252">
        <f t="shared" ca="1" si="6"/>
      </c>
      <c r="P61" s="78">
        <f>#REF!</f>
      </c>
      <c r="Q61" s="608">
        <f t="shared" si="7"/>
      </c>
      <c r="R61" s="609"/>
    </row>
    <row r="62" spans="1:18" ht="18" customHeight="1">
      <c r="A62" s="37"/>
      <c r="B62" s="175">
        <f>#REF!</f>
      </c>
      <c r="C62" s="233"/>
      <c r="D62" s="176">
        <f>IF(#REF!&lt;&gt;"",#REF!,IF(#REF!&lt;&gt;"",#REF!,""))</f>
      </c>
      <c r="E62" s="176"/>
      <c r="F62" s="176"/>
      <c r="G62" s="176"/>
      <c r="H62" s="176"/>
      <c r="I62" s="176"/>
      <c r="J62" s="252">
        <f>#REF!</f>
      </c>
      <c r="K62" s="252">
        <f ca="1">'rincian 4'!S39</f>
      </c>
      <c r="L62" s="252">
        <f>'rincian 4'!U39</f>
      </c>
      <c r="M62" s="252">
        <f t="shared" ca="1" si="4"/>
      </c>
      <c r="N62" s="252">
        <f t="shared" si="5"/>
      </c>
      <c r="O62" s="252">
        <f t="shared" ca="1" si="6"/>
      </c>
      <c r="P62" s="78">
        <f>#REF!</f>
      </c>
      <c r="Q62" s="608">
        <f t="shared" si="7"/>
      </c>
      <c r="R62" s="609"/>
    </row>
    <row r="63" spans="1:18" ht="36" customHeight="1">
      <c r="A63" s="37"/>
      <c r="B63" s="175">
        <f>#REF!</f>
      </c>
      <c r="C63" s="233"/>
      <c r="D63" s="653">
        <f>IF(#REF!&lt;&gt;"",#REF!,IF(#REF!&lt;&gt;"",#REF!,""))</f>
      </c>
      <c r="E63" s="653"/>
      <c r="F63" s="653"/>
      <c r="G63" s="653"/>
      <c r="H63" s="653"/>
      <c r="I63" s="654"/>
      <c r="J63" s="252">
        <f>#REF!</f>
      </c>
      <c r="K63" s="252">
        <f ca="1">'rincian 4'!S40</f>
      </c>
      <c r="L63" s="252">
        <f>'rincian 4'!U40</f>
      </c>
      <c r="M63" s="252">
        <f t="shared" ca="1" si="4"/>
      </c>
      <c r="N63" s="252">
        <f t="shared" si="5"/>
      </c>
      <c r="O63" s="252">
        <f t="shared" ca="1" si="6"/>
      </c>
      <c r="P63" s="78">
        <f>#REF!</f>
      </c>
      <c r="Q63" s="608">
        <f t="shared" si="7"/>
      </c>
      <c r="R63" s="609"/>
    </row>
    <row r="64" spans="1:18" ht="18" customHeight="1">
      <c r="A64" s="37"/>
      <c r="B64" s="175">
        <f>#REF!</f>
      </c>
      <c r="C64" s="233"/>
      <c r="D64" s="176">
        <f>IF(#REF!&lt;&gt;"",#REF!,IF(#REF!&lt;&gt;"",#REF!,""))</f>
      </c>
      <c r="E64" s="176"/>
      <c r="F64" s="176"/>
      <c r="G64" s="176"/>
      <c r="H64" s="176"/>
      <c r="I64" s="176"/>
      <c r="J64" s="252">
        <f>#REF!</f>
      </c>
      <c r="K64" s="252">
        <f ca="1">'rincian 4'!S41</f>
      </c>
      <c r="L64" s="252">
        <f>'rincian 4'!U41</f>
      </c>
      <c r="M64" s="252">
        <f t="shared" ca="1" si="4"/>
      </c>
      <c r="N64" s="252">
        <f t="shared" si="5"/>
      </c>
      <c r="O64" s="252">
        <f t="shared" ca="1" si="6"/>
      </c>
      <c r="P64" s="78">
        <f>#REF!</f>
      </c>
      <c r="Q64" s="608">
        <f t="shared" si="7"/>
      </c>
      <c r="R64" s="609"/>
    </row>
    <row r="65" spans="1:18" ht="18" customHeight="1">
      <c r="A65" s="37"/>
      <c r="B65" s="175">
        <f>#REF!</f>
      </c>
      <c r="C65" s="233"/>
      <c r="D65" s="176">
        <f>IF(#REF!&lt;&gt;"",#REF!,IF(#REF!&lt;&gt;"",#REF!,""))</f>
      </c>
      <c r="E65" s="176"/>
      <c r="F65" s="176"/>
      <c r="G65" s="176"/>
      <c r="H65" s="176"/>
      <c r="I65" s="176"/>
      <c r="J65" s="252">
        <f>#REF!</f>
      </c>
      <c r="K65" s="252">
        <f ca="1">'rincian 4'!S42</f>
      </c>
      <c r="L65" s="252">
        <f>'rincian 4'!U42</f>
      </c>
      <c r="M65" s="252">
        <f t="shared" ca="1" si="4"/>
      </c>
      <c r="N65" s="252">
        <f t="shared" si="5"/>
      </c>
      <c r="O65" s="252">
        <f t="shared" ca="1" si="6"/>
      </c>
      <c r="P65" s="78">
        <f>#REF!</f>
      </c>
      <c r="Q65" s="608">
        <f t="shared" si="7"/>
      </c>
      <c r="R65" s="609"/>
    </row>
    <row r="66" spans="1:18" ht="18" customHeight="1">
      <c r="A66" s="37"/>
      <c r="B66" s="175">
        <f>#REF!</f>
      </c>
      <c r="C66" s="233"/>
      <c r="D66" s="176">
        <f>IF(#REF!&lt;&gt;"",#REF!,IF(#REF!&lt;&gt;"",#REF!,""))</f>
      </c>
      <c r="E66" s="176"/>
      <c r="F66" s="176"/>
      <c r="G66" s="176"/>
      <c r="H66" s="176"/>
      <c r="I66" s="176"/>
      <c r="J66" s="252">
        <f>#REF!</f>
      </c>
      <c r="K66" s="252">
        <f ca="1">'rincian 4'!S43</f>
      </c>
      <c r="L66" s="252">
        <f>'rincian 4'!U43</f>
      </c>
      <c r="M66" s="252">
        <f t="shared" ca="1" si="4"/>
      </c>
      <c r="N66" s="252">
        <f t="shared" si="5"/>
      </c>
      <c r="O66" s="252">
        <f t="shared" ca="1" si="6"/>
      </c>
      <c r="P66" s="78">
        <f>#REF!</f>
      </c>
      <c r="Q66" s="608">
        <f t="shared" si="7"/>
      </c>
      <c r="R66" s="609"/>
    </row>
    <row r="67" spans="1:18" ht="18" customHeight="1">
      <c r="A67" s="37"/>
      <c r="B67" s="175">
        <f>#REF!</f>
      </c>
      <c r="C67" s="233"/>
      <c r="D67" s="176">
        <f>IF(#REF!&lt;&gt;"",#REF!,IF(#REF!&lt;&gt;"",#REF!,""))</f>
      </c>
      <c r="E67" s="176"/>
      <c r="F67" s="176"/>
      <c r="G67" s="176"/>
      <c r="H67" s="176"/>
      <c r="I67" s="176"/>
      <c r="J67" s="252">
        <f>#REF!</f>
      </c>
      <c r="K67" s="252">
        <f ca="1">'rincian 4'!S44</f>
      </c>
      <c r="L67" s="252">
        <f>'rincian 4'!U44</f>
      </c>
      <c r="M67" s="252">
        <f t="shared" ca="1" si="4"/>
      </c>
      <c r="N67" s="252">
        <f t="shared" si="5"/>
      </c>
      <c r="O67" s="252">
        <f t="shared" ca="1" si="6"/>
      </c>
      <c r="P67" s="78">
        <f>#REF!</f>
      </c>
      <c r="Q67" s="608">
        <f t="shared" si="7"/>
      </c>
      <c r="R67" s="609"/>
    </row>
    <row r="68" spans="1:18" ht="18" customHeight="1">
      <c r="A68" s="37"/>
      <c r="B68" s="175">
        <f>#REF!</f>
      </c>
      <c r="C68" s="233"/>
      <c r="D68" s="176">
        <f>IF(#REF!&lt;&gt;"",#REF!,IF(#REF!&lt;&gt;"",#REF!,""))</f>
      </c>
      <c r="E68" s="176"/>
      <c r="F68" s="176"/>
      <c r="G68" s="176"/>
      <c r="H68" s="176"/>
      <c r="I68" s="176"/>
      <c r="J68" s="252">
        <f>#REF!</f>
      </c>
      <c r="K68" s="252">
        <f ca="1">'rincian 4'!S45</f>
      </c>
      <c r="L68" s="252">
        <f>'rincian 4'!U45</f>
      </c>
      <c r="M68" s="252">
        <f t="shared" ca="1" si="4"/>
      </c>
      <c r="N68" s="252">
        <f t="shared" si="5"/>
      </c>
      <c r="O68" s="252">
        <f t="shared" ca="1" si="6"/>
      </c>
      <c r="P68" s="78">
        <f>#REF!</f>
      </c>
      <c r="Q68" s="608">
        <f t="shared" si="7"/>
      </c>
      <c r="R68" s="609"/>
    </row>
    <row r="69" spans="1:18" ht="18" customHeight="1">
      <c r="A69" s="37"/>
      <c r="B69" s="175">
        <f>#REF!</f>
      </c>
      <c r="C69" s="233"/>
      <c r="D69" s="176">
        <f>IF(#REF!&lt;&gt;"",#REF!,IF(#REF!&lt;&gt;"",#REF!,""))</f>
      </c>
      <c r="E69" s="176"/>
      <c r="F69" s="176"/>
      <c r="G69" s="176"/>
      <c r="H69" s="176"/>
      <c r="I69" s="176"/>
      <c r="J69" s="252">
        <f>#REF!</f>
      </c>
      <c r="K69" s="252">
        <f ca="1">'rincian 4'!S46</f>
      </c>
      <c r="L69" s="252">
        <f>'rincian 4'!U46</f>
      </c>
      <c r="M69" s="252">
        <f t="shared" ca="1" si="4"/>
      </c>
      <c r="N69" s="252">
        <f t="shared" si="5"/>
      </c>
      <c r="O69" s="252">
        <f t="shared" ca="1" si="6"/>
      </c>
      <c r="P69" s="78">
        <f>#REF!</f>
      </c>
      <c r="Q69" s="608">
        <f t="shared" si="7"/>
      </c>
      <c r="R69" s="609"/>
    </row>
    <row r="70" spans="1:18" ht="18" customHeight="1">
      <c r="A70" s="37"/>
      <c r="B70" s="175">
        <f>#REF!</f>
      </c>
      <c r="C70" s="233"/>
      <c r="D70" s="176">
        <f>IF(#REF!&lt;&gt;"",#REF!,IF(#REF!&lt;&gt;"",#REF!,""))</f>
      </c>
      <c r="E70" s="176"/>
      <c r="F70" s="176"/>
      <c r="G70" s="176"/>
      <c r="H70" s="176"/>
      <c r="I70" s="176"/>
      <c r="J70" s="252">
        <f>#REF!</f>
      </c>
      <c r="K70" s="252">
        <f ca="1">'rincian 4'!S47</f>
      </c>
      <c r="L70" s="252">
        <f>'rincian 4'!U47</f>
      </c>
      <c r="M70" s="252">
        <f t="shared" ca="1" si="4"/>
      </c>
      <c r="N70" s="252">
        <f t="shared" si="5"/>
      </c>
      <c r="O70" s="252">
        <f t="shared" ca="1" si="6"/>
      </c>
      <c r="P70" s="78">
        <f>#REF!</f>
      </c>
      <c r="Q70" s="608">
        <f t="shared" si="7"/>
      </c>
      <c r="R70" s="609"/>
    </row>
    <row r="71" spans="1:18" ht="18" customHeight="1">
      <c r="A71" s="37"/>
      <c r="B71" s="175">
        <f>#REF!</f>
      </c>
      <c r="C71" s="233"/>
      <c r="D71" s="176">
        <f>IF(#REF!&lt;&gt;"",#REF!,IF(#REF!&lt;&gt;"",#REF!,""))</f>
      </c>
      <c r="E71" s="176"/>
      <c r="F71" s="176"/>
      <c r="G71" s="176"/>
      <c r="H71" s="176"/>
      <c r="I71" s="176"/>
      <c r="J71" s="252">
        <f>#REF!</f>
      </c>
      <c r="K71" s="252">
        <f ca="1">'rincian 4'!S48</f>
      </c>
      <c r="L71" s="252">
        <f>'rincian 4'!U48</f>
      </c>
      <c r="M71" s="252">
        <f t="shared" ca="1" si="4"/>
      </c>
      <c r="N71" s="252">
        <f t="shared" si="5"/>
      </c>
      <c r="O71" s="252">
        <f t="shared" ca="1" si="6"/>
      </c>
      <c r="P71" s="78">
        <f>#REF!</f>
      </c>
      <c r="Q71" s="608">
        <f t="shared" si="7"/>
      </c>
      <c r="R71" s="609"/>
    </row>
    <row r="72" spans="1:18" ht="18" customHeight="1">
      <c r="A72" s="37"/>
      <c r="B72" s="175">
        <f>#REF!</f>
      </c>
      <c r="C72" s="233"/>
      <c r="D72" s="176">
        <f>IF(#REF!&lt;&gt;"",#REF!,IF(#REF!&lt;&gt;"",#REF!,""))</f>
      </c>
      <c r="E72" s="176"/>
      <c r="F72" s="176"/>
      <c r="G72" s="176"/>
      <c r="H72" s="176"/>
      <c r="I72" s="176"/>
      <c r="J72" s="252">
        <f>#REF!</f>
      </c>
      <c r="K72" s="252">
        <f ca="1">'rincian 4'!S49</f>
      </c>
      <c r="L72" s="252">
        <f>'rincian 4'!U49</f>
      </c>
      <c r="M72" s="252">
        <f t="shared" ca="1" si="4"/>
      </c>
      <c r="N72" s="252">
        <f t="shared" si="5"/>
      </c>
      <c r="O72" s="252">
        <f t="shared" ca="1" si="6"/>
      </c>
      <c r="P72" s="78">
        <f>#REF!</f>
      </c>
      <c r="Q72" s="608">
        <f t="shared" si="7"/>
      </c>
      <c r="R72" s="609"/>
    </row>
    <row r="73" spans="1:18" ht="18" customHeight="1">
      <c r="A73" s="37"/>
      <c r="B73" s="175">
        <f>#REF!</f>
      </c>
      <c r="C73" s="233"/>
      <c r="D73" s="176">
        <f>IF(#REF!&lt;&gt;"",#REF!,IF(#REF!&lt;&gt;"",#REF!,""))</f>
      </c>
      <c r="E73" s="176"/>
      <c r="F73" s="176"/>
      <c r="G73" s="176"/>
      <c r="H73" s="176"/>
      <c r="I73" s="176"/>
      <c r="J73" s="252">
        <f>#REF!</f>
      </c>
      <c r="K73" s="252">
        <f ca="1">'rincian 4'!S50</f>
      </c>
      <c r="L73" s="252">
        <f>'rincian 4'!U50</f>
      </c>
      <c r="M73" s="252">
        <f t="shared" ca="1" si="4"/>
      </c>
      <c r="N73" s="252">
        <f t="shared" si="5"/>
      </c>
      <c r="O73" s="252">
        <f t="shared" ca="1" si="6"/>
      </c>
      <c r="P73" s="78">
        <f>#REF!</f>
      </c>
      <c r="Q73" s="608">
        <f t="shared" si="7"/>
      </c>
      <c r="R73" s="609"/>
    </row>
    <row r="74" spans="1:18" ht="18" customHeight="1">
      <c r="A74" s="37"/>
      <c r="B74" s="175">
        <f>#REF!</f>
      </c>
      <c r="C74" s="233"/>
      <c r="D74" s="176">
        <f>IF(#REF!&lt;&gt;"",#REF!,IF(#REF!&lt;&gt;"",#REF!,""))</f>
      </c>
      <c r="E74" s="176"/>
      <c r="F74" s="176"/>
      <c r="G74" s="176"/>
      <c r="H74" s="176"/>
      <c r="I74" s="176"/>
      <c r="J74" s="252">
        <f>#REF!</f>
      </c>
      <c r="K74" s="252">
        <f ca="1">'rincian 4'!S51</f>
      </c>
      <c r="L74" s="252">
        <f>'rincian 4'!U51</f>
      </c>
      <c r="M74" s="252">
        <f t="shared" ca="1" si="4"/>
      </c>
      <c r="N74" s="252">
        <f t="shared" si="5"/>
      </c>
      <c r="O74" s="252">
        <f t="shared" ca="1" si="6"/>
      </c>
      <c r="P74" s="78">
        <f>#REF!</f>
      </c>
      <c r="Q74" s="608">
        <f t="shared" si="7"/>
      </c>
      <c r="R74" s="609"/>
    </row>
    <row r="75" spans="1:18" ht="18" customHeight="1">
      <c r="A75" s="37"/>
      <c r="B75" s="175">
        <f>#REF!</f>
      </c>
      <c r="C75" s="233"/>
      <c r="D75" s="176">
        <f>IF(#REF!&lt;&gt;"",#REF!,IF(#REF!&lt;&gt;"",#REF!,""))</f>
      </c>
      <c r="E75" s="176"/>
      <c r="F75" s="176"/>
      <c r="G75" s="176"/>
      <c r="H75" s="176"/>
      <c r="I75" s="176"/>
      <c r="J75" s="252">
        <f>#REF!</f>
      </c>
      <c r="K75" s="252">
        <f ca="1">'rincian 4'!S52</f>
      </c>
      <c r="L75" s="252">
        <f>'rincian 4'!U52</f>
      </c>
      <c r="M75" s="252">
        <f t="shared" ca="1" si="4"/>
      </c>
      <c r="N75" s="252">
        <f t="shared" si="5"/>
      </c>
      <c r="O75" s="252">
        <f t="shared" ca="1" si="6"/>
      </c>
      <c r="P75" s="78">
        <f>#REF!</f>
      </c>
      <c r="Q75" s="608">
        <f t="shared" si="7"/>
      </c>
      <c r="R75" s="609"/>
    </row>
    <row r="76" spans="1:18" ht="18" customHeight="1">
      <c r="A76" s="37"/>
      <c r="B76" s="175">
        <f>#REF!</f>
      </c>
      <c r="C76" s="233"/>
      <c r="D76" s="176">
        <f>IF(#REF!&lt;&gt;"",#REF!,IF(#REF!&lt;&gt;"",#REF!,""))</f>
      </c>
      <c r="E76" s="176"/>
      <c r="F76" s="176"/>
      <c r="G76" s="176"/>
      <c r="H76" s="176"/>
      <c r="I76" s="176"/>
      <c r="J76" s="252">
        <f>#REF!</f>
      </c>
      <c r="K76" s="252">
        <f ca="1">'rincian 4'!S53</f>
      </c>
      <c r="L76" s="252">
        <f>'rincian 4'!U53</f>
      </c>
      <c r="M76" s="252">
        <f t="shared" ca="1" si="4"/>
      </c>
      <c r="N76" s="252">
        <f t="shared" si="5"/>
      </c>
      <c r="O76" s="252">
        <f t="shared" ca="1" si="6"/>
      </c>
      <c r="P76" s="78">
        <f>#REF!</f>
      </c>
      <c r="Q76" s="608">
        <f t="shared" si="7"/>
      </c>
      <c r="R76" s="609"/>
    </row>
    <row r="77" spans="1:18" ht="18" customHeight="1">
      <c r="A77" s="37"/>
      <c r="B77" s="406">
        <f>#REF!</f>
      </c>
      <c r="C77" s="407"/>
      <c r="D77" s="408">
        <f>IF(#REF!&lt;&gt;"",#REF!,IF(#REF!&lt;&gt;"",#REF!,""))</f>
      </c>
      <c r="E77" s="408"/>
      <c r="F77" s="408"/>
      <c r="G77" s="408"/>
      <c r="H77" s="408"/>
      <c r="I77" s="408"/>
      <c r="J77" s="409"/>
      <c r="K77" s="409"/>
      <c r="L77" s="409"/>
      <c r="M77" s="409"/>
      <c r="N77" s="409"/>
      <c r="O77" s="409"/>
      <c r="P77" s="410"/>
      <c r="Q77" s="624"/>
      <c r="R77" s="625"/>
    </row>
    <row r="78" spans="1:18" ht="18" customHeight="1">
      <c r="A78" s="37"/>
      <c r="B78" s="404">
        <f>#REF!</f>
      </c>
      <c r="C78" s="233"/>
      <c r="D78" s="405">
        <f>IF(#REF!&lt;&gt;"",#REF!,IF(#REF!&lt;&gt;"",#REF!,""))</f>
      </c>
      <c r="E78" s="405"/>
      <c r="F78" s="405"/>
      <c r="G78" s="405"/>
      <c r="H78" s="405"/>
      <c r="I78" s="405"/>
      <c r="J78" s="252"/>
      <c r="K78" s="252"/>
      <c r="L78" s="252"/>
      <c r="M78" s="252"/>
      <c r="N78" s="252"/>
      <c r="O78" s="252"/>
      <c r="P78" s="78"/>
      <c r="Q78" s="624"/>
      <c r="R78" s="625"/>
    </row>
    <row r="79" spans="1:18" ht="18" customHeight="1">
      <c r="A79" s="37"/>
      <c r="B79" s="404">
        <f>#REF!</f>
      </c>
      <c r="C79" s="233"/>
      <c r="D79" s="405">
        <f>IF(#REF!&lt;&gt;"",#REF!,IF(#REF!&lt;&gt;"",#REF!,""))</f>
      </c>
      <c r="E79" s="405"/>
      <c r="F79" s="405"/>
      <c r="G79" s="405"/>
      <c r="H79" s="405"/>
      <c r="I79" s="405"/>
      <c r="J79" s="252"/>
      <c r="K79" s="252"/>
      <c r="L79" s="252"/>
      <c r="M79" s="252"/>
      <c r="N79" s="252"/>
      <c r="O79" s="252"/>
      <c r="P79" s="78"/>
      <c r="Q79" s="624"/>
      <c r="R79" s="625"/>
    </row>
    <row r="80" spans="1:18" ht="21" customHeight="1">
      <c r="A80" s="37"/>
      <c r="B80" s="175">
        <f>#REF!</f>
      </c>
      <c r="C80" s="233"/>
      <c r="D80" s="653">
        <f>IF(#REF!&lt;&gt;"",#REF!,IF(#REF!&lt;&gt;"",#REF!,""))</f>
      </c>
      <c r="E80" s="653"/>
      <c r="F80" s="653"/>
      <c r="G80" s="653"/>
      <c r="H80" s="653"/>
      <c r="I80" s="654"/>
      <c r="J80" s="252">
        <f>#REF!</f>
      </c>
      <c r="K80" s="252">
        <f ca="1">'rincian 4'!S57</f>
      </c>
      <c r="L80" s="252">
        <f>'rincian 4'!U57</f>
      </c>
      <c r="M80" s="252">
        <f ca="1">K80+L80</f>
      </c>
      <c r="N80" s="252">
        <f>L80</f>
      </c>
      <c r="O80" s="252">
        <f ca="1">J80-M80</f>
      </c>
      <c r="P80" s="78">
        <f>#REF!</f>
      </c>
      <c r="Q80" s="608">
        <f>N80*P80</f>
      </c>
      <c r="R80" s="609"/>
    </row>
    <row r="81" spans="1:18" ht="36" customHeight="1">
      <c r="A81" s="37"/>
      <c r="B81" s="175">
        <f>#REF!</f>
      </c>
      <c r="C81" s="233"/>
      <c r="D81" s="653">
        <f>IF(#REF!&lt;&gt;"",#REF!,IF(#REF!&lt;&gt;"",#REF!,""))</f>
      </c>
      <c r="E81" s="653"/>
      <c r="F81" s="653"/>
      <c r="G81" s="653"/>
      <c r="H81" s="653"/>
      <c r="I81" s="654"/>
      <c r="J81" s="252">
        <f>#REF!</f>
      </c>
      <c r="K81" s="252">
        <f ca="1">'rincian 4'!S58</f>
      </c>
      <c r="L81" s="252">
        <f>'rincian 4'!U58</f>
      </c>
      <c r="M81" s="252">
        <f ca="1">K81+L81</f>
      </c>
      <c r="N81" s="252">
        <f>L81</f>
      </c>
      <c r="O81" s="252">
        <f ca="1">J81-M81</f>
      </c>
      <c r="P81" s="78">
        <f>#REF!</f>
      </c>
      <c r="Q81" s="608">
        <f>N81*P81</f>
      </c>
      <c r="R81" s="609"/>
    </row>
    <row r="82" spans="1:18" ht="36" customHeight="1">
      <c r="A82" s="37"/>
      <c r="B82" s="175">
        <f>#REF!</f>
      </c>
      <c r="C82" s="233"/>
      <c r="D82" s="653">
        <f>IF(#REF!&lt;&gt;"",#REF!,IF(#REF!&lt;&gt;"",#REF!,""))</f>
      </c>
      <c r="E82" s="653"/>
      <c r="F82" s="653"/>
      <c r="G82" s="653"/>
      <c r="H82" s="653"/>
      <c r="I82" s="654"/>
      <c r="J82" s="252">
        <f>#REF!</f>
      </c>
      <c r="K82" s="252">
        <f ca="1">'rincian 4'!S59</f>
      </c>
      <c r="L82" s="252">
        <f>'rincian 4'!U59</f>
      </c>
      <c r="M82" s="252">
        <f ca="1">K82+L82</f>
      </c>
      <c r="N82" s="252">
        <f>L82</f>
      </c>
      <c r="O82" s="252">
        <f ca="1">J82-M82</f>
      </c>
      <c r="P82" s="78">
        <f>#REF!</f>
      </c>
      <c r="Q82" s="608">
        <f>N82*P82</f>
      </c>
      <c r="R82" s="609"/>
    </row>
    <row r="83" spans="1:18" ht="36" customHeight="1">
      <c r="A83" s="37"/>
      <c r="B83" s="175">
        <f>#REF!</f>
      </c>
      <c r="C83" s="233"/>
      <c r="D83" s="653">
        <f>IF(#REF!&lt;&gt;"",#REF!,IF(#REF!&lt;&gt;"",#REF!,""))</f>
      </c>
      <c r="E83" s="653"/>
      <c r="F83" s="653"/>
      <c r="G83" s="653"/>
      <c r="H83" s="653"/>
      <c r="I83" s="654"/>
      <c r="J83" s="252">
        <f>#REF!</f>
      </c>
      <c r="K83" s="252">
        <f ca="1">'rincian 4'!S60</f>
      </c>
      <c r="L83" s="252">
        <f>'rincian 4'!U60</f>
      </c>
      <c r="M83" s="252">
        <f ca="1">K83+L83</f>
      </c>
      <c r="N83" s="252">
        <f>L83</f>
      </c>
      <c r="O83" s="252">
        <f ca="1">J83-M83</f>
      </c>
      <c r="P83" s="78">
        <f>#REF!</f>
      </c>
      <c r="Q83" s="608">
        <f>N83*P83</f>
      </c>
      <c r="R83" s="609"/>
    </row>
    <row r="84" spans="1:18" ht="18" customHeight="1">
      <c r="A84" s="37"/>
      <c r="B84" s="404">
        <f>#REF!</f>
      </c>
      <c r="C84" s="233"/>
      <c r="D84" s="405">
        <f>IF(#REF!&lt;&gt;"",#REF!,IF(#REF!&lt;&gt;"",#REF!,""))</f>
      </c>
      <c r="E84" s="405"/>
      <c r="F84" s="405"/>
      <c r="G84" s="405"/>
      <c r="H84" s="405"/>
      <c r="I84" s="405"/>
      <c r="J84" s="252"/>
      <c r="K84" s="252"/>
      <c r="L84" s="252"/>
      <c r="M84" s="252"/>
      <c r="N84" s="252"/>
      <c r="O84" s="252"/>
      <c r="P84" s="78"/>
      <c r="Q84" s="624"/>
      <c r="R84" s="625"/>
    </row>
    <row r="85" spans="1:18" ht="18" customHeight="1">
      <c r="A85" s="37"/>
      <c r="B85" s="175">
        <f>#REF!</f>
      </c>
      <c r="C85" s="233"/>
      <c r="D85" s="176">
        <f>IF(#REF!&lt;&gt;"",#REF!,IF(#REF!&lt;&gt;"",#REF!,""))</f>
      </c>
      <c r="E85" s="176"/>
      <c r="F85" s="176"/>
      <c r="G85" s="176"/>
      <c r="H85" s="176"/>
      <c r="I85" s="176"/>
      <c r="J85" s="252">
        <f>#REF!</f>
      </c>
      <c r="K85" s="252">
        <f ca="1">'rincian 4'!S62</f>
      </c>
      <c r="L85" s="252">
        <f>'rincian 4'!U62</f>
      </c>
      <c r="M85" s="252">
        <f ca="1">K85+L85</f>
      </c>
      <c r="N85" s="252">
        <f>L85</f>
      </c>
      <c r="O85" s="252">
        <f ca="1">J85-M85</f>
      </c>
      <c r="P85" s="78">
        <f>#REF!</f>
      </c>
      <c r="Q85" s="608">
        <f>N85*P85</f>
      </c>
      <c r="R85" s="609"/>
    </row>
    <row r="86" spans="1:18" ht="18" customHeight="1">
      <c r="A86" s="37"/>
      <c r="B86" s="175">
        <f>#REF!</f>
      </c>
      <c r="C86" s="233"/>
      <c r="D86" s="176">
        <f>IF(#REF!&lt;&gt;"",#REF!,IF(#REF!&lt;&gt;"",#REF!,""))</f>
      </c>
      <c r="E86" s="176"/>
      <c r="F86" s="176"/>
      <c r="G86" s="176"/>
      <c r="H86" s="176"/>
      <c r="I86" s="176"/>
      <c r="J86" s="252">
        <f>#REF!</f>
      </c>
      <c r="K86" s="252">
        <f ca="1">'rincian 4'!S63</f>
      </c>
      <c r="L86" s="252">
        <f>'rincian 4'!U63</f>
      </c>
      <c r="M86" s="252">
        <f ca="1">K86+L86</f>
      </c>
      <c r="N86" s="252">
        <f>L86</f>
      </c>
      <c r="O86" s="252">
        <f ca="1">J86-M86</f>
      </c>
      <c r="P86" s="78">
        <f>#REF!</f>
      </c>
      <c r="Q86" s="608">
        <f>N86*P86</f>
      </c>
      <c r="R86" s="609"/>
    </row>
    <row r="87" spans="1:18" ht="18" customHeight="1">
      <c r="A87" s="37"/>
      <c r="B87" s="175">
        <f>#REF!</f>
      </c>
      <c r="C87" s="233"/>
      <c r="D87" s="176">
        <f>IF(#REF!&lt;&gt;"",#REF!,IF(#REF!&lt;&gt;"",#REF!,""))</f>
      </c>
      <c r="E87" s="176"/>
      <c r="F87" s="176"/>
      <c r="G87" s="176"/>
      <c r="H87" s="176"/>
      <c r="I87" s="176"/>
      <c r="J87" s="252">
        <f>#REF!</f>
      </c>
      <c r="K87" s="252">
        <f ca="1">'rincian 4'!S64</f>
      </c>
      <c r="L87" s="252">
        <f>'rincian 4'!U64</f>
      </c>
      <c r="M87" s="252">
        <f ca="1">K87+L87</f>
      </c>
      <c r="N87" s="252">
        <f>L87</f>
      </c>
      <c r="O87" s="252">
        <f ca="1">J87-M87</f>
      </c>
      <c r="P87" s="78">
        <f>#REF!</f>
      </c>
      <c r="Q87" s="608">
        <f>N87*P87</f>
      </c>
      <c r="R87" s="609"/>
    </row>
    <row r="88" spans="1:18" ht="18" customHeight="1">
      <c r="A88" s="37"/>
      <c r="B88" s="175">
        <f>#REF!</f>
      </c>
      <c r="C88" s="233"/>
      <c r="D88" s="176">
        <f>IF(#REF!&lt;&gt;"",#REF!,IF(#REF!&lt;&gt;"",#REF!,""))</f>
      </c>
      <c r="E88" s="176"/>
      <c r="F88" s="176"/>
      <c r="G88" s="176"/>
      <c r="H88" s="176"/>
      <c r="I88" s="176"/>
      <c r="J88" s="252">
        <f>#REF!</f>
      </c>
      <c r="K88" s="252">
        <f ca="1">'rincian 4'!S65</f>
      </c>
      <c r="L88" s="252">
        <f>'rincian 4'!U65</f>
      </c>
      <c r="M88" s="252">
        <f ca="1">K88+L88</f>
      </c>
      <c r="N88" s="252">
        <f>L88</f>
      </c>
      <c r="O88" s="252">
        <f ca="1">J88-M88</f>
      </c>
      <c r="P88" s="78">
        <f>#REF!</f>
      </c>
      <c r="Q88" s="608">
        <f>N88*P88</f>
      </c>
      <c r="R88" s="609"/>
    </row>
    <row r="89" spans="1:18" ht="18" customHeight="1">
      <c r="A89" s="37"/>
      <c r="B89" s="175">
        <f>#REF!</f>
      </c>
      <c r="C89" s="233"/>
      <c r="D89" s="176">
        <f>IF(#REF!&lt;&gt;"",#REF!,IF(#REF!&lt;&gt;"",#REF!,""))</f>
      </c>
      <c r="E89" s="176"/>
      <c r="F89" s="176"/>
      <c r="G89" s="176"/>
      <c r="H89" s="176"/>
      <c r="I89" s="176"/>
      <c r="J89" s="252">
        <f>#REF!</f>
      </c>
      <c r="K89" s="252">
        <f ca="1">'rincian 4'!S66</f>
      </c>
      <c r="L89" s="252">
        <f>'rincian 4'!U66</f>
      </c>
      <c r="M89" s="252">
        <f ca="1">K89+L89</f>
      </c>
      <c r="N89" s="252">
        <f>L89</f>
      </c>
      <c r="O89" s="252">
        <f ca="1">J89-M89</f>
      </c>
      <c r="P89" s="78">
        <f>#REF!</f>
      </c>
      <c r="Q89" s="608">
        <f>N89*P89</f>
      </c>
      <c r="R89" s="609"/>
    </row>
    <row r="90" spans="1:18" ht="18" customHeight="1">
      <c r="A90" s="37"/>
      <c r="B90" s="404">
        <f>#REF!</f>
      </c>
      <c r="C90" s="233"/>
      <c r="D90" s="405">
        <f>IF(#REF!&lt;&gt;"",#REF!,IF(#REF!&lt;&gt;"",#REF!,""))</f>
      </c>
      <c r="E90" s="405"/>
      <c r="F90" s="405"/>
      <c r="G90" s="405"/>
      <c r="H90" s="405"/>
      <c r="I90" s="405"/>
      <c r="J90" s="252"/>
      <c r="K90" s="252"/>
      <c r="L90" s="252"/>
      <c r="M90" s="252"/>
      <c r="N90" s="252"/>
      <c r="O90" s="252"/>
      <c r="P90" s="78"/>
      <c r="Q90" s="624"/>
      <c r="R90" s="625"/>
    </row>
    <row r="91" spans="1:18" ht="18" customHeight="1">
      <c r="A91" s="37"/>
      <c r="B91" s="175">
        <f>#REF!</f>
      </c>
      <c r="C91" s="233"/>
      <c r="D91" s="176">
        <f>IF(#REF!&lt;&gt;"",#REF!,IF(#REF!&lt;&gt;"",#REF!,""))</f>
      </c>
      <c r="E91" s="176"/>
      <c r="F91" s="176"/>
      <c r="G91" s="176"/>
      <c r="H91" s="176"/>
      <c r="I91" s="176"/>
      <c r="J91" s="252">
        <f>#REF!</f>
      </c>
      <c r="K91" s="252">
        <f ca="1">'rincian 4'!S68</f>
      </c>
      <c r="L91" s="252">
        <f>'rincian 4'!U68</f>
      </c>
      <c r="M91" s="252">
        <f t="shared" ref="M91:M101" ca="1" si="8">K91+L91</f>
      </c>
      <c r="N91" s="252">
        <f t="shared" ref="N91:N101" si="9">L91</f>
      </c>
      <c r="O91" s="252">
        <f t="shared" ref="O91:O101" ca="1" si="10">J91-M91</f>
      </c>
      <c r="P91" s="78">
        <f>#REF!</f>
      </c>
      <c r="Q91" s="608">
        <f t="shared" ref="Q91:Q101" si="11">N91*P91</f>
      </c>
      <c r="R91" s="609"/>
    </row>
    <row r="92" spans="1:18" ht="18" customHeight="1">
      <c r="A92" s="37"/>
      <c r="B92" s="175">
        <f>#REF!</f>
      </c>
      <c r="C92" s="233"/>
      <c r="D92" s="176">
        <f>IF(#REF!&lt;&gt;"",#REF!,IF(#REF!&lt;&gt;"",#REF!,""))</f>
      </c>
      <c r="E92" s="176"/>
      <c r="F92" s="176"/>
      <c r="G92" s="176"/>
      <c r="H92" s="176"/>
      <c r="I92" s="176"/>
      <c r="J92" s="252">
        <f>#REF!</f>
      </c>
      <c r="K92" s="252">
        <f ca="1">'rincian 4'!S69</f>
      </c>
      <c r="L92" s="252">
        <f>'rincian 4'!U69</f>
      </c>
      <c r="M92" s="252">
        <f t="shared" ca="1" si="8"/>
      </c>
      <c r="N92" s="252">
        <f t="shared" si="9"/>
      </c>
      <c r="O92" s="252">
        <f t="shared" ca="1" si="10"/>
      </c>
      <c r="P92" s="78">
        <f>#REF!</f>
      </c>
      <c r="Q92" s="608">
        <f t="shared" si="11"/>
      </c>
      <c r="R92" s="609"/>
    </row>
    <row r="93" spans="1:18" ht="18" customHeight="1">
      <c r="A93" s="37"/>
      <c r="B93" s="175">
        <f>#REF!</f>
      </c>
      <c r="C93" s="233"/>
      <c r="D93" s="176">
        <f>IF(#REF!&lt;&gt;"",#REF!,IF(#REF!&lt;&gt;"",#REF!,""))</f>
      </c>
      <c r="E93" s="176"/>
      <c r="F93" s="176"/>
      <c r="G93" s="176"/>
      <c r="H93" s="176"/>
      <c r="I93" s="176"/>
      <c r="J93" s="252">
        <f>#REF!</f>
      </c>
      <c r="K93" s="252">
        <f ca="1">'rincian 4'!S70</f>
      </c>
      <c r="L93" s="252">
        <f>'rincian 4'!U70</f>
      </c>
      <c r="M93" s="252">
        <f t="shared" ca="1" si="8"/>
      </c>
      <c r="N93" s="252">
        <f t="shared" si="9"/>
      </c>
      <c r="O93" s="252">
        <f t="shared" ca="1" si="10"/>
      </c>
      <c r="P93" s="78">
        <f>#REF!</f>
      </c>
      <c r="Q93" s="608">
        <f t="shared" si="11"/>
      </c>
      <c r="R93" s="609"/>
    </row>
    <row r="94" spans="1:18" ht="18" customHeight="1">
      <c r="A94" s="37"/>
      <c r="B94" s="175">
        <f>#REF!</f>
      </c>
      <c r="C94" s="233"/>
      <c r="D94" s="176">
        <f>IF(#REF!&lt;&gt;"",#REF!,IF(#REF!&lt;&gt;"",#REF!,""))</f>
      </c>
      <c r="E94" s="176"/>
      <c r="F94" s="176"/>
      <c r="G94" s="176"/>
      <c r="H94" s="176"/>
      <c r="I94" s="176"/>
      <c r="J94" s="252">
        <f>#REF!</f>
      </c>
      <c r="K94" s="252">
        <f ca="1">'rincian 4'!S71</f>
      </c>
      <c r="L94" s="252">
        <f>'rincian 4'!U71</f>
      </c>
      <c r="M94" s="252">
        <f t="shared" ca="1" si="8"/>
      </c>
      <c r="N94" s="252">
        <f t="shared" si="9"/>
      </c>
      <c r="O94" s="252">
        <f t="shared" ca="1" si="10"/>
      </c>
      <c r="P94" s="78">
        <f>#REF!</f>
      </c>
      <c r="Q94" s="608">
        <f t="shared" si="11"/>
      </c>
      <c r="R94" s="609"/>
    </row>
    <row r="95" spans="1:18" ht="18" customHeight="1">
      <c r="A95" s="37"/>
      <c r="B95" s="175">
        <f>#REF!</f>
      </c>
      <c r="C95" s="233"/>
      <c r="D95" s="176">
        <f>IF(#REF!&lt;&gt;"",#REF!,IF(#REF!&lt;&gt;"",#REF!,""))</f>
      </c>
      <c r="E95" s="176"/>
      <c r="F95" s="176"/>
      <c r="G95" s="176"/>
      <c r="H95" s="176"/>
      <c r="I95" s="176"/>
      <c r="J95" s="252">
        <f>#REF!</f>
      </c>
      <c r="K95" s="252">
        <f ca="1">'rincian 4'!S72</f>
      </c>
      <c r="L95" s="252">
        <f>'rincian 4'!U72</f>
      </c>
      <c r="M95" s="252">
        <f t="shared" ca="1" si="8"/>
      </c>
      <c r="N95" s="252">
        <f t="shared" si="9"/>
      </c>
      <c r="O95" s="252">
        <f t="shared" ca="1" si="10"/>
      </c>
      <c r="P95" s="78">
        <f>#REF!</f>
      </c>
      <c r="Q95" s="608">
        <f t="shared" si="11"/>
      </c>
      <c r="R95" s="609"/>
    </row>
    <row r="96" spans="1:18" ht="18" customHeight="1">
      <c r="A96" s="37"/>
      <c r="B96" s="175">
        <f>#REF!</f>
      </c>
      <c r="C96" s="233"/>
      <c r="D96" s="176">
        <f>IF(#REF!&lt;&gt;"",#REF!,IF(#REF!&lt;&gt;"",#REF!,""))</f>
      </c>
      <c r="E96" s="176"/>
      <c r="F96" s="176"/>
      <c r="G96" s="176"/>
      <c r="H96" s="176"/>
      <c r="I96" s="176"/>
      <c r="J96" s="252">
        <f>#REF!</f>
      </c>
      <c r="K96" s="252">
        <f ca="1">'rincian 4'!S73</f>
      </c>
      <c r="L96" s="252">
        <f>'rincian 4'!U73</f>
      </c>
      <c r="M96" s="252">
        <f t="shared" ca="1" si="8"/>
      </c>
      <c r="N96" s="252">
        <f t="shared" si="9"/>
      </c>
      <c r="O96" s="252">
        <f t="shared" ca="1" si="10"/>
      </c>
      <c r="P96" s="78">
        <f>#REF!</f>
      </c>
      <c r="Q96" s="608">
        <f t="shared" si="11"/>
      </c>
      <c r="R96" s="609"/>
    </row>
    <row r="97" spans="1:18" ht="18" customHeight="1">
      <c r="A97" s="37"/>
      <c r="B97" s="175">
        <f>#REF!</f>
      </c>
      <c r="C97" s="233"/>
      <c r="D97" s="176">
        <f>IF(#REF!&lt;&gt;"",#REF!,IF(#REF!&lt;&gt;"",#REF!,""))</f>
      </c>
      <c r="E97" s="176"/>
      <c r="F97" s="176"/>
      <c r="G97" s="176"/>
      <c r="H97" s="176"/>
      <c r="I97" s="176"/>
      <c r="J97" s="252">
        <f>#REF!</f>
      </c>
      <c r="K97" s="252">
        <f ca="1">'rincian 4'!S74</f>
      </c>
      <c r="L97" s="252">
        <f>'rincian 4'!U74</f>
      </c>
      <c r="M97" s="252">
        <f t="shared" ca="1" si="8"/>
      </c>
      <c r="N97" s="252">
        <f t="shared" si="9"/>
      </c>
      <c r="O97" s="252">
        <f t="shared" ca="1" si="10"/>
      </c>
      <c r="P97" s="78">
        <f>#REF!</f>
      </c>
      <c r="Q97" s="608">
        <f t="shared" si="11"/>
      </c>
      <c r="R97" s="609"/>
    </row>
    <row r="98" spans="1:18" ht="18" customHeight="1">
      <c r="A98" s="37"/>
      <c r="B98" s="175">
        <f>#REF!</f>
      </c>
      <c r="C98" s="233"/>
      <c r="D98" s="176">
        <f>IF(#REF!&lt;&gt;"",#REF!,IF(#REF!&lt;&gt;"",#REF!,""))</f>
      </c>
      <c r="E98" s="176"/>
      <c r="F98" s="176"/>
      <c r="G98" s="176"/>
      <c r="H98" s="176"/>
      <c r="I98" s="176"/>
      <c r="J98" s="252">
        <f>#REF!</f>
      </c>
      <c r="K98" s="252">
        <f ca="1">'rincian 4'!S75</f>
      </c>
      <c r="L98" s="252">
        <f>'rincian 4'!U75</f>
      </c>
      <c r="M98" s="252">
        <f t="shared" ca="1" si="8"/>
      </c>
      <c r="N98" s="252">
        <f t="shared" si="9"/>
      </c>
      <c r="O98" s="252">
        <f t="shared" ca="1" si="10"/>
      </c>
      <c r="P98" s="78">
        <f>#REF!</f>
      </c>
      <c r="Q98" s="608">
        <f t="shared" si="11"/>
      </c>
      <c r="R98" s="609"/>
    </row>
    <row r="99" spans="1:18" ht="18" customHeight="1">
      <c r="A99" s="37"/>
      <c r="B99" s="175">
        <f>#REF!</f>
      </c>
      <c r="C99" s="233"/>
      <c r="D99" s="176">
        <f>IF(#REF!&lt;&gt;"",#REF!,IF(#REF!&lt;&gt;"",#REF!,""))</f>
      </c>
      <c r="E99" s="176"/>
      <c r="F99" s="176"/>
      <c r="G99" s="176"/>
      <c r="H99" s="176"/>
      <c r="I99" s="176"/>
      <c r="J99" s="252">
        <f>#REF!</f>
      </c>
      <c r="K99" s="252">
        <f ca="1">'rincian 4'!S76</f>
      </c>
      <c r="L99" s="252">
        <f>'rincian 4'!U76</f>
      </c>
      <c r="M99" s="252">
        <f t="shared" ca="1" si="8"/>
      </c>
      <c r="N99" s="252">
        <f t="shared" si="9"/>
      </c>
      <c r="O99" s="252">
        <f t="shared" ca="1" si="10"/>
      </c>
      <c r="P99" s="78">
        <f>#REF!</f>
      </c>
      <c r="Q99" s="608">
        <f t="shared" si="11"/>
      </c>
      <c r="R99" s="609"/>
    </row>
    <row r="100" spans="1:18" ht="18" customHeight="1">
      <c r="A100" s="37"/>
      <c r="B100" s="175">
        <f>#REF!</f>
      </c>
      <c r="C100" s="233"/>
      <c r="D100" s="176">
        <f>IF(#REF!&lt;&gt;"",#REF!,IF(#REF!&lt;&gt;"",#REF!,""))</f>
      </c>
      <c r="E100" s="176"/>
      <c r="F100" s="176"/>
      <c r="G100" s="176"/>
      <c r="H100" s="176"/>
      <c r="I100" s="176"/>
      <c r="J100" s="252">
        <f>#REF!</f>
      </c>
      <c r="K100" s="252">
        <f ca="1">'rincian 4'!S77</f>
      </c>
      <c r="L100" s="252">
        <f>'rincian 4'!U77</f>
      </c>
      <c r="M100" s="252">
        <f t="shared" ca="1" si="8"/>
      </c>
      <c r="N100" s="252">
        <f t="shared" si="9"/>
      </c>
      <c r="O100" s="252">
        <f t="shared" ca="1" si="10"/>
      </c>
      <c r="P100" s="78">
        <f>#REF!</f>
      </c>
      <c r="Q100" s="608">
        <f t="shared" si="11"/>
      </c>
      <c r="R100" s="609"/>
    </row>
    <row r="101" spans="1:18" ht="18" customHeight="1">
      <c r="A101" s="37"/>
      <c r="B101" s="175">
        <f>#REF!</f>
      </c>
      <c r="C101" s="233"/>
      <c r="D101" s="176">
        <f>IF(#REF!&lt;&gt;"",#REF!,IF(#REF!&lt;&gt;"",#REF!,""))</f>
      </c>
      <c r="E101" s="176"/>
      <c r="F101" s="176"/>
      <c r="G101" s="176"/>
      <c r="H101" s="176"/>
      <c r="I101" s="176"/>
      <c r="J101" s="252">
        <f>#REF!</f>
      </c>
      <c r="K101" s="252">
        <f ca="1">'rincian 4'!S78</f>
      </c>
      <c r="L101" s="252">
        <f>'rincian 4'!U78</f>
      </c>
      <c r="M101" s="252">
        <f t="shared" ca="1" si="8"/>
      </c>
      <c r="N101" s="252">
        <f t="shared" si="9"/>
      </c>
      <c r="O101" s="252">
        <f t="shared" ca="1" si="10"/>
      </c>
      <c r="P101" s="78">
        <f>#REF!</f>
      </c>
      <c r="Q101" s="608">
        <f t="shared" si="11"/>
      </c>
      <c r="R101" s="609"/>
    </row>
    <row r="102" spans="1:18" ht="18" customHeight="1">
      <c r="A102" s="37"/>
      <c r="B102" s="406">
        <f>#REF!</f>
      </c>
      <c r="C102" s="407"/>
      <c r="D102" s="408">
        <f>IF(#REF!&lt;&gt;"",#REF!,IF(#REF!&lt;&gt;"",#REF!,""))</f>
      </c>
      <c r="E102" s="408"/>
      <c r="F102" s="408"/>
      <c r="G102" s="408"/>
      <c r="H102" s="408"/>
      <c r="I102" s="408"/>
      <c r="J102" s="409"/>
      <c r="K102" s="409"/>
      <c r="L102" s="409"/>
      <c r="M102" s="409"/>
      <c r="N102" s="409"/>
      <c r="O102" s="409"/>
      <c r="P102" s="410"/>
      <c r="Q102" s="624"/>
      <c r="R102" s="625"/>
    </row>
    <row r="103" spans="1:18" ht="18" customHeight="1">
      <c r="A103" s="37"/>
      <c r="B103" s="404">
        <f>#REF!</f>
      </c>
      <c r="C103" s="233"/>
      <c r="D103" s="405">
        <f>IF(#REF!&lt;&gt;"",#REF!,IF(#REF!&lt;&gt;"",#REF!,""))</f>
      </c>
      <c r="E103" s="405"/>
      <c r="F103" s="405"/>
      <c r="G103" s="405"/>
      <c r="H103" s="405"/>
      <c r="I103" s="405"/>
      <c r="J103" s="252">
        <f>#REF!</f>
      </c>
      <c r="K103" s="252">
        <f>'rincian 4'!S80</f>
      </c>
      <c r="L103" s="252">
        <f>'rincian 4'!U80</f>
      </c>
      <c r="M103" s="252">
        <f>K103+L103</f>
      </c>
      <c r="N103" s="252">
        <f>L103</f>
      </c>
      <c r="O103" s="252">
        <f>J103-M103</f>
      </c>
      <c r="P103" s="78">
        <f>#REF!</f>
      </c>
      <c r="Q103" s="608">
        <f>N103*P103</f>
      </c>
      <c r="R103" s="609"/>
    </row>
    <row r="104" spans="1:18" ht="18" customHeight="1">
      <c r="A104" s="37"/>
      <c r="B104" s="175">
        <f>#REF!</f>
      </c>
      <c r="C104" s="233"/>
      <c r="D104" s="176">
        <f>IF(#REF!&lt;&gt;"",#REF!,IF(#REF!&lt;&gt;"",#REF!,""))</f>
      </c>
      <c r="E104" s="176"/>
      <c r="F104" s="176"/>
      <c r="G104" s="176"/>
      <c r="H104" s="176"/>
      <c r="I104" s="176"/>
      <c r="J104" s="252">
        <f>#REF!</f>
      </c>
      <c r="K104" s="252">
        <f ca="1">'rincian 4'!S81</f>
      </c>
      <c r="L104" s="252">
        <f>'rincian 4'!U81</f>
      </c>
      <c r="M104" s="252">
        <f ca="1">K104+L104</f>
      </c>
      <c r="N104" s="252">
        <f>L104</f>
      </c>
      <c r="O104" s="252">
        <f ca="1">J104-M104</f>
      </c>
      <c r="P104" s="78">
        <f>#REF!</f>
      </c>
      <c r="Q104" s="608">
        <f>N104*P104</f>
      </c>
      <c r="R104" s="609"/>
    </row>
    <row r="105" spans="1:18" ht="18" customHeight="1">
      <c r="A105" s="37"/>
      <c r="B105" s="175">
        <f>#REF!</f>
      </c>
      <c r="C105" s="233"/>
      <c r="D105" s="176">
        <f>IF(#REF!&lt;&gt;"",#REF!,IF(#REF!&lt;&gt;"",#REF!,""))</f>
      </c>
      <c r="E105" s="176"/>
      <c r="F105" s="176"/>
      <c r="G105" s="176"/>
      <c r="H105" s="176"/>
      <c r="I105" s="176"/>
      <c r="J105" s="252">
        <f>#REF!</f>
      </c>
      <c r="K105" s="252">
        <f ca="1">'rincian 4'!S82</f>
      </c>
      <c r="L105" s="252">
        <f>'rincian 4'!U82</f>
      </c>
      <c r="M105" s="252">
        <f ca="1">K105+L105</f>
      </c>
      <c r="N105" s="252">
        <f>L105</f>
      </c>
      <c r="O105" s="252">
        <f ca="1">J105-M105</f>
      </c>
      <c r="P105" s="78">
        <f>#REF!</f>
      </c>
      <c r="Q105" s="608">
        <f>N105*P105</f>
      </c>
      <c r="R105" s="609"/>
    </row>
    <row r="106" spans="1:18" ht="18" customHeight="1">
      <c r="A106" s="37"/>
      <c r="B106" s="404">
        <f>#REF!</f>
      </c>
      <c r="C106" s="233"/>
      <c r="D106" s="405">
        <f>IF(#REF!&lt;&gt;"",#REF!,IF(#REF!&lt;&gt;"",#REF!,""))</f>
      </c>
      <c r="E106" s="405"/>
      <c r="F106" s="405"/>
      <c r="G106" s="405"/>
      <c r="H106" s="405"/>
      <c r="I106" s="405"/>
      <c r="J106" s="252"/>
      <c r="K106" s="252"/>
      <c r="L106" s="252"/>
      <c r="M106" s="252"/>
      <c r="N106" s="252"/>
      <c r="O106" s="252"/>
      <c r="P106" s="78"/>
      <c r="Q106" s="608"/>
      <c r="R106" s="609"/>
    </row>
    <row r="107" spans="1:18" ht="18" customHeight="1">
      <c r="A107" s="37"/>
      <c r="B107" s="175">
        <f>#REF!</f>
      </c>
      <c r="C107" s="233"/>
      <c r="D107" s="176">
        <f>IF(#REF!&lt;&gt;"",#REF!,IF(#REF!&lt;&gt;"",#REF!,""))</f>
      </c>
      <c r="E107" s="176"/>
      <c r="F107" s="176"/>
      <c r="G107" s="176"/>
      <c r="H107" s="176"/>
      <c r="I107" s="176"/>
      <c r="J107" s="252">
        <f>#REF!</f>
      </c>
      <c r="K107" s="252">
        <f ca="1">'rincian 4'!S84</f>
      </c>
      <c r="L107" s="252">
        <f>'rincian 4'!U84</f>
      </c>
      <c r="M107" s="252">
        <f ca="1">K107+L107</f>
      </c>
      <c r="N107" s="252">
        <f>L107</f>
      </c>
      <c r="O107" s="252">
        <f ca="1">J107-M107</f>
      </c>
      <c r="P107" s="78">
        <f>#REF!</f>
      </c>
      <c r="Q107" s="608">
        <f>N107*P107</f>
      </c>
      <c r="R107" s="609"/>
    </row>
    <row r="108" spans="1:18" ht="18" customHeight="1">
      <c r="A108" s="37"/>
      <c r="B108" s="175">
        <f>#REF!</f>
      </c>
      <c r="C108" s="233"/>
      <c r="D108" s="176">
        <f>IF(#REF!&lt;&gt;"",#REF!,IF(#REF!&lt;&gt;"",#REF!,""))</f>
      </c>
      <c r="E108" s="176"/>
      <c r="F108" s="176"/>
      <c r="G108" s="176"/>
      <c r="H108" s="176"/>
      <c r="I108" s="176"/>
      <c r="J108" s="252">
        <f>#REF!</f>
      </c>
      <c r="K108" s="252">
        <f ca="1">'rincian 4'!S85</f>
      </c>
      <c r="L108" s="252">
        <f>'rincian 4'!U85</f>
      </c>
      <c r="M108" s="252">
        <f ca="1">K108+L108</f>
      </c>
      <c r="N108" s="252">
        <f>L108</f>
      </c>
      <c r="O108" s="252">
        <f ca="1">J108-M108</f>
      </c>
      <c r="P108" s="78">
        <f>#REF!</f>
      </c>
      <c r="Q108" s="608">
        <f>N108*P108</f>
      </c>
      <c r="R108" s="609"/>
    </row>
    <row r="109" spans="1:18" ht="18" customHeight="1">
      <c r="A109" s="37"/>
      <c r="B109" s="175">
        <f>#REF!</f>
      </c>
      <c r="C109" s="233"/>
      <c r="D109" s="176">
        <f>IF(#REF!&lt;&gt;"",#REF!,IF(#REF!&lt;&gt;"",#REF!,""))</f>
      </c>
      <c r="E109" s="176"/>
      <c r="F109" s="176"/>
      <c r="G109" s="176"/>
      <c r="H109" s="176"/>
      <c r="I109" s="176"/>
      <c r="J109" s="252">
        <f>#REF!</f>
      </c>
      <c r="K109" s="252">
        <f ca="1">'rincian 4'!S86</f>
      </c>
      <c r="L109" s="252">
        <f>'rincian 4'!U86</f>
      </c>
      <c r="M109" s="252">
        <f ca="1">K109+L109</f>
      </c>
      <c r="N109" s="252">
        <f>L109</f>
      </c>
      <c r="O109" s="252">
        <f ca="1">J109-M109</f>
      </c>
      <c r="P109" s="78">
        <f>#REF!</f>
      </c>
      <c r="Q109" s="608">
        <f>N109*P109</f>
      </c>
      <c r="R109" s="609"/>
    </row>
    <row r="110" spans="1:18" ht="18" customHeight="1">
      <c r="A110" s="37"/>
      <c r="B110" s="404">
        <f>#REF!</f>
      </c>
      <c r="C110" s="233"/>
      <c r="D110" s="405">
        <f>IF(#REF!&lt;&gt;"",#REF!,IF(#REF!&lt;&gt;"",#REF!,""))</f>
      </c>
      <c r="E110" s="405"/>
      <c r="F110" s="405"/>
      <c r="G110" s="405"/>
      <c r="H110" s="405"/>
      <c r="I110" s="405"/>
      <c r="J110" s="252"/>
      <c r="K110" s="252"/>
      <c r="L110" s="252"/>
      <c r="M110" s="252"/>
      <c r="N110" s="252"/>
      <c r="O110" s="252"/>
      <c r="P110" s="78"/>
      <c r="Q110" s="608"/>
      <c r="R110" s="609"/>
    </row>
    <row r="111" spans="1:18" ht="18" customHeight="1">
      <c r="A111" s="37"/>
      <c r="B111" s="175">
        <f>#REF!</f>
      </c>
      <c r="C111" s="233"/>
      <c r="D111" s="176">
        <f>IF(#REF!&lt;&gt;"",#REF!,IF(#REF!&lt;&gt;"",#REF!,""))</f>
      </c>
      <c r="E111" s="176"/>
      <c r="F111" s="176"/>
      <c r="G111" s="176"/>
      <c r="H111" s="176"/>
      <c r="I111" s="176"/>
      <c r="J111" s="252">
        <f>#REF!</f>
      </c>
      <c r="K111" s="252">
        <f ca="1">'rincian 4'!S88</f>
      </c>
      <c r="L111" s="252">
        <f>'rincian 4'!U88</f>
      </c>
      <c r="M111" s="252">
        <f ca="1">K111+L111</f>
      </c>
      <c r="N111" s="252">
        <f>L111</f>
      </c>
      <c r="O111" s="252">
        <f ca="1">J111-M111</f>
      </c>
      <c r="P111" s="78">
        <f>#REF!</f>
      </c>
      <c r="Q111" s="608">
        <f>N111*P111</f>
      </c>
      <c r="R111" s="609"/>
    </row>
    <row r="112" spans="1:18" ht="18" customHeight="1">
      <c r="A112" s="37"/>
      <c r="B112" s="175">
        <f>#REF!</f>
      </c>
      <c r="C112" s="233"/>
      <c r="D112" s="176">
        <f>IF(#REF!&lt;&gt;"",#REF!,IF(#REF!&lt;&gt;"",#REF!,""))</f>
      </c>
      <c r="E112" s="176"/>
      <c r="F112" s="176"/>
      <c r="G112" s="176"/>
      <c r="H112" s="176"/>
      <c r="I112" s="176"/>
      <c r="J112" s="252">
        <f>#REF!</f>
      </c>
      <c r="K112" s="252">
        <f ca="1">'rincian 4'!S89</f>
      </c>
      <c r="L112" s="252">
        <f>'rincian 4'!U89</f>
      </c>
      <c r="M112" s="252">
        <f ca="1">K112+L112</f>
      </c>
      <c r="N112" s="252">
        <f>L112</f>
      </c>
      <c r="O112" s="252">
        <f ca="1">J112-M112</f>
      </c>
      <c r="P112" s="78">
        <f>#REF!</f>
      </c>
      <c r="Q112" s="608">
        <f>N112*P112</f>
      </c>
      <c r="R112" s="609"/>
    </row>
    <row r="113" spans="1:18" ht="18" customHeight="1">
      <c r="A113" s="37"/>
      <c r="B113" s="175">
        <f>#REF!</f>
      </c>
      <c r="C113" s="233"/>
      <c r="D113" s="176">
        <f>IF(#REF!&lt;&gt;"",#REF!,IF(#REF!&lt;&gt;"",#REF!,""))</f>
      </c>
      <c r="E113" s="176"/>
      <c r="F113" s="176"/>
      <c r="G113" s="176"/>
      <c r="H113" s="176"/>
      <c r="I113" s="176"/>
      <c r="J113" s="252">
        <f>#REF!</f>
      </c>
      <c r="K113" s="252">
        <f ca="1">'rincian 4'!S90</f>
      </c>
      <c r="L113" s="252">
        <f>'rincian 4'!U90</f>
      </c>
      <c r="M113" s="252">
        <f ca="1">K113+L113</f>
      </c>
      <c r="N113" s="252">
        <f>L113</f>
      </c>
      <c r="O113" s="252">
        <f ca="1">J113-M113</f>
      </c>
      <c r="P113" s="78">
        <f>#REF!</f>
      </c>
      <c r="Q113" s="608">
        <f>N113*P113</f>
      </c>
      <c r="R113" s="609"/>
    </row>
    <row r="114" spans="1:18" ht="18" customHeight="1">
      <c r="A114" s="37"/>
      <c r="B114" s="175">
        <f>#REF!</f>
      </c>
      <c r="C114" s="233"/>
      <c r="D114" s="176">
        <f>IF(#REF!&lt;&gt;"",#REF!,IF(#REF!&lt;&gt;"",#REF!,""))</f>
      </c>
      <c r="E114" s="176"/>
      <c r="F114" s="176"/>
      <c r="G114" s="176"/>
      <c r="H114" s="176"/>
      <c r="I114" s="176"/>
      <c r="J114" s="252">
        <f>#REF!</f>
      </c>
      <c r="K114" s="252">
        <f ca="1">'rincian 4'!S91</f>
      </c>
      <c r="L114" s="252">
        <f>'rincian 4'!U91</f>
      </c>
      <c r="M114" s="252">
        <f ca="1">K114+L114</f>
      </c>
      <c r="N114" s="252">
        <f>L114</f>
      </c>
      <c r="O114" s="252">
        <f ca="1">J114-M114</f>
      </c>
      <c r="P114" s="78">
        <f>#REF!</f>
      </c>
      <c r="Q114" s="608">
        <f>N114*P114</f>
      </c>
      <c r="R114" s="609"/>
    </row>
    <row r="115" spans="1:18" ht="18" customHeight="1">
      <c r="A115" s="37"/>
      <c r="B115" s="404">
        <f>#REF!</f>
      </c>
      <c r="C115" s="233"/>
      <c r="D115" s="405">
        <f>IF(#REF!&lt;&gt;"",#REF!,IF(#REF!&lt;&gt;"",#REF!,""))</f>
      </c>
      <c r="E115" s="405"/>
      <c r="F115" s="405"/>
      <c r="G115" s="405"/>
      <c r="H115" s="405"/>
      <c r="I115" s="405"/>
      <c r="J115" s="252"/>
      <c r="K115" s="252"/>
      <c r="L115" s="252"/>
      <c r="M115" s="252"/>
      <c r="N115" s="252"/>
      <c r="O115" s="252"/>
      <c r="P115" s="78"/>
      <c r="Q115" s="608"/>
      <c r="R115" s="609"/>
    </row>
    <row r="116" spans="1:18" ht="18" customHeight="1">
      <c r="A116" s="37"/>
      <c r="B116" s="175">
        <f>#REF!</f>
      </c>
      <c r="C116" s="233"/>
      <c r="D116" s="176">
        <f>IF(#REF!&lt;&gt;"",#REF!,IF(#REF!&lt;&gt;"",#REF!,""))</f>
      </c>
      <c r="E116" s="176"/>
      <c r="F116" s="176"/>
      <c r="G116" s="176"/>
      <c r="H116" s="176"/>
      <c r="I116" s="176"/>
      <c r="J116" s="252">
        <f>#REF!</f>
      </c>
      <c r="K116" s="252">
        <f ca="1">'rincian 4'!S93</f>
      </c>
      <c r="L116" s="252">
        <f>'rincian 4'!U93</f>
      </c>
      <c r="M116" s="252">
        <f t="shared" ref="M116:M121" ca="1" si="12">K116+L116</f>
      </c>
      <c r="N116" s="252">
        <f t="shared" ref="N116:N121" si="13">L116</f>
      </c>
      <c r="O116" s="252">
        <f t="shared" ref="O116:O121" ca="1" si="14">J116-M116</f>
      </c>
      <c r="P116" s="78">
        <f>#REF!</f>
      </c>
      <c r="Q116" s="608">
        <f t="shared" ref="Q116:Q121" si="15">N116*P116</f>
      </c>
      <c r="R116" s="609"/>
    </row>
    <row r="117" spans="1:18" ht="18" customHeight="1">
      <c r="A117" s="37"/>
      <c r="B117" s="404">
        <f>#REF!</f>
      </c>
      <c r="C117" s="233"/>
      <c r="D117" s="405">
        <f>IF(#REF!&lt;&gt;"",#REF!,IF(#REF!&lt;&gt;"",#REF!,""))</f>
      </c>
      <c r="E117" s="405"/>
      <c r="F117" s="405"/>
      <c r="G117" s="405"/>
      <c r="H117" s="405"/>
      <c r="I117" s="405"/>
      <c r="J117" s="252">
        <f>#REF!</f>
      </c>
      <c r="K117" s="252">
        <f>'rincian 4'!S94</f>
      </c>
      <c r="L117" s="252">
        <f>'rincian 4'!U94</f>
      </c>
      <c r="M117" s="252">
        <f t="shared" si="12"/>
      </c>
      <c r="N117" s="252">
        <f t="shared" si="13"/>
      </c>
      <c r="O117" s="252">
        <f t="shared" si="14"/>
      </c>
      <c r="P117" s="78">
        <f>#REF!</f>
      </c>
      <c r="Q117" s="608">
        <f t="shared" si="15"/>
      </c>
      <c r="R117" s="609"/>
    </row>
    <row r="118" spans="1:18" ht="18" customHeight="1">
      <c r="A118" s="37"/>
      <c r="B118" s="175">
        <f>#REF!</f>
      </c>
      <c r="C118" s="233"/>
      <c r="D118" s="176">
        <f>IF(#REF!&lt;&gt;"",#REF!,IF(#REF!&lt;&gt;"",#REF!,""))</f>
      </c>
      <c r="E118" s="176"/>
      <c r="F118" s="176"/>
      <c r="G118" s="176"/>
      <c r="H118" s="176"/>
      <c r="I118" s="176"/>
      <c r="J118" s="252">
        <f>#REF!</f>
      </c>
      <c r="K118" s="252">
        <f ca="1">'rincian 4'!S95</f>
      </c>
      <c r="L118" s="252">
        <f>'rincian 4'!U95</f>
      </c>
      <c r="M118" s="252">
        <f t="shared" ca="1" si="12"/>
      </c>
      <c r="N118" s="252">
        <f t="shared" si="13"/>
      </c>
      <c r="O118" s="252">
        <f t="shared" ca="1" si="14"/>
      </c>
      <c r="P118" s="78">
        <f>#REF!</f>
      </c>
      <c r="Q118" s="608">
        <f t="shared" si="15"/>
      </c>
      <c r="R118" s="609"/>
    </row>
    <row r="119" spans="1:18" ht="18" customHeight="1">
      <c r="A119" s="37"/>
      <c r="B119" s="175">
        <f>#REF!</f>
      </c>
      <c r="C119" s="233"/>
      <c r="D119" s="176">
        <f>IF(#REF!&lt;&gt;"",#REF!,IF(#REF!&lt;&gt;"",#REF!,""))</f>
      </c>
      <c r="E119" s="176"/>
      <c r="F119" s="176"/>
      <c r="G119" s="176"/>
      <c r="H119" s="176"/>
      <c r="I119" s="176"/>
      <c r="J119" s="252">
        <f>#REF!</f>
      </c>
      <c r="K119" s="252">
        <f ca="1">'rincian 4'!S96</f>
      </c>
      <c r="L119" s="252">
        <f>'rincian 4'!U96</f>
      </c>
      <c r="M119" s="252">
        <f t="shared" ca="1" si="12"/>
      </c>
      <c r="N119" s="252">
        <f t="shared" si="13"/>
      </c>
      <c r="O119" s="252">
        <f t="shared" ca="1" si="14"/>
      </c>
      <c r="P119" s="78">
        <f>#REF!</f>
      </c>
      <c r="Q119" s="608">
        <f t="shared" si="15"/>
      </c>
      <c r="R119" s="609"/>
    </row>
    <row r="120" spans="1:18" ht="18" customHeight="1">
      <c r="A120" s="37"/>
      <c r="B120" s="175">
        <f>#REF!</f>
      </c>
      <c r="C120" s="233"/>
      <c r="D120" s="176">
        <f>IF(#REF!&lt;&gt;"",#REF!,IF(#REF!&lt;&gt;"",#REF!,""))</f>
      </c>
      <c r="E120" s="176"/>
      <c r="F120" s="176"/>
      <c r="G120" s="176"/>
      <c r="H120" s="176"/>
      <c r="I120" s="176"/>
      <c r="J120" s="252">
        <f>#REF!</f>
      </c>
      <c r="K120" s="252">
        <f ca="1">'rincian 4'!S97</f>
      </c>
      <c r="L120" s="252">
        <f>'rincian 4'!U97</f>
      </c>
      <c r="M120" s="252">
        <f t="shared" ca="1" si="12"/>
      </c>
      <c r="N120" s="252">
        <f t="shared" si="13"/>
      </c>
      <c r="O120" s="252">
        <f t="shared" ca="1" si="14"/>
      </c>
      <c r="P120" s="78">
        <f>#REF!</f>
      </c>
      <c r="Q120" s="608">
        <f t="shared" si="15"/>
      </c>
      <c r="R120" s="609"/>
    </row>
    <row r="121" spans="1:18" ht="18" customHeight="1">
      <c r="A121" s="37"/>
      <c r="B121" s="175">
        <f>#REF!</f>
      </c>
      <c r="C121" s="233"/>
      <c r="D121" s="176">
        <f>IF(#REF!&lt;&gt;"",#REF!,IF(#REF!&lt;&gt;"",#REF!,""))</f>
      </c>
      <c r="E121" s="176"/>
      <c r="F121" s="176"/>
      <c r="G121" s="176"/>
      <c r="H121" s="176"/>
      <c r="I121" s="176"/>
      <c r="J121" s="252">
        <f>#REF!</f>
      </c>
      <c r="K121" s="252">
        <f ca="1">'rincian 4'!S98</f>
      </c>
      <c r="L121" s="252">
        <f>'rincian 4'!U98</f>
      </c>
      <c r="M121" s="252">
        <f t="shared" ca="1" si="12"/>
      </c>
      <c r="N121" s="252">
        <f t="shared" si="13"/>
      </c>
      <c r="O121" s="252">
        <f t="shared" ca="1" si="14"/>
      </c>
      <c r="P121" s="78">
        <f>#REF!</f>
      </c>
      <c r="Q121" s="608">
        <f t="shared" si="15"/>
      </c>
      <c r="R121" s="609"/>
    </row>
    <row r="122" spans="1:18" ht="18" customHeight="1">
      <c r="A122" s="37"/>
      <c r="B122" s="404">
        <f>#REF!</f>
      </c>
      <c r="C122" s="233"/>
      <c r="D122" s="405">
        <f>IF(#REF!&lt;&gt;"",#REF!,IF(#REF!&lt;&gt;"",#REF!,""))</f>
      </c>
      <c r="E122" s="405"/>
      <c r="F122" s="405"/>
      <c r="G122" s="405"/>
      <c r="H122" s="405"/>
      <c r="I122" s="405"/>
      <c r="J122" s="252"/>
      <c r="K122" s="252"/>
      <c r="L122" s="252"/>
      <c r="M122" s="252"/>
      <c r="N122" s="252"/>
      <c r="O122" s="252"/>
      <c r="P122" s="78"/>
      <c r="Q122" s="624"/>
      <c r="R122" s="625"/>
    </row>
    <row r="123" spans="1:18" ht="18" customHeight="1">
      <c r="A123" s="37"/>
      <c r="B123" s="175">
        <f>#REF!</f>
      </c>
      <c r="C123" s="233"/>
      <c r="D123" s="176">
        <f>IF(#REF!&lt;&gt;"",#REF!,IF(#REF!&lt;&gt;"",#REF!,""))</f>
      </c>
      <c r="E123" s="176"/>
      <c r="F123" s="176"/>
      <c r="G123" s="176"/>
      <c r="H123" s="176"/>
      <c r="I123" s="176"/>
      <c r="J123" s="252"/>
      <c r="K123" s="252"/>
      <c r="L123" s="252"/>
      <c r="M123" s="252"/>
      <c r="N123" s="252"/>
      <c r="O123" s="252"/>
      <c r="P123" s="78"/>
      <c r="Q123" s="624"/>
      <c r="R123" s="625"/>
    </row>
    <row r="124" spans="1:18" ht="36" customHeight="1">
      <c r="A124" s="37"/>
      <c r="B124" s="175">
        <f>#REF!</f>
      </c>
      <c r="C124" s="233"/>
      <c r="D124" s="653">
        <f>IF(#REF!&lt;&gt;"",#REF!,IF(#REF!&lt;&gt;"",#REF!,""))</f>
      </c>
      <c r="E124" s="653"/>
      <c r="F124" s="653"/>
      <c r="G124" s="653"/>
      <c r="H124" s="653"/>
      <c r="I124" s="654"/>
      <c r="J124" s="252">
        <f>#REF!</f>
      </c>
      <c r="K124" s="252">
        <f ca="1">'rincian 4'!S101</f>
      </c>
      <c r="L124" s="252">
        <f>'rincian 4'!U101</f>
      </c>
      <c r="M124" s="252">
        <f ca="1">K124+L124</f>
      </c>
      <c r="N124" s="252">
        <f>L124</f>
      </c>
      <c r="O124" s="252">
        <f ca="1">J124-M124</f>
      </c>
      <c r="P124" s="78">
        <f>#REF!</f>
      </c>
      <c r="Q124" s="608">
        <f>N124*P124</f>
      </c>
      <c r="R124" s="609"/>
    </row>
    <row r="125" spans="1:18" ht="18" customHeight="1">
      <c r="A125" s="37"/>
      <c r="B125" s="175">
        <f>#REF!</f>
      </c>
      <c r="C125" s="233"/>
      <c r="D125" s="176">
        <f>IF(#REF!&lt;&gt;"",#REF!,IF(#REF!&lt;&gt;"",#REF!,""))</f>
      </c>
      <c r="E125" s="176"/>
      <c r="F125" s="176"/>
      <c r="G125" s="176"/>
      <c r="H125" s="176"/>
      <c r="I125" s="176"/>
      <c r="J125" s="252">
        <f>#REF!</f>
      </c>
      <c r="K125" s="252">
        <f ca="1">'rincian 4'!S102</f>
      </c>
      <c r="L125" s="252">
        <f>'rincian 4'!U102</f>
      </c>
      <c r="M125" s="252">
        <f ca="1">K125+L125</f>
      </c>
      <c r="N125" s="252">
        <f>L125</f>
      </c>
      <c r="O125" s="252">
        <f ca="1">J125-M125</f>
      </c>
      <c r="P125" s="78">
        <f>#REF!</f>
      </c>
      <c r="Q125" s="608">
        <f>N125*P125</f>
      </c>
      <c r="R125" s="609"/>
    </row>
    <row r="126" spans="1:18" ht="18" customHeight="1">
      <c r="A126" s="37"/>
      <c r="B126" s="175">
        <f>#REF!</f>
      </c>
      <c r="C126" s="233"/>
      <c r="D126" s="176">
        <f>IF(#REF!&lt;&gt;"",#REF!,IF(#REF!&lt;&gt;"",#REF!,""))</f>
      </c>
      <c r="E126" s="176"/>
      <c r="F126" s="176"/>
      <c r="G126" s="176"/>
      <c r="H126" s="176"/>
      <c r="I126" s="176"/>
      <c r="J126" s="252">
        <f>#REF!</f>
      </c>
      <c r="K126" s="252">
        <f ca="1">'rincian 4'!S103</f>
      </c>
      <c r="L126" s="252">
        <f>'rincian 4'!U103</f>
      </c>
      <c r="M126" s="252">
        <f ca="1">K126+L126</f>
      </c>
      <c r="N126" s="252">
        <f>L126</f>
      </c>
      <c r="O126" s="252">
        <f ca="1">J126-M126</f>
      </c>
      <c r="P126" s="78">
        <f>#REF!</f>
      </c>
      <c r="Q126" s="608">
        <f>N126*P126</f>
      </c>
      <c r="R126" s="609"/>
    </row>
    <row r="127" spans="1:18" ht="18" customHeight="1">
      <c r="A127" s="37"/>
      <c r="B127" s="175">
        <f>#REF!</f>
      </c>
      <c r="C127" s="233"/>
      <c r="D127" s="176">
        <f>IF(#REF!&lt;&gt;"",#REF!,IF(#REF!&lt;&gt;"",#REF!,""))</f>
      </c>
      <c r="E127" s="176"/>
      <c r="F127" s="176"/>
      <c r="G127" s="176"/>
      <c r="H127" s="176"/>
      <c r="I127" s="176"/>
      <c r="J127" s="252"/>
      <c r="K127" s="252"/>
      <c r="L127" s="252"/>
      <c r="M127" s="252"/>
      <c r="N127" s="252"/>
      <c r="O127" s="252"/>
      <c r="P127" s="78"/>
      <c r="Q127" s="624"/>
      <c r="R127" s="625"/>
    </row>
    <row r="128" spans="1:18" ht="18" customHeight="1">
      <c r="A128" s="37"/>
      <c r="B128" s="175">
        <f>#REF!</f>
      </c>
      <c r="C128" s="233"/>
      <c r="D128" s="176">
        <f>IF(#REF!&lt;&gt;"",#REF!,IF(#REF!&lt;&gt;"",#REF!,""))</f>
      </c>
      <c r="E128" s="176"/>
      <c r="F128" s="176"/>
      <c r="G128" s="176"/>
      <c r="H128" s="176"/>
      <c r="I128" s="176"/>
      <c r="J128" s="252">
        <f>#REF!</f>
      </c>
      <c r="K128" s="252">
        <f ca="1">'rincian 4'!S105</f>
      </c>
      <c r="L128" s="252">
        <f>'rincian 4'!U105</f>
      </c>
      <c r="M128" s="252">
        <f ca="1">K128+L128</f>
      </c>
      <c r="N128" s="252">
        <f>L128</f>
      </c>
      <c r="O128" s="252">
        <f ca="1">J128-M128</f>
      </c>
      <c r="P128" s="78">
        <f>#REF!</f>
      </c>
      <c r="Q128" s="608">
        <f>N128*P128</f>
      </c>
      <c r="R128" s="609"/>
    </row>
    <row r="129" spans="1:18" ht="18" customHeight="1">
      <c r="A129" s="37"/>
      <c r="B129" s="175">
        <f>#REF!</f>
      </c>
      <c r="C129" s="233"/>
      <c r="D129" s="176">
        <f>IF(#REF!&lt;&gt;"",#REF!,IF(#REF!&lt;&gt;"",#REF!,""))</f>
      </c>
      <c r="E129" s="176"/>
      <c r="F129" s="176"/>
      <c r="G129" s="176"/>
      <c r="H129" s="176"/>
      <c r="I129" s="176"/>
      <c r="J129" s="252">
        <f>#REF!</f>
      </c>
      <c r="K129" s="252">
        <f ca="1">'rincian 4'!S106</f>
      </c>
      <c r="L129" s="252">
        <f>'rincian 4'!U106</f>
      </c>
      <c r="M129" s="252">
        <f ca="1">K129+L129</f>
      </c>
      <c r="N129" s="252">
        <f>L129</f>
      </c>
      <c r="O129" s="252">
        <f ca="1">J129-M129</f>
      </c>
      <c r="P129" s="78">
        <f>#REF!</f>
      </c>
      <c r="Q129" s="608">
        <f>N129*P129</f>
      </c>
      <c r="R129" s="609"/>
    </row>
    <row r="130" spans="1:18" ht="18" customHeight="1">
      <c r="A130" s="37"/>
      <c r="B130" s="404">
        <f>#REF!</f>
      </c>
      <c r="C130" s="233"/>
      <c r="D130" s="405">
        <f>IF(#REF!&lt;&gt;"",#REF!,IF(#REF!&lt;&gt;"",#REF!,""))</f>
      </c>
      <c r="E130" s="405"/>
      <c r="F130" s="405"/>
      <c r="G130" s="405"/>
      <c r="H130" s="405"/>
      <c r="I130" s="405"/>
      <c r="J130" s="252"/>
      <c r="K130" s="252"/>
      <c r="L130" s="252"/>
      <c r="M130" s="252"/>
      <c r="N130" s="252"/>
      <c r="O130" s="252"/>
      <c r="P130" s="78"/>
      <c r="Q130" s="624"/>
      <c r="R130" s="625"/>
    </row>
    <row r="131" spans="1:18" ht="18" customHeight="1">
      <c r="A131" s="37"/>
      <c r="B131" s="175">
        <f>#REF!</f>
      </c>
      <c r="C131" s="233"/>
      <c r="D131" s="176">
        <f>IF(#REF!&lt;&gt;"",#REF!,IF(#REF!&lt;&gt;"",#REF!,""))</f>
      </c>
      <c r="E131" s="176"/>
      <c r="F131" s="176"/>
      <c r="G131" s="176"/>
      <c r="H131" s="176"/>
      <c r="I131" s="176"/>
      <c r="J131" s="252">
        <f>#REF!</f>
      </c>
      <c r="K131" s="252">
        <f ca="1">'rincian 4'!S108</f>
      </c>
      <c r="L131" s="252">
        <f>'rincian 4'!U108</f>
      </c>
      <c r="M131" s="252">
        <f ca="1">K131+L131</f>
      </c>
      <c r="N131" s="252">
        <f>L131</f>
      </c>
      <c r="O131" s="252">
        <f ca="1">J131-M131</f>
      </c>
      <c r="P131" s="78">
        <f>#REF!</f>
      </c>
      <c r="Q131" s="608">
        <f>N131*P131</f>
      </c>
      <c r="R131" s="609"/>
    </row>
    <row r="132" spans="1:18" ht="18" customHeight="1">
      <c r="A132" s="37"/>
      <c r="B132" s="175">
        <f>#REF!</f>
      </c>
      <c r="C132" s="233"/>
      <c r="D132" s="176">
        <f>IF(#REF!&lt;&gt;"",#REF!,IF(#REF!&lt;&gt;"",#REF!,""))</f>
      </c>
      <c r="E132" s="176"/>
      <c r="F132" s="176"/>
      <c r="G132" s="176"/>
      <c r="H132" s="176"/>
      <c r="I132" s="176"/>
      <c r="J132" s="252">
        <f>#REF!</f>
      </c>
      <c r="K132" s="252">
        <f ca="1">'rincian 4'!S109</f>
      </c>
      <c r="L132" s="252">
        <f>'rincian 4'!U109</f>
      </c>
      <c r="M132" s="252">
        <f ca="1">K132+L132</f>
      </c>
      <c r="N132" s="252">
        <f>L132</f>
      </c>
      <c r="O132" s="252">
        <f ca="1">J132-M132</f>
      </c>
      <c r="P132" s="78">
        <f>#REF!</f>
      </c>
      <c r="Q132" s="608">
        <f>N132*P132</f>
      </c>
      <c r="R132" s="609"/>
    </row>
    <row r="133" spans="1:18" ht="18" customHeight="1">
      <c r="A133" s="37"/>
      <c r="B133" s="404">
        <f>#REF!</f>
      </c>
      <c r="C133" s="233"/>
      <c r="D133" s="405">
        <f>IF(#REF!&lt;&gt;"",#REF!,IF(#REF!&lt;&gt;"",#REF!,""))</f>
      </c>
      <c r="E133" s="405"/>
      <c r="F133" s="405"/>
      <c r="G133" s="405"/>
      <c r="H133" s="405"/>
      <c r="I133" s="405"/>
      <c r="J133" s="252"/>
      <c r="K133" s="252"/>
      <c r="L133" s="252"/>
      <c r="M133" s="252"/>
      <c r="N133" s="252"/>
      <c r="O133" s="252"/>
      <c r="P133" s="78"/>
      <c r="Q133" s="624"/>
      <c r="R133" s="625"/>
    </row>
    <row r="134" spans="1:18" ht="18" customHeight="1">
      <c r="A134" s="37"/>
      <c r="B134" s="175">
        <f>#REF!</f>
      </c>
      <c r="C134" s="233"/>
      <c r="D134" s="176">
        <f>IF(#REF!&lt;&gt;"",#REF!,IF(#REF!&lt;&gt;"",#REF!,""))</f>
      </c>
      <c r="E134" s="176"/>
      <c r="F134" s="176"/>
      <c r="G134" s="176"/>
      <c r="H134" s="176"/>
      <c r="I134" s="176"/>
      <c r="J134" s="252">
        <f>#REF!</f>
      </c>
      <c r="K134" s="252">
        <f ca="1">'rincian 4'!S111</f>
      </c>
      <c r="L134" s="252">
        <f>'rincian 4'!U111</f>
      </c>
      <c r="M134" s="252">
        <f ca="1">K134+L134</f>
      </c>
      <c r="N134" s="252">
        <f>L134</f>
      </c>
      <c r="O134" s="252">
        <f ca="1">J134-M134</f>
      </c>
      <c r="P134" s="78">
        <f>#REF!</f>
      </c>
      <c r="Q134" s="608">
        <f>N134*P134</f>
      </c>
      <c r="R134" s="609"/>
    </row>
    <row r="135" spans="1:18" ht="18" customHeight="1">
      <c r="A135" s="37"/>
      <c r="B135" s="175">
        <f>#REF!</f>
      </c>
      <c r="C135" s="233"/>
      <c r="D135" s="176">
        <f>IF(#REF!&lt;&gt;"",#REF!,IF(#REF!&lt;&gt;"",#REF!,""))</f>
      </c>
      <c r="E135" s="176"/>
      <c r="F135" s="176"/>
      <c r="G135" s="176"/>
      <c r="H135" s="176"/>
      <c r="I135" s="176"/>
      <c r="J135" s="252">
        <f>#REF!</f>
      </c>
      <c r="K135" s="252">
        <f ca="1">'rincian 4'!S112</f>
      </c>
      <c r="L135" s="252">
        <f>'rincian 4'!U112</f>
      </c>
      <c r="M135" s="252">
        <f ca="1">K135+L135</f>
      </c>
      <c r="N135" s="252">
        <f>L135</f>
      </c>
      <c r="O135" s="252">
        <f ca="1">J135-M135</f>
      </c>
      <c r="P135" s="78">
        <f>#REF!</f>
      </c>
      <c r="Q135" s="608">
        <f>N135*P135</f>
      </c>
      <c r="R135" s="609"/>
    </row>
    <row r="136" spans="1:18" ht="18" customHeight="1">
      <c r="A136" s="37"/>
      <c r="B136" s="175">
        <f>#REF!</f>
      </c>
      <c r="C136" s="233"/>
      <c r="D136" s="176">
        <f>IF(#REF!&lt;&gt;"",#REF!,IF(#REF!&lt;&gt;"",#REF!,""))</f>
      </c>
      <c r="E136" s="176"/>
      <c r="F136" s="176"/>
      <c r="G136" s="176"/>
      <c r="H136" s="176"/>
      <c r="I136" s="176"/>
      <c r="J136" s="252">
        <f>#REF!</f>
      </c>
      <c r="K136" s="252">
        <f ca="1">'rincian 4'!S113</f>
      </c>
      <c r="L136" s="252">
        <f>'rincian 4'!U113</f>
      </c>
      <c r="M136" s="252">
        <f ca="1">K136+L136</f>
      </c>
      <c r="N136" s="252">
        <f>L136</f>
      </c>
      <c r="O136" s="252">
        <f ca="1">J136-M136</f>
      </c>
      <c r="P136" s="78">
        <f>#REF!</f>
      </c>
      <c r="Q136" s="608">
        <f>N136*P136</f>
      </c>
      <c r="R136" s="609"/>
    </row>
    <row r="137" spans="1:18" ht="18" customHeight="1">
      <c r="A137" s="37"/>
      <c r="B137" s="175">
        <f>#REF!</f>
      </c>
      <c r="C137" s="233"/>
      <c r="D137" s="176">
        <f>IF(#REF!&lt;&gt;"",#REF!,IF(#REF!&lt;&gt;"",#REF!,""))</f>
      </c>
      <c r="E137" s="176"/>
      <c r="F137" s="176"/>
      <c r="G137" s="176"/>
      <c r="H137" s="176"/>
      <c r="I137" s="176"/>
      <c r="J137" s="252">
        <f>#REF!</f>
      </c>
      <c r="K137" s="252">
        <f ca="1">'rincian 4'!S114</f>
      </c>
      <c r="L137" s="252">
        <f>'rincian 4'!U114</f>
      </c>
      <c r="M137" s="252">
        <f ca="1">K137+L137</f>
      </c>
      <c r="N137" s="252">
        <f>L137</f>
      </c>
      <c r="O137" s="252">
        <f ca="1">J137-M137</f>
      </c>
      <c r="P137" s="78">
        <f>#REF!</f>
      </c>
      <c r="Q137" s="608">
        <f>N137*P137</f>
      </c>
      <c r="R137" s="609"/>
    </row>
    <row r="138" spans="1:18" ht="18" customHeight="1">
      <c r="A138" s="37"/>
      <c r="B138" s="404">
        <f>#REF!</f>
      </c>
      <c r="C138" s="233"/>
      <c r="D138" s="405">
        <f>IF(#REF!&lt;&gt;"",#REF!,IF(#REF!&lt;&gt;"",#REF!,""))</f>
      </c>
      <c r="E138" s="405"/>
      <c r="F138" s="405"/>
      <c r="G138" s="405"/>
      <c r="H138" s="405"/>
      <c r="I138" s="405"/>
      <c r="J138" s="252"/>
      <c r="K138" s="252"/>
      <c r="L138" s="252"/>
      <c r="M138" s="252"/>
      <c r="N138" s="252"/>
      <c r="O138" s="252"/>
      <c r="P138" s="78"/>
      <c r="Q138" s="624"/>
      <c r="R138" s="625"/>
    </row>
    <row r="139" spans="1:18" ht="18" customHeight="1">
      <c r="A139" s="37"/>
      <c r="B139" s="175">
        <f>#REF!</f>
      </c>
      <c r="C139" s="233"/>
      <c r="D139" s="176">
        <f>IF(#REF!&lt;&gt;"",#REF!,IF(#REF!&lt;&gt;"",#REF!,""))</f>
      </c>
      <c r="E139" s="176"/>
      <c r="F139" s="176"/>
      <c r="G139" s="176"/>
      <c r="H139" s="176"/>
      <c r="I139" s="176"/>
      <c r="J139" s="252">
        <f>#REF!</f>
      </c>
      <c r="K139" s="252">
        <f ca="1">'rincian 4'!S116</f>
      </c>
      <c r="L139" s="252">
        <f>'rincian 4'!U116</f>
      </c>
      <c r="M139" s="252">
        <f ca="1">K139+L139</f>
      </c>
      <c r="N139" s="252">
        <f>L139</f>
      </c>
      <c r="O139" s="252">
        <f ca="1">J139-M139</f>
      </c>
      <c r="P139" s="78">
        <f>#REF!</f>
      </c>
      <c r="Q139" s="608">
        <f>N139*P139</f>
      </c>
      <c r="R139" s="609"/>
    </row>
    <row r="140" spans="1:18" ht="18" customHeight="1">
      <c r="A140" s="37"/>
      <c r="B140" s="175">
        <f>#REF!</f>
      </c>
      <c r="C140" s="233"/>
      <c r="D140" s="176">
        <f>IF(#REF!&lt;&gt;"",#REF!,IF(#REF!&lt;&gt;"",#REF!,""))</f>
      </c>
      <c r="E140" s="176"/>
      <c r="F140" s="176"/>
      <c r="G140" s="176"/>
      <c r="H140" s="176"/>
      <c r="I140" s="176"/>
      <c r="J140" s="252">
        <f>#REF!</f>
      </c>
      <c r="K140" s="252">
        <f ca="1">'rincian 4'!S117</f>
      </c>
      <c r="L140" s="252">
        <f>'rincian 4'!U117</f>
      </c>
      <c r="M140" s="252">
        <f ca="1">K140+L140</f>
      </c>
      <c r="N140" s="252">
        <f>L140</f>
      </c>
      <c r="O140" s="252">
        <f ca="1">J140-M140</f>
      </c>
      <c r="P140" s="78">
        <f>#REF!</f>
      </c>
      <c r="Q140" s="608">
        <f>N140*P140</f>
      </c>
      <c r="R140" s="609"/>
    </row>
    <row r="141" spans="1:18" ht="18" customHeight="1">
      <c r="A141" s="37"/>
      <c r="B141" s="404">
        <f>#REF!</f>
      </c>
      <c r="C141" s="233"/>
      <c r="D141" s="405">
        <f>IF(#REF!&lt;&gt;"",#REF!,IF(#REF!&lt;&gt;"",#REF!,""))</f>
      </c>
      <c r="E141" s="405"/>
      <c r="F141" s="405"/>
      <c r="G141" s="405"/>
      <c r="H141" s="405"/>
      <c r="I141" s="405"/>
      <c r="J141" s="252"/>
      <c r="K141" s="252"/>
      <c r="L141" s="252"/>
      <c r="M141" s="252"/>
      <c r="N141" s="252"/>
      <c r="O141" s="252"/>
      <c r="P141" s="78"/>
      <c r="Q141" s="624"/>
      <c r="R141" s="625"/>
    </row>
    <row r="142" spans="1:18" ht="18" customHeight="1">
      <c r="A142" s="37"/>
      <c r="B142" s="175">
        <f>#REF!</f>
      </c>
      <c r="C142" s="233"/>
      <c r="D142" s="176">
        <f>IF(#REF!&lt;&gt;"",#REF!,IF(#REF!&lt;&gt;"",#REF!,""))</f>
      </c>
      <c r="E142" s="176"/>
      <c r="F142" s="176"/>
      <c r="G142" s="176"/>
      <c r="H142" s="176"/>
      <c r="I142" s="176"/>
      <c r="J142" s="252">
        <f>#REF!</f>
      </c>
      <c r="K142" s="252">
        <f ca="1">'rincian 4'!S119</f>
      </c>
      <c r="L142" s="252">
        <f>'rincian 4'!U119</f>
      </c>
      <c r="M142" s="252">
        <f ca="1">K142+L142</f>
      </c>
      <c r="N142" s="252">
        <f>L142</f>
      </c>
      <c r="O142" s="252">
        <f ca="1">J142-M142</f>
      </c>
      <c r="P142" s="78">
        <f>#REF!</f>
      </c>
      <c r="Q142" s="608">
        <f>N142*P142</f>
      </c>
      <c r="R142" s="609"/>
    </row>
    <row r="143" spans="1:18" ht="18" customHeight="1">
      <c r="A143" s="37"/>
      <c r="B143" s="175">
        <f>#REF!</f>
      </c>
      <c r="C143" s="233"/>
      <c r="D143" s="176">
        <f>IF(#REF!&lt;&gt;"",#REF!,IF(#REF!&lt;&gt;"",#REF!,""))</f>
      </c>
      <c r="E143" s="176"/>
      <c r="F143" s="176"/>
      <c r="G143" s="176"/>
      <c r="H143" s="176"/>
      <c r="I143" s="176"/>
      <c r="J143" s="252">
        <f>#REF!</f>
      </c>
      <c r="K143" s="252">
        <f ca="1">'rincian 4'!S120</f>
      </c>
      <c r="L143" s="252">
        <f>'rincian 4'!U120</f>
      </c>
      <c r="M143" s="252">
        <f ca="1">K143+L143</f>
      </c>
      <c r="N143" s="252">
        <f>L143</f>
      </c>
      <c r="O143" s="252">
        <f ca="1">J143-M143</f>
      </c>
      <c r="P143" s="78">
        <f>#REF!</f>
      </c>
      <c r="Q143" s="608">
        <f>N143*P143</f>
      </c>
      <c r="R143" s="609"/>
    </row>
    <row r="144" spans="1:18" ht="18" customHeight="1">
      <c r="A144" s="37"/>
      <c r="B144" s="175">
        <f>#REF!</f>
      </c>
      <c r="C144" s="233"/>
      <c r="D144" s="176">
        <f>IF(#REF!&lt;&gt;"",#REF!,IF(#REF!&lt;&gt;"",#REF!,""))</f>
      </c>
      <c r="E144" s="176"/>
      <c r="F144" s="176"/>
      <c r="G144" s="176"/>
      <c r="H144" s="176"/>
      <c r="I144" s="176"/>
      <c r="J144" s="252">
        <f>#REF!</f>
      </c>
      <c r="K144" s="252">
        <f ca="1">'rincian 4'!S121</f>
      </c>
      <c r="L144" s="252">
        <f>'rincian 4'!U121</f>
      </c>
      <c r="M144" s="252">
        <f ca="1">K144+L144</f>
      </c>
      <c r="N144" s="252">
        <f>L144</f>
      </c>
      <c r="O144" s="252">
        <f ca="1">J144-M144</f>
      </c>
      <c r="P144" s="78">
        <f>#REF!</f>
      </c>
      <c r="Q144" s="608">
        <f>N144*P144</f>
      </c>
      <c r="R144" s="609"/>
    </row>
    <row r="145" spans="1:18" ht="18" customHeight="1">
      <c r="A145" s="37"/>
      <c r="B145" s="175">
        <f>#REF!</f>
      </c>
      <c r="C145" s="233"/>
      <c r="D145" s="176">
        <f>IF(#REF!&lt;&gt;"",#REF!,IF(#REF!&lt;&gt;"",#REF!,""))</f>
      </c>
      <c r="E145" s="176"/>
      <c r="F145" s="176"/>
      <c r="G145" s="176"/>
      <c r="H145" s="176"/>
      <c r="I145" s="176"/>
      <c r="J145" s="252">
        <f>#REF!</f>
      </c>
      <c r="K145" s="252">
        <f ca="1">'rincian 4'!S122</f>
      </c>
      <c r="L145" s="252">
        <f>'rincian 4'!U122</f>
      </c>
      <c r="M145" s="252">
        <f ca="1">K145+L145</f>
      </c>
      <c r="N145" s="252">
        <f>L145</f>
      </c>
      <c r="O145" s="252">
        <f ca="1">J145-M145</f>
      </c>
      <c r="P145" s="78">
        <f>#REF!</f>
      </c>
      <c r="Q145" s="608">
        <f>N145*P145</f>
      </c>
      <c r="R145" s="609"/>
    </row>
    <row r="146" spans="1:18" ht="18" customHeight="1">
      <c r="A146" s="37"/>
      <c r="B146" s="175">
        <f>#REF!</f>
      </c>
      <c r="C146" s="233"/>
      <c r="D146" s="176">
        <f>IF(#REF!&lt;&gt;"",#REF!,IF(#REF!&lt;&gt;"",#REF!,""))</f>
      </c>
      <c r="E146" s="176"/>
      <c r="F146" s="176"/>
      <c r="G146" s="176"/>
      <c r="H146" s="176"/>
      <c r="I146" s="176"/>
      <c r="J146" s="252">
        <f>#REF!</f>
      </c>
      <c r="K146" s="252">
        <f ca="1">'rincian 4'!S123</f>
      </c>
      <c r="L146" s="252">
        <f>'rincian 4'!U123</f>
      </c>
      <c r="M146" s="252">
        <f ca="1">K146+L146</f>
      </c>
      <c r="N146" s="252">
        <f>L146</f>
      </c>
      <c r="O146" s="252">
        <f ca="1">J146-M146</f>
      </c>
      <c r="P146" s="78">
        <f>#REF!</f>
      </c>
      <c r="Q146" s="608">
        <f>N146*P146</f>
      </c>
      <c r="R146" s="609"/>
    </row>
    <row r="147" spans="1:18" ht="18" customHeight="1">
      <c r="A147" s="37"/>
      <c r="B147" s="404">
        <f>#REF!</f>
      </c>
      <c r="C147" s="233"/>
      <c r="D147" s="405">
        <f>IF(#REF!&lt;&gt;"",#REF!,IF(#REF!&lt;&gt;"",#REF!,""))</f>
      </c>
      <c r="E147" s="405"/>
      <c r="F147" s="405"/>
      <c r="G147" s="405"/>
      <c r="H147" s="405"/>
      <c r="I147" s="405"/>
      <c r="J147" s="252"/>
      <c r="K147" s="252"/>
      <c r="L147" s="252"/>
      <c r="M147" s="252"/>
      <c r="N147" s="252"/>
      <c r="O147" s="252"/>
      <c r="P147" s="78"/>
      <c r="Q147" s="624"/>
      <c r="R147" s="625"/>
    </row>
    <row r="148" spans="1:18" ht="18" customHeight="1">
      <c r="A148" s="37"/>
      <c r="B148" s="175">
        <f>#REF!</f>
      </c>
      <c r="C148" s="233"/>
      <c r="D148" s="176">
        <f>IF(#REF!&lt;&gt;"",#REF!,IF(#REF!&lt;&gt;"",#REF!,""))</f>
      </c>
      <c r="E148" s="176"/>
      <c r="F148" s="176"/>
      <c r="G148" s="176"/>
      <c r="H148" s="176"/>
      <c r="I148" s="176"/>
      <c r="J148" s="252">
        <f>#REF!</f>
      </c>
      <c r="K148" s="252">
        <f ca="1">'rincian 4'!S125</f>
      </c>
      <c r="L148" s="252">
        <f>'rincian 4'!U125</f>
      </c>
      <c r="M148" s="252">
        <f ca="1">K148+L148</f>
      </c>
      <c r="N148" s="252">
        <f>L148</f>
      </c>
      <c r="O148" s="252">
        <f ca="1">J148-M148</f>
      </c>
      <c r="P148" s="78">
        <f>#REF!</f>
      </c>
      <c r="Q148" s="608">
        <f>N148*P148</f>
      </c>
      <c r="R148" s="609"/>
    </row>
    <row r="149" spans="1:18" ht="18" customHeight="1">
      <c r="A149" s="37"/>
      <c r="B149" s="175">
        <f>#REF!</f>
      </c>
      <c r="C149" s="233"/>
      <c r="D149" s="176">
        <f>IF(#REF!&lt;&gt;"",#REF!,IF(#REF!&lt;&gt;"",#REF!,""))</f>
      </c>
      <c r="E149" s="176"/>
      <c r="F149" s="176"/>
      <c r="G149" s="176"/>
      <c r="H149" s="176"/>
      <c r="I149" s="176"/>
      <c r="J149" s="252">
        <f>#REF!</f>
      </c>
      <c r="K149" s="252">
        <f ca="1">'rincian 4'!S126</f>
      </c>
      <c r="L149" s="252">
        <f>'rincian 4'!U126</f>
      </c>
      <c r="M149" s="252">
        <f ca="1">K149+L149</f>
      </c>
      <c r="N149" s="252">
        <f>L149</f>
      </c>
      <c r="O149" s="252">
        <f ca="1">J149-M149</f>
      </c>
      <c r="P149" s="78">
        <f>#REF!</f>
      </c>
      <c r="Q149" s="608">
        <f>N149*P149</f>
      </c>
      <c r="R149" s="609"/>
    </row>
    <row r="150" spans="1:18" ht="18" customHeight="1">
      <c r="A150" s="37"/>
      <c r="B150" s="404">
        <f>#REF!</f>
      </c>
      <c r="C150" s="233"/>
      <c r="D150" s="405">
        <f>IF(#REF!&lt;&gt;"",#REF!,IF(#REF!&lt;&gt;"",#REF!,""))</f>
      </c>
      <c r="E150" s="405"/>
      <c r="F150" s="405"/>
      <c r="G150" s="405"/>
      <c r="H150" s="405"/>
      <c r="I150" s="405"/>
      <c r="J150" s="252"/>
      <c r="K150" s="252"/>
      <c r="L150" s="252"/>
      <c r="M150" s="252"/>
      <c r="N150" s="252"/>
      <c r="O150" s="252"/>
      <c r="P150" s="78"/>
      <c r="Q150" s="624"/>
      <c r="R150" s="625"/>
    </row>
    <row r="151" spans="1:18" ht="18" customHeight="1">
      <c r="A151" s="37"/>
      <c r="B151" s="175">
        <f>#REF!</f>
      </c>
      <c r="C151" s="233"/>
      <c r="D151" s="176">
        <f>IF(#REF!&lt;&gt;"",#REF!,IF(#REF!&lt;&gt;"",#REF!,""))</f>
      </c>
      <c r="E151" s="176"/>
      <c r="F151" s="176"/>
      <c r="G151" s="176"/>
      <c r="H151" s="176"/>
      <c r="I151" s="176"/>
      <c r="J151" s="252">
        <f>#REF!</f>
      </c>
      <c r="K151" s="252">
        <f ca="1">'rincian 4'!S128</f>
      </c>
      <c r="L151" s="252">
        <f>'rincian 4'!U128</f>
      </c>
      <c r="M151" s="252">
        <f ca="1">K151+L151</f>
      </c>
      <c r="N151" s="252">
        <f>L151</f>
      </c>
      <c r="O151" s="252">
        <f ca="1">J151-M151</f>
      </c>
      <c r="P151" s="78">
        <f>#REF!</f>
      </c>
      <c r="Q151" s="608">
        <f>N151*P151</f>
      </c>
      <c r="R151" s="609"/>
    </row>
    <row r="152" spans="1:18" ht="18" customHeight="1">
      <c r="A152" s="37"/>
      <c r="B152" s="175">
        <f>#REF!</f>
      </c>
      <c r="C152" s="233"/>
      <c r="D152" s="176">
        <f>IF(#REF!&lt;&gt;"",#REF!,IF(#REF!&lt;&gt;"",#REF!,""))</f>
      </c>
      <c r="E152" s="176"/>
      <c r="F152" s="176"/>
      <c r="G152" s="176"/>
      <c r="H152" s="176"/>
      <c r="I152" s="176"/>
      <c r="J152" s="252">
        <f>#REF!</f>
      </c>
      <c r="K152" s="252">
        <f ca="1">'rincian 4'!S129</f>
      </c>
      <c r="L152" s="252">
        <f>'rincian 4'!U129</f>
      </c>
      <c r="M152" s="252">
        <f ca="1">K152+L152</f>
      </c>
      <c r="N152" s="252">
        <f>L152</f>
      </c>
      <c r="O152" s="252">
        <f ca="1">J152-M152</f>
      </c>
      <c r="P152" s="78">
        <f>#REF!</f>
      </c>
      <c r="Q152" s="608">
        <f>N152*P152</f>
      </c>
      <c r="R152" s="609"/>
    </row>
    <row r="153" spans="1:18" ht="18" customHeight="1">
      <c r="A153" s="37"/>
      <c r="B153" s="175">
        <f>#REF!</f>
      </c>
      <c r="C153" s="233"/>
      <c r="D153" s="176">
        <f>IF(#REF!&lt;&gt;"",#REF!,IF(#REF!&lt;&gt;"",#REF!,""))</f>
      </c>
      <c r="E153" s="176"/>
      <c r="F153" s="176"/>
      <c r="G153" s="176"/>
      <c r="H153" s="176"/>
      <c r="I153" s="176"/>
      <c r="J153" s="252">
        <f>#REF!</f>
      </c>
      <c r="K153" s="252">
        <f ca="1">'rincian 4'!S130</f>
      </c>
      <c r="L153" s="252">
        <f>'rincian 4'!U130</f>
      </c>
      <c r="M153" s="252">
        <f ca="1">K153+L153</f>
      </c>
      <c r="N153" s="252">
        <f>L153</f>
      </c>
      <c r="O153" s="252">
        <f ca="1">J153-M153</f>
      </c>
      <c r="P153" s="78">
        <f>#REF!</f>
      </c>
      <c r="Q153" s="608">
        <f>N153*P153</f>
      </c>
      <c r="R153" s="609"/>
    </row>
    <row r="154" spans="1:18" ht="18" customHeight="1">
      <c r="A154" s="37"/>
      <c r="B154" s="404">
        <f>#REF!</f>
      </c>
      <c r="C154" s="233"/>
      <c r="D154" s="405">
        <f>IF(#REF!&lt;&gt;"",#REF!,IF(#REF!&lt;&gt;"",#REF!,""))</f>
      </c>
      <c r="E154" s="405"/>
      <c r="F154" s="405"/>
      <c r="G154" s="405"/>
      <c r="H154" s="405"/>
      <c r="I154" s="405"/>
      <c r="J154" s="252"/>
      <c r="K154" s="252"/>
      <c r="L154" s="252"/>
      <c r="M154" s="252"/>
      <c r="N154" s="252"/>
      <c r="O154" s="252"/>
      <c r="P154" s="78"/>
      <c r="Q154" s="624"/>
      <c r="R154" s="625"/>
    </row>
    <row r="155" spans="1:18" ht="18" customHeight="1">
      <c r="A155" s="37"/>
      <c r="B155" s="175">
        <f>#REF!</f>
      </c>
      <c r="C155" s="233"/>
      <c r="D155" s="176">
        <f>IF(#REF!&lt;&gt;"",#REF!,IF(#REF!&lt;&gt;"",#REF!,""))</f>
      </c>
      <c r="E155" s="176"/>
      <c r="F155" s="176"/>
      <c r="G155" s="176"/>
      <c r="H155" s="176"/>
      <c r="I155" s="176"/>
      <c r="J155" s="252">
        <f>#REF!</f>
      </c>
      <c r="K155" s="252">
        <f ca="1">'rincian 4'!S132</f>
      </c>
      <c r="L155" s="252">
        <f>'rincian 4'!U132</f>
      </c>
      <c r="M155" s="252">
        <f ca="1">K155+L155</f>
      </c>
      <c r="N155" s="252">
        <f>L155</f>
      </c>
      <c r="O155" s="252">
        <f ca="1">J155-M155</f>
      </c>
      <c r="P155" s="78">
        <f>#REF!</f>
      </c>
      <c r="Q155" s="608">
        <f>N155*P155</f>
      </c>
      <c r="R155" s="609"/>
    </row>
    <row r="156" spans="1:18" ht="18" customHeight="1">
      <c r="A156" s="37"/>
      <c r="B156" s="175">
        <f>#REF!</f>
      </c>
      <c r="C156" s="233"/>
      <c r="D156" s="176">
        <f>IF(#REF!&lt;&gt;"",#REF!,IF(#REF!&lt;&gt;"",#REF!,""))</f>
      </c>
      <c r="E156" s="176"/>
      <c r="F156" s="176"/>
      <c r="G156" s="176"/>
      <c r="H156" s="176"/>
      <c r="I156" s="176"/>
      <c r="J156" s="252">
        <f>#REF!</f>
      </c>
      <c r="K156" s="252">
        <f ca="1">'rincian 4'!S133</f>
      </c>
      <c r="L156" s="252">
        <f>'rincian 4'!U133</f>
      </c>
      <c r="M156" s="252">
        <f ca="1">K156+L156</f>
      </c>
      <c r="N156" s="252">
        <f>L156</f>
      </c>
      <c r="O156" s="252">
        <f ca="1">J156-M156</f>
      </c>
      <c r="P156" s="78">
        <f>#REF!</f>
      </c>
      <c r="Q156" s="608">
        <f>N156*P156</f>
      </c>
      <c r="R156" s="609"/>
    </row>
    <row r="157" spans="1:18" ht="18" customHeight="1">
      <c r="A157" s="37"/>
      <c r="B157" s="404">
        <f>#REF!</f>
      </c>
      <c r="C157" s="233"/>
      <c r="D157" s="405">
        <f>IF(#REF!&lt;&gt;"",#REF!,IF(#REF!&lt;&gt;"",#REF!,""))</f>
      </c>
      <c r="E157" s="405"/>
      <c r="F157" s="405"/>
      <c r="G157" s="405"/>
      <c r="H157" s="405"/>
      <c r="I157" s="405"/>
      <c r="J157" s="252"/>
      <c r="K157" s="252"/>
      <c r="L157" s="252"/>
      <c r="M157" s="252"/>
      <c r="N157" s="252"/>
      <c r="O157" s="252"/>
      <c r="P157" s="78"/>
      <c r="Q157" s="624"/>
      <c r="R157" s="625"/>
    </row>
    <row r="158" spans="1:18" ht="18" customHeight="1">
      <c r="A158" s="37"/>
      <c r="B158" s="175">
        <f>#REF!</f>
      </c>
      <c r="C158" s="233"/>
      <c r="D158" s="176">
        <f>IF(#REF!&lt;&gt;"",#REF!,IF(#REF!&lt;&gt;"",#REF!,""))</f>
      </c>
      <c r="E158" s="176"/>
      <c r="F158" s="176"/>
      <c r="G158" s="176"/>
      <c r="H158" s="176"/>
      <c r="I158" s="176"/>
      <c r="J158" s="252">
        <f>#REF!</f>
      </c>
      <c r="K158" s="252">
        <f ca="1">'rincian 4'!S135</f>
      </c>
      <c r="L158" s="252">
        <f>'rincian 4'!U135</f>
      </c>
      <c r="M158" s="252">
        <f ca="1">K158+L158</f>
      </c>
      <c r="N158" s="252">
        <f>L158</f>
      </c>
      <c r="O158" s="252">
        <f ca="1">J158-M158</f>
      </c>
      <c r="P158" s="78">
        <f>#REF!</f>
      </c>
      <c r="Q158" s="608">
        <f>N158*P158</f>
      </c>
      <c r="R158" s="609"/>
    </row>
    <row r="159" spans="1:18" ht="18" customHeight="1">
      <c r="A159" s="37"/>
      <c r="B159" s="175">
        <f>#REF!</f>
      </c>
      <c r="C159" s="233"/>
      <c r="D159" s="176">
        <f>IF(#REF!&lt;&gt;"",#REF!,IF(#REF!&lt;&gt;"",#REF!,""))</f>
      </c>
      <c r="E159" s="176"/>
      <c r="F159" s="176"/>
      <c r="G159" s="176"/>
      <c r="H159" s="176"/>
      <c r="I159" s="176"/>
      <c r="J159" s="252">
        <f>#REF!</f>
      </c>
      <c r="K159" s="252">
        <f ca="1">'rincian 4'!S136</f>
      </c>
      <c r="L159" s="252">
        <f>'rincian 4'!U136</f>
      </c>
      <c r="M159" s="252">
        <f ca="1">K159+L159</f>
      </c>
      <c r="N159" s="252">
        <f>L159</f>
      </c>
      <c r="O159" s="252">
        <f ca="1">J159-M159</f>
      </c>
      <c r="P159" s="78">
        <f>#REF!</f>
      </c>
      <c r="Q159" s="608">
        <f>N159*P159</f>
      </c>
      <c r="R159" s="609"/>
    </row>
    <row r="160" spans="1:18" ht="18" customHeight="1">
      <c r="A160" s="37"/>
      <c r="B160" s="175">
        <f>#REF!</f>
      </c>
      <c r="C160" s="233"/>
      <c r="D160" s="176">
        <f>IF(#REF!&lt;&gt;"",#REF!,IF(#REF!&lt;&gt;"",#REF!,""))</f>
      </c>
      <c r="E160" s="176"/>
      <c r="F160" s="176"/>
      <c r="G160" s="176"/>
      <c r="H160" s="176"/>
      <c r="I160" s="176"/>
      <c r="J160" s="252">
        <f>#REF!</f>
      </c>
      <c r="K160" s="252">
        <f ca="1">'rincian 4'!S137</f>
      </c>
      <c r="L160" s="252">
        <f>'rincian 4'!U137</f>
      </c>
      <c r="M160" s="252">
        <f ca="1">K160+L160</f>
      </c>
      <c r="N160" s="252">
        <f>L160</f>
      </c>
      <c r="O160" s="252">
        <f ca="1">J160-M160</f>
      </c>
      <c r="P160" s="78">
        <f>#REF!</f>
      </c>
      <c r="Q160" s="608">
        <f>N160*P160</f>
      </c>
      <c r="R160" s="609"/>
    </row>
    <row r="161" spans="1:18" ht="18" customHeight="1">
      <c r="A161" s="37"/>
      <c r="B161" s="406">
        <f>#REF!</f>
      </c>
      <c r="C161" s="407"/>
      <c r="D161" s="408">
        <f>IF(#REF!&lt;&gt;"",#REF!,IF(#REF!&lt;&gt;"",#REF!,""))</f>
      </c>
      <c r="E161" s="408"/>
      <c r="F161" s="408"/>
      <c r="G161" s="408"/>
      <c r="H161" s="408"/>
      <c r="I161" s="408"/>
      <c r="J161" s="409"/>
      <c r="K161" s="409"/>
      <c r="L161" s="409"/>
      <c r="M161" s="409"/>
      <c r="N161" s="409"/>
      <c r="O161" s="409"/>
      <c r="P161" s="410"/>
      <c r="Q161" s="624"/>
      <c r="R161" s="625"/>
    </row>
    <row r="162" spans="1:18" ht="18" customHeight="1">
      <c r="A162" s="37"/>
      <c r="B162" s="404">
        <f>#REF!</f>
      </c>
      <c r="C162" s="233"/>
      <c r="D162" s="405">
        <f>IF(#REF!&lt;&gt;"",#REF!,IF(#REF!&lt;&gt;"",#REF!,""))</f>
      </c>
      <c r="E162" s="405"/>
      <c r="F162" s="405"/>
      <c r="G162" s="405"/>
      <c r="H162" s="405"/>
      <c r="I162" s="405"/>
      <c r="J162" s="252"/>
      <c r="K162" s="252"/>
      <c r="L162" s="252"/>
      <c r="M162" s="252"/>
      <c r="N162" s="252"/>
      <c r="O162" s="252"/>
      <c r="P162" s="78"/>
      <c r="Q162" s="624"/>
      <c r="R162" s="625"/>
    </row>
    <row r="163" spans="1:18" ht="18" customHeight="1">
      <c r="A163" s="37"/>
      <c r="B163" s="175">
        <f>#REF!</f>
      </c>
      <c r="C163" s="233"/>
      <c r="D163" s="176">
        <f>IF(#REF!&lt;&gt;"",#REF!,IF(#REF!&lt;&gt;"",#REF!,""))</f>
      </c>
      <c r="E163" s="176"/>
      <c r="F163" s="176"/>
      <c r="G163" s="176"/>
      <c r="H163" s="176"/>
      <c r="I163" s="176"/>
      <c r="J163" s="252">
        <f>#REF!</f>
      </c>
      <c r="K163" s="252">
        <f ca="1">'rincian 4'!S140</f>
      </c>
      <c r="L163" s="252">
        <f>'rincian 4'!U140</f>
      </c>
      <c r="M163" s="252">
        <f ca="1">K163+L163</f>
      </c>
      <c r="N163" s="252">
        <f>L163</f>
      </c>
      <c r="O163" s="252">
        <f ca="1">J163-M163</f>
      </c>
      <c r="P163" s="78">
        <f>#REF!</f>
      </c>
      <c r="Q163" s="608">
        <f>N163*P163</f>
      </c>
      <c r="R163" s="609"/>
    </row>
    <row r="164" spans="1:18" ht="18" customHeight="1">
      <c r="A164" s="37"/>
      <c r="B164" s="175">
        <f>#REF!</f>
      </c>
      <c r="C164" s="233"/>
      <c r="D164" s="176">
        <f>IF(#REF!&lt;&gt;"",#REF!,IF(#REF!&lt;&gt;"",#REF!,""))</f>
      </c>
      <c r="E164" s="176"/>
      <c r="F164" s="176"/>
      <c r="G164" s="176"/>
      <c r="H164" s="176"/>
      <c r="I164" s="176"/>
      <c r="J164" s="252">
        <f>#REF!</f>
      </c>
      <c r="K164" s="252">
        <f ca="1">'rincian 4'!S141</f>
      </c>
      <c r="L164" s="252">
        <f>'rincian 4'!U141</f>
      </c>
      <c r="M164" s="252">
        <f ca="1">K164+L164</f>
      </c>
      <c r="N164" s="252">
        <f>L164</f>
      </c>
      <c r="O164" s="252">
        <f ca="1">J164-M164</f>
      </c>
      <c r="P164" s="78">
        <f>#REF!</f>
      </c>
      <c r="Q164" s="608">
        <f>N164*P164</f>
      </c>
      <c r="R164" s="609"/>
    </row>
    <row r="165" spans="1:18" ht="18" customHeight="1">
      <c r="A165" s="37"/>
      <c r="B165" s="175">
        <f>#REF!</f>
      </c>
      <c r="C165" s="233"/>
      <c r="D165" s="176">
        <f>IF(#REF!&lt;&gt;"",#REF!,IF(#REF!&lt;&gt;"",#REF!,""))</f>
      </c>
      <c r="E165" s="176"/>
      <c r="F165" s="176"/>
      <c r="G165" s="176"/>
      <c r="H165" s="176"/>
      <c r="I165" s="176"/>
      <c r="J165" s="252">
        <f>#REF!</f>
      </c>
      <c r="K165" s="252">
        <f ca="1">'rincian 4'!S142</f>
      </c>
      <c r="L165" s="252">
        <f>'rincian 4'!U142</f>
      </c>
      <c r="M165" s="252">
        <f ca="1">K165+L165</f>
      </c>
      <c r="N165" s="252">
        <f>L165</f>
      </c>
      <c r="O165" s="252">
        <f ca="1">J165-M165</f>
      </c>
      <c r="P165" s="78">
        <f>#REF!</f>
      </c>
      <c r="Q165" s="608">
        <f>N165*P165</f>
      </c>
      <c r="R165" s="609"/>
    </row>
    <row r="166" spans="1:18" ht="18" customHeight="1">
      <c r="A166" s="37"/>
      <c r="B166" s="175">
        <f>#REF!</f>
      </c>
      <c r="C166" s="233"/>
      <c r="D166" s="176">
        <f>IF(#REF!&lt;&gt;"",#REF!,IF(#REF!&lt;&gt;"",#REF!,""))</f>
      </c>
      <c r="E166" s="176"/>
      <c r="F166" s="176"/>
      <c r="G166" s="176"/>
      <c r="H166" s="176"/>
      <c r="I166" s="176"/>
      <c r="J166" s="252">
        <f>#REF!</f>
      </c>
      <c r="K166" s="252">
        <f ca="1">'rincian 4'!S143</f>
      </c>
      <c r="L166" s="252">
        <f>'rincian 4'!U143</f>
      </c>
      <c r="M166" s="252">
        <f ca="1">K166+L166</f>
      </c>
      <c r="N166" s="252">
        <f>L166</f>
      </c>
      <c r="O166" s="252">
        <f ca="1">J166-M166</f>
      </c>
      <c r="P166" s="78">
        <f>#REF!</f>
      </c>
      <c r="Q166" s="608">
        <f>N166*P166</f>
      </c>
      <c r="R166" s="609"/>
    </row>
    <row r="167" spans="1:18" ht="18" customHeight="1">
      <c r="A167" s="37"/>
      <c r="B167" s="175">
        <f>#REF!</f>
      </c>
      <c r="C167" s="233"/>
      <c r="D167" s="176">
        <f>IF(#REF!&lt;&gt;"",#REF!,IF(#REF!&lt;&gt;"",#REF!,""))</f>
      </c>
      <c r="E167" s="176"/>
      <c r="F167" s="176"/>
      <c r="G167" s="176"/>
      <c r="H167" s="176"/>
      <c r="I167" s="176"/>
      <c r="J167" s="252"/>
      <c r="K167" s="252"/>
      <c r="L167" s="252"/>
      <c r="M167" s="252"/>
      <c r="N167" s="252"/>
      <c r="O167" s="252"/>
      <c r="P167" s="78"/>
      <c r="Q167" s="624"/>
      <c r="R167" s="625"/>
    </row>
    <row r="168" spans="1:18" ht="18" customHeight="1">
      <c r="A168" s="37"/>
      <c r="B168" s="175">
        <f>#REF!</f>
      </c>
      <c r="C168" s="233"/>
      <c r="D168" s="176">
        <f>IF(#REF!&lt;&gt;"",#REF!,IF(#REF!&lt;&gt;"",#REF!,""))</f>
      </c>
      <c r="E168" s="176"/>
      <c r="F168" s="176"/>
      <c r="G168" s="176"/>
      <c r="H168" s="176"/>
      <c r="I168" s="176"/>
      <c r="J168" s="252"/>
      <c r="K168" s="252"/>
      <c r="L168" s="252"/>
      <c r="M168" s="252"/>
      <c r="N168" s="252"/>
      <c r="O168" s="252"/>
      <c r="P168" s="78"/>
      <c r="Q168" s="624"/>
      <c r="R168" s="625"/>
    </row>
    <row r="169" spans="1:18" ht="36" customHeight="1">
      <c r="A169" s="37"/>
      <c r="B169" s="175">
        <f>#REF!</f>
      </c>
      <c r="C169" s="233"/>
      <c r="D169" s="653">
        <f>IF(#REF!&lt;&gt;"",#REF!,IF(#REF!&lt;&gt;"",#REF!,""))</f>
      </c>
      <c r="E169" s="653"/>
      <c r="F169" s="653"/>
      <c r="G169" s="653"/>
      <c r="H169" s="653"/>
      <c r="I169" s="654"/>
      <c r="J169" s="252"/>
      <c r="K169" s="252"/>
      <c r="L169" s="252"/>
      <c r="M169" s="252"/>
      <c r="N169" s="252"/>
      <c r="O169" s="252"/>
      <c r="P169" s="78"/>
      <c r="Q169" s="624"/>
      <c r="R169" s="625"/>
    </row>
    <row r="170" spans="1:18" ht="18" customHeight="1">
      <c r="A170" s="37"/>
      <c r="B170" s="175">
        <f>#REF!</f>
      </c>
      <c r="C170" s="233"/>
      <c r="D170" s="176">
        <f>IF(#REF!&lt;&gt;"",#REF!,IF(#REF!&lt;&gt;"",#REF!,""))</f>
      </c>
      <c r="E170" s="176"/>
      <c r="F170" s="176"/>
      <c r="G170" s="176"/>
      <c r="H170" s="176"/>
      <c r="I170" s="176"/>
      <c r="J170" s="252">
        <f>#REF!</f>
      </c>
      <c r="K170" s="252">
        <f ca="1">'rincian 4'!S147</f>
      </c>
      <c r="L170" s="252">
        <f>'rincian 4'!U147</f>
      </c>
      <c r="M170" s="252">
        <f ca="1">K170+L170</f>
      </c>
      <c r="N170" s="252">
        <f>L170</f>
      </c>
      <c r="O170" s="252">
        <f ca="1">J170-M170</f>
      </c>
      <c r="P170" s="78">
        <f>#REF!</f>
      </c>
      <c r="Q170" s="608">
        <f>N170*P170</f>
      </c>
      <c r="R170" s="609"/>
    </row>
    <row r="171" spans="1:18" ht="18" customHeight="1">
      <c r="A171" s="37"/>
      <c r="B171" s="175">
        <f>#REF!</f>
      </c>
      <c r="C171" s="233"/>
      <c r="D171" s="176">
        <f>IF(#REF!&lt;&gt;"",#REF!,IF(#REF!&lt;&gt;"",#REF!,""))</f>
      </c>
      <c r="E171" s="176"/>
      <c r="F171" s="176"/>
      <c r="G171" s="176"/>
      <c r="H171" s="176"/>
      <c r="I171" s="176"/>
      <c r="J171" s="252"/>
      <c r="K171" s="252"/>
      <c r="L171" s="252"/>
      <c r="M171" s="252"/>
      <c r="N171" s="252"/>
      <c r="O171" s="252"/>
      <c r="P171" s="78"/>
      <c r="Q171" s="624"/>
      <c r="R171" s="625"/>
    </row>
    <row r="172" spans="1:18" ht="18" customHeight="1">
      <c r="A172" s="37"/>
      <c r="B172" s="175">
        <f>#REF!</f>
      </c>
      <c r="C172" s="233"/>
      <c r="D172" s="176">
        <f>IF(#REF!&lt;&gt;"",#REF!,IF(#REF!&lt;&gt;"",#REF!,""))</f>
      </c>
      <c r="E172" s="176"/>
      <c r="F172" s="176"/>
      <c r="G172" s="176"/>
      <c r="H172" s="176"/>
      <c r="I172" s="176"/>
      <c r="J172" s="252"/>
      <c r="K172" s="252"/>
      <c r="L172" s="252"/>
      <c r="M172" s="252"/>
      <c r="N172" s="252"/>
      <c r="O172" s="252"/>
      <c r="P172" s="78"/>
      <c r="Q172" s="624"/>
      <c r="R172" s="625"/>
    </row>
    <row r="173" spans="1:18" ht="18" customHeight="1">
      <c r="A173" s="37"/>
      <c r="B173" s="175">
        <f>#REF!</f>
      </c>
      <c r="C173" s="233"/>
      <c r="D173" s="176">
        <f>IF(#REF!&lt;&gt;"",#REF!,IF(#REF!&lt;&gt;"",#REF!,""))</f>
      </c>
      <c r="E173" s="176"/>
      <c r="F173" s="176"/>
      <c r="G173" s="176"/>
      <c r="H173" s="176"/>
      <c r="I173" s="176"/>
      <c r="J173" s="252"/>
      <c r="K173" s="252"/>
      <c r="L173" s="252"/>
      <c r="M173" s="252"/>
      <c r="N173" s="252"/>
      <c r="O173" s="252"/>
      <c r="P173" s="78"/>
      <c r="Q173" s="624"/>
      <c r="R173" s="625"/>
    </row>
    <row r="174" spans="1:18" ht="18" customHeight="1">
      <c r="A174" s="37"/>
      <c r="B174" s="175">
        <f>#REF!</f>
      </c>
      <c r="C174" s="233"/>
      <c r="D174" s="176">
        <f>IF(#REF!&lt;&gt;"",#REF!,IF(#REF!&lt;&gt;"",#REF!,""))</f>
      </c>
      <c r="E174" s="176"/>
      <c r="F174" s="176"/>
      <c r="G174" s="176"/>
      <c r="H174" s="176"/>
      <c r="I174" s="176"/>
      <c r="J174" s="252"/>
      <c r="K174" s="252"/>
      <c r="L174" s="252"/>
      <c r="M174" s="252"/>
      <c r="N174" s="252"/>
      <c r="O174" s="252"/>
      <c r="P174" s="78"/>
      <c r="Q174" s="624"/>
      <c r="R174" s="625"/>
    </row>
    <row r="175" spans="1:18" ht="18" customHeight="1">
      <c r="A175" s="37"/>
      <c r="B175" s="175">
        <f>#REF!</f>
      </c>
      <c r="C175" s="233"/>
      <c r="D175" s="176">
        <f>IF(#REF!&lt;&gt;"",#REF!,IF(#REF!&lt;&gt;"",#REF!,""))</f>
      </c>
      <c r="E175" s="176"/>
      <c r="F175" s="176"/>
      <c r="G175" s="176"/>
      <c r="H175" s="176"/>
      <c r="I175" s="176"/>
      <c r="J175" s="252">
        <f>#REF!</f>
      </c>
      <c r="K175" s="252">
        <f ca="1">'rincian 4'!S152</f>
      </c>
      <c r="L175" s="252">
        <f>'rincian 4'!U152</f>
      </c>
      <c r="M175" s="252">
        <f ca="1">K175+L175</f>
      </c>
      <c r="N175" s="252">
        <f>L175</f>
      </c>
      <c r="O175" s="252">
        <f ca="1">J175-M175</f>
      </c>
      <c r="P175" s="78">
        <f>#REF!</f>
      </c>
      <c r="Q175" s="608">
        <f>N175*P175</f>
      </c>
      <c r="R175" s="609"/>
    </row>
    <row r="176" spans="1:18" ht="18" customHeight="1">
      <c r="A176" s="37"/>
      <c r="B176" s="404">
        <f>#REF!</f>
      </c>
      <c r="C176" s="233"/>
      <c r="D176" s="405">
        <f>IF(#REF!&lt;&gt;"",#REF!,IF(#REF!&lt;&gt;"",#REF!,""))</f>
      </c>
      <c r="E176" s="405"/>
      <c r="F176" s="405"/>
      <c r="G176" s="405"/>
      <c r="H176" s="405"/>
      <c r="I176" s="405"/>
      <c r="J176" s="252"/>
      <c r="K176" s="252"/>
      <c r="L176" s="252"/>
      <c r="M176" s="252"/>
      <c r="N176" s="252"/>
      <c r="O176" s="252"/>
      <c r="P176" s="78"/>
      <c r="Q176" s="624"/>
      <c r="R176" s="625"/>
    </row>
    <row r="177" spans="1:18" ht="18" customHeight="1">
      <c r="A177" s="37"/>
      <c r="B177" s="175">
        <f>#REF!</f>
      </c>
      <c r="C177" s="233"/>
      <c r="D177" s="176">
        <f>IF(#REF!&lt;&gt;"",#REF!,IF(#REF!&lt;&gt;"",#REF!,""))</f>
      </c>
      <c r="E177" s="176"/>
      <c r="F177" s="176"/>
      <c r="G177" s="176"/>
      <c r="H177" s="176"/>
      <c r="I177" s="176"/>
      <c r="J177" s="252">
        <f>#REF!</f>
      </c>
      <c r="K177" s="252">
        <f ca="1">'rincian 4'!S154</f>
      </c>
      <c r="L177" s="252">
        <f>'rincian 4'!U154</f>
      </c>
      <c r="M177" s="252">
        <f ca="1">K177+L177</f>
      </c>
      <c r="N177" s="252">
        <f>L177</f>
      </c>
      <c r="O177" s="252">
        <f ca="1">J177-M177</f>
      </c>
      <c r="P177" s="78">
        <f>#REF!</f>
      </c>
      <c r="Q177" s="608">
        <f>N177*P177</f>
      </c>
      <c r="R177" s="609"/>
    </row>
    <row r="178" spans="1:18" ht="18" customHeight="1">
      <c r="A178" s="37"/>
      <c r="B178" s="175">
        <f>#REF!</f>
      </c>
      <c r="C178" s="233"/>
      <c r="D178" s="176">
        <f>IF(#REF!&lt;&gt;"",#REF!,IF(#REF!&lt;&gt;"",#REF!,""))</f>
      </c>
      <c r="E178" s="176"/>
      <c r="F178" s="176"/>
      <c r="G178" s="176"/>
      <c r="H178" s="176"/>
      <c r="I178" s="176"/>
      <c r="J178" s="252">
        <f>#REF!</f>
      </c>
      <c r="K178" s="252">
        <f ca="1">'rincian 4'!S155</f>
      </c>
      <c r="L178" s="252">
        <f>'rincian 4'!U155</f>
      </c>
      <c r="M178" s="252">
        <f ca="1">K178+L178</f>
      </c>
      <c r="N178" s="252">
        <f>L178</f>
      </c>
      <c r="O178" s="252">
        <f ca="1">J178-M178</f>
      </c>
      <c r="P178" s="78">
        <f>#REF!</f>
      </c>
      <c r="Q178" s="608">
        <f>N178*P178</f>
      </c>
      <c r="R178" s="609"/>
    </row>
    <row r="179" spans="1:18" ht="18" customHeight="1">
      <c r="A179" s="37"/>
      <c r="B179" s="175">
        <f>#REF!</f>
      </c>
      <c r="C179" s="233"/>
      <c r="D179" s="176">
        <f>IF(#REF!&lt;&gt;"",#REF!,IF(#REF!&lt;&gt;"",#REF!,""))</f>
      </c>
      <c r="E179" s="176"/>
      <c r="F179" s="176"/>
      <c r="G179" s="176"/>
      <c r="H179" s="176"/>
      <c r="I179" s="176"/>
      <c r="J179" s="252"/>
      <c r="K179" s="252"/>
      <c r="L179" s="252"/>
      <c r="M179" s="252"/>
      <c r="N179" s="252"/>
      <c r="O179" s="252"/>
      <c r="P179" s="78"/>
      <c r="Q179" s="624"/>
      <c r="R179" s="625"/>
    </row>
    <row r="180" spans="1:18" ht="18" customHeight="1">
      <c r="A180" s="37"/>
      <c r="B180" s="175">
        <f>#REF!</f>
      </c>
      <c r="C180" s="233"/>
      <c r="D180" s="176">
        <f>IF(#REF!&lt;&gt;"",#REF!,IF(#REF!&lt;&gt;"",#REF!,""))</f>
      </c>
      <c r="E180" s="176"/>
      <c r="F180" s="176"/>
      <c r="G180" s="176"/>
      <c r="H180" s="176"/>
      <c r="I180" s="176"/>
      <c r="J180" s="252"/>
      <c r="K180" s="252"/>
      <c r="L180" s="252"/>
      <c r="M180" s="252"/>
      <c r="N180" s="252"/>
      <c r="O180" s="252"/>
      <c r="P180" s="78"/>
      <c r="Q180" s="624"/>
      <c r="R180" s="625"/>
    </row>
    <row r="181" spans="1:18" ht="18" customHeight="1">
      <c r="A181" s="37"/>
      <c r="B181" s="175">
        <f>#REF!</f>
      </c>
      <c r="C181" s="233"/>
      <c r="D181" s="176">
        <f>IF(#REF!&lt;&gt;"",#REF!,IF(#REF!&lt;&gt;"",#REF!,""))</f>
      </c>
      <c r="E181" s="176"/>
      <c r="F181" s="176"/>
      <c r="G181" s="176"/>
      <c r="H181" s="176"/>
      <c r="I181" s="176"/>
      <c r="J181" s="252"/>
      <c r="K181" s="252"/>
      <c r="L181" s="252"/>
      <c r="M181" s="252"/>
      <c r="N181" s="252"/>
      <c r="O181" s="252"/>
      <c r="P181" s="78"/>
      <c r="Q181" s="624"/>
      <c r="R181" s="625"/>
    </row>
    <row r="182" spans="1:18" ht="18" customHeight="1">
      <c r="A182" s="37"/>
      <c r="B182" s="175">
        <f>#REF!</f>
      </c>
      <c r="C182" s="233"/>
      <c r="D182" s="176">
        <f>IF(#REF!&lt;&gt;"",#REF!,IF(#REF!&lt;&gt;"",#REF!,""))</f>
      </c>
      <c r="E182" s="176"/>
      <c r="F182" s="176"/>
      <c r="G182" s="176"/>
      <c r="H182" s="176"/>
      <c r="I182" s="176"/>
      <c r="J182" s="252">
        <f>#REF!</f>
      </c>
      <c r="K182" s="252">
        <f ca="1">'rincian 4'!S159</f>
      </c>
      <c r="L182" s="252">
        <f>'rincian 4'!U159</f>
      </c>
      <c r="M182" s="252">
        <f ca="1">K182+L182</f>
      </c>
      <c r="N182" s="252">
        <f>L182</f>
      </c>
      <c r="O182" s="252">
        <f ca="1">J182-M182</f>
      </c>
      <c r="P182" s="78">
        <f>#REF!</f>
      </c>
      <c r="Q182" s="608">
        <f>N182*P182</f>
      </c>
      <c r="R182" s="609"/>
    </row>
    <row r="183" spans="1:18" ht="18" customHeight="1">
      <c r="A183" s="37"/>
      <c r="B183" s="175">
        <f>#REF!</f>
      </c>
      <c r="C183" s="233"/>
      <c r="D183" s="176">
        <f>IF(#REF!&lt;&gt;"",#REF!,IF(#REF!&lt;&gt;"",#REF!,""))</f>
      </c>
      <c r="E183" s="176"/>
      <c r="F183" s="176"/>
      <c r="G183" s="176"/>
      <c r="H183" s="176"/>
      <c r="I183" s="176"/>
      <c r="J183" s="252"/>
      <c r="K183" s="252"/>
      <c r="L183" s="252"/>
      <c r="M183" s="252"/>
      <c r="N183" s="252"/>
      <c r="O183" s="252"/>
      <c r="P183" s="78"/>
      <c r="Q183" s="624"/>
      <c r="R183" s="625"/>
    </row>
    <row r="184" spans="1:18" ht="18" customHeight="1">
      <c r="A184" s="37"/>
      <c r="B184" s="175">
        <f>#REF!</f>
      </c>
      <c r="C184" s="233"/>
      <c r="D184" s="176">
        <f>IF(#REF!&lt;&gt;"",#REF!,IF(#REF!&lt;&gt;"",#REF!,""))</f>
      </c>
      <c r="E184" s="176"/>
      <c r="F184" s="176"/>
      <c r="G184" s="176"/>
      <c r="H184" s="176"/>
      <c r="I184" s="176"/>
      <c r="J184" s="252"/>
      <c r="K184" s="252"/>
      <c r="L184" s="252"/>
      <c r="M184" s="252"/>
      <c r="N184" s="252"/>
      <c r="O184" s="252"/>
      <c r="P184" s="78"/>
      <c r="Q184" s="624"/>
      <c r="R184" s="625"/>
    </row>
    <row r="185" spans="1:18" ht="18" customHeight="1">
      <c r="A185" s="37"/>
      <c r="B185" s="175">
        <f>#REF!</f>
      </c>
      <c r="C185" s="233"/>
      <c r="D185" s="176">
        <f>IF(#REF!&lt;&gt;"",#REF!,IF(#REF!&lt;&gt;"",#REF!,""))</f>
      </c>
      <c r="E185" s="176"/>
      <c r="F185" s="176"/>
      <c r="G185" s="176"/>
      <c r="H185" s="176"/>
      <c r="I185" s="176"/>
      <c r="J185" s="252">
        <f>#REF!</f>
      </c>
      <c r="K185" s="252">
        <f ca="1">'rincian 4'!S162</f>
      </c>
      <c r="L185" s="252">
        <f>'rincian 4'!U162</f>
      </c>
      <c r="M185" s="252">
        <f ca="1">K185+L185</f>
      </c>
      <c r="N185" s="252">
        <f>L185</f>
      </c>
      <c r="O185" s="252">
        <f ca="1">J185-M185</f>
      </c>
      <c r="P185" s="78">
        <f>#REF!</f>
      </c>
      <c r="Q185" s="608">
        <f>N185*P185</f>
      </c>
      <c r="R185" s="609"/>
    </row>
    <row r="186" spans="1:18" ht="18" customHeight="1">
      <c r="A186" s="37"/>
      <c r="B186" s="175">
        <f>#REF!</f>
      </c>
      <c r="C186" s="233"/>
      <c r="D186" s="176">
        <f>IF(#REF!&lt;&gt;"",#REF!,IF(#REF!&lt;&gt;"",#REF!,""))</f>
      </c>
      <c r="E186" s="176"/>
      <c r="F186" s="176"/>
      <c r="G186" s="176"/>
      <c r="H186" s="176"/>
      <c r="I186" s="176"/>
      <c r="J186" s="252">
        <f>#REF!</f>
      </c>
      <c r="K186" s="252">
        <f ca="1">'rincian 4'!S163</f>
      </c>
      <c r="L186" s="252">
        <f>'rincian 4'!U163</f>
      </c>
      <c r="M186" s="252">
        <f ca="1">K186+L186</f>
      </c>
      <c r="N186" s="252">
        <f>L186</f>
      </c>
      <c r="O186" s="252">
        <f ca="1">J186-M186</f>
      </c>
      <c r="P186" s="78">
        <f>#REF!</f>
      </c>
      <c r="Q186" s="608">
        <f>N186*P186</f>
      </c>
      <c r="R186" s="609"/>
    </row>
    <row r="187" spans="1:18" ht="18" customHeight="1">
      <c r="A187" s="37"/>
      <c r="B187" s="175">
        <f>#REF!</f>
      </c>
      <c r="C187" s="233"/>
      <c r="D187" s="176">
        <f>IF(#REF!&lt;&gt;"",#REF!,IF(#REF!&lt;&gt;"",#REF!,""))</f>
      </c>
      <c r="E187" s="176"/>
      <c r="F187" s="176"/>
      <c r="G187" s="176"/>
      <c r="H187" s="176"/>
      <c r="I187" s="176"/>
      <c r="J187" s="252">
        <f>#REF!</f>
      </c>
      <c r="K187" s="252">
        <f ca="1">'rincian 4'!S164</f>
      </c>
      <c r="L187" s="252">
        <f>'rincian 4'!U164</f>
      </c>
      <c r="M187" s="252">
        <f ca="1">K187+L187</f>
      </c>
      <c r="N187" s="252">
        <f>L187</f>
      </c>
      <c r="O187" s="252">
        <f ca="1">J187-M187</f>
      </c>
      <c r="P187" s="78">
        <f>#REF!</f>
      </c>
      <c r="Q187" s="608">
        <f>N187*P187</f>
      </c>
      <c r="R187" s="609"/>
    </row>
    <row r="188" spans="1:18">
      <c r="B188" s="178"/>
      <c r="C188" s="177"/>
      <c r="D188" s="176"/>
      <c r="E188" s="176"/>
      <c r="F188" s="176"/>
      <c r="G188" s="176"/>
      <c r="H188" s="176"/>
      <c r="I188" s="176"/>
      <c r="J188" s="78"/>
      <c r="K188" s="78"/>
      <c r="L188" s="78"/>
      <c r="M188" s="78"/>
      <c r="N188" s="78"/>
      <c r="O188" s="78"/>
      <c r="P188" s="78"/>
      <c r="Q188" s="626"/>
      <c r="R188" s="627"/>
    </row>
    <row r="189" spans="1:18">
      <c r="B189" s="179"/>
      <c r="C189" s="65"/>
      <c r="D189" s="180" t="s">
        <v>123</v>
      </c>
      <c r="E189" s="180"/>
      <c r="F189" s="180"/>
      <c r="G189" s="180"/>
      <c r="H189" s="180"/>
      <c r="I189" s="180"/>
      <c r="J189" s="65"/>
      <c r="K189" s="65"/>
      <c r="L189" s="65"/>
      <c r="M189" s="65"/>
      <c r="N189" s="65"/>
      <c r="O189" s="65"/>
      <c r="P189" s="65"/>
      <c r="Q189" s="628">
        <f>SUM(Q35:Q187)</f>
      </c>
      <c r="R189" s="629"/>
    </row>
    <row r="190" spans="1:18" ht="7.5" customHeight="1">
      <c r="B190" s="181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2"/>
    </row>
    <row r="191" spans="1:18">
      <c r="B191" s="183"/>
      <c r="C191" s="184" t="s">
        <v>124</v>
      </c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2"/>
    </row>
    <row r="192" spans="1:18" ht="17.399999999999999">
      <c r="B192" s="183"/>
      <c r="C192" s="184">
        <v>1</v>
      </c>
      <c r="D192" s="184" t="s">
        <v>125</v>
      </c>
      <c r="E192" s="184"/>
      <c r="F192" s="184"/>
      <c r="G192" s="184"/>
      <c r="H192" s="184"/>
      <c r="I192" s="184"/>
      <c r="J192" s="184" t="s">
        <v>2</v>
      </c>
      <c r="K192" s="185">
        <f ca="1">'rincian 4'!X166</f>
      </c>
      <c r="L192" s="184"/>
      <c r="M192" s="186" t="s">
        <v>126</v>
      </c>
      <c r="N192" s="612">
        <f ca="1">K192*$I$24</f>
      </c>
      <c r="O192" s="612"/>
      <c r="P192" s="187" t="s">
        <v>127</v>
      </c>
      <c r="Q192" s="184"/>
      <c r="R192" s="182"/>
    </row>
    <row r="193" spans="2:21" ht="17.399999999999999">
      <c r="B193" s="183"/>
      <c r="C193" s="184">
        <v>2</v>
      </c>
      <c r="D193" s="184" t="s">
        <v>128</v>
      </c>
      <c r="E193" s="184"/>
      <c r="F193" s="184"/>
      <c r="G193" s="184"/>
      <c r="H193" s="184"/>
      <c r="I193" s="184"/>
      <c r="J193" s="184" t="s">
        <v>2</v>
      </c>
      <c r="K193" s="185">
        <f ca="1">'rincian 4'!T166</f>
      </c>
      <c r="L193" s="184"/>
      <c r="M193" s="186" t="s">
        <v>126</v>
      </c>
      <c r="N193" s="612">
        <f ca="1">K193*$I$24</f>
      </c>
      <c r="O193" s="612"/>
      <c r="P193" s="187" t="s">
        <v>129</v>
      </c>
      <c r="Q193" s="184"/>
      <c r="R193" s="182"/>
    </row>
    <row r="194" spans="2:21">
      <c r="B194" s="183"/>
      <c r="C194" s="184">
        <v>3</v>
      </c>
      <c r="D194" s="184" t="s">
        <v>130</v>
      </c>
      <c r="E194" s="184"/>
      <c r="F194" s="184"/>
      <c r="G194" s="184"/>
      <c r="H194" s="184"/>
      <c r="I194" s="184"/>
      <c r="J194" s="184" t="s">
        <v>2</v>
      </c>
      <c r="K194" s="185">
        <f t="shared" ref="K194:K197" ca="1" si="16">N194/$I$24</f>
      </c>
      <c r="L194" s="184"/>
      <c r="M194" s="188" t="s">
        <v>126</v>
      </c>
      <c r="N194" s="610">
        <f ca="1">N192-N193</f>
      </c>
      <c r="O194" s="610"/>
      <c r="P194" s="184"/>
      <c r="Q194" s="184"/>
      <c r="R194" s="182"/>
    </row>
    <row r="195" spans="2:21">
      <c r="B195" s="183"/>
      <c r="C195" s="184">
        <v>4</v>
      </c>
      <c r="D195" s="184" t="s">
        <v>131</v>
      </c>
      <c r="E195" s="184"/>
      <c r="F195" s="184"/>
      <c r="G195" s="184"/>
      <c r="H195" s="184"/>
      <c r="I195" s="184"/>
      <c r="J195" s="184"/>
      <c r="K195" s="223">
        <f ca="1">K192*100</f>
      </c>
      <c r="L195" s="184"/>
      <c r="M195" s="184"/>
      <c r="N195" s="184"/>
      <c r="O195" s="184"/>
      <c r="P195" s="184"/>
      <c r="Q195" s="184"/>
      <c r="R195" s="182"/>
    </row>
    <row r="196" spans="2:21" ht="17.399999999999999">
      <c r="B196" s="183"/>
      <c r="C196" s="184"/>
      <c r="D196" s="184" t="s">
        <v>132</v>
      </c>
      <c r="E196" s="184"/>
      <c r="F196" s="184"/>
      <c r="G196" s="184"/>
      <c r="H196" s="184"/>
      <c r="I196" s="184"/>
      <c r="J196" s="184" t="s">
        <v>2</v>
      </c>
      <c r="K196" s="185">
        <f t="shared" si="16"/>
      </c>
      <c r="L196" s="184"/>
      <c r="M196" s="186" t="s">
        <v>126</v>
      </c>
      <c r="N196" s="611">
        <v>0</v>
      </c>
      <c r="O196" s="611"/>
      <c r="P196" s="187" t="s">
        <v>129</v>
      </c>
      <c r="Q196" s="184"/>
      <c r="R196" s="182"/>
    </row>
    <row r="197" spans="2:21" ht="17.399999999999999">
      <c r="B197" s="183"/>
      <c r="C197" s="184"/>
      <c r="D197" s="184" t="s">
        <v>136</v>
      </c>
      <c r="E197" s="184"/>
      <c r="F197" s="184"/>
      <c r="G197" s="184"/>
      <c r="H197" s="184"/>
      <c r="I197" s="184"/>
      <c r="J197" s="184" t="s">
        <v>2</v>
      </c>
      <c r="K197" s="185">
        <f t="shared" si="16"/>
      </c>
      <c r="L197" s="184"/>
      <c r="M197" s="186" t="s">
        <v>126</v>
      </c>
      <c r="N197" s="613">
        <v>0</v>
      </c>
      <c r="O197" s="613"/>
      <c r="P197" s="187" t="s">
        <v>129</v>
      </c>
      <c r="Q197" s="184"/>
      <c r="R197" s="182"/>
    </row>
    <row r="198" spans="2:21" ht="15.6" thickBot="1">
      <c r="B198" s="183"/>
      <c r="C198" s="184">
        <v>5</v>
      </c>
      <c r="D198" s="184" t="s">
        <v>134</v>
      </c>
      <c r="E198" s="184"/>
      <c r="F198" s="184"/>
      <c r="G198" s="184"/>
      <c r="H198" s="184"/>
      <c r="I198" s="184"/>
      <c r="J198" s="184" t="s">
        <v>2</v>
      </c>
      <c r="K198" s="184"/>
      <c r="L198" s="184"/>
      <c r="M198" s="188" t="s">
        <v>126</v>
      </c>
      <c r="N198" s="607">
        <f ca="1">N194-N196-N197</f>
      </c>
      <c r="O198" s="607"/>
      <c r="P198" s="184"/>
      <c r="Q198" s="184"/>
      <c r="R198" s="182"/>
    </row>
    <row r="199" spans="2:21" ht="15.6" thickTop="1">
      <c r="B199" s="183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9"/>
      <c r="N199" s="189"/>
      <c r="O199" s="189"/>
      <c r="P199" s="184"/>
      <c r="Q199" s="184"/>
      <c r="R199" s="182"/>
    </row>
    <row r="200" spans="2:21">
      <c r="B200" s="183"/>
      <c r="C200" s="184" t="s">
        <v>135</v>
      </c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2"/>
    </row>
    <row r="201" spans="2:21">
      <c r="B201" s="183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2"/>
    </row>
    <row r="202" spans="2:21">
      <c r="B202" s="183"/>
      <c r="D202" s="634" t="s">
        <v>39</v>
      </c>
      <c r="E202" s="634"/>
      <c r="F202" s="634"/>
      <c r="G202" s="634"/>
      <c r="H202" s="634"/>
      <c r="K202" s="184"/>
      <c r="L202" s="184"/>
      <c r="M202" s="184"/>
      <c r="N202" s="640" t="s">
        <v>40</v>
      </c>
      <c r="O202" s="640"/>
      <c r="P202" s="640"/>
      <c r="Q202" s="640"/>
      <c r="R202" s="182"/>
    </row>
    <row r="203" spans="2:21">
      <c r="B203" s="183"/>
      <c r="D203" s="634">
        <f>UPPER(DATA!$B$24)</f>
      </c>
      <c r="E203" s="634"/>
      <c r="F203" s="634"/>
      <c r="G203" s="634"/>
      <c r="H203" s="634"/>
      <c r="I203" s="184"/>
      <c r="M203" s="184"/>
      <c r="N203" s="640">
        <f>UPPER(DATA!$B$17)</f>
      </c>
      <c r="O203" s="640"/>
      <c r="P203" s="640"/>
      <c r="Q203" s="640"/>
      <c r="R203" s="182"/>
      <c r="U203" s="253"/>
    </row>
    <row r="204" spans="2:21">
      <c r="B204" s="183"/>
      <c r="C204" s="79"/>
      <c r="D204" s="79"/>
      <c r="E204" s="184"/>
      <c r="F204" s="184"/>
      <c r="G204" s="184"/>
      <c r="H204" s="184"/>
      <c r="I204" s="184"/>
      <c r="J204" s="184"/>
      <c r="K204" s="184"/>
      <c r="L204" s="184"/>
      <c r="M204" s="184"/>
      <c r="N204" s="640"/>
      <c r="O204" s="640"/>
      <c r="P204" s="640"/>
      <c r="Q204" s="640"/>
      <c r="R204" s="182"/>
    </row>
    <row r="205" spans="2:21">
      <c r="B205" s="183"/>
      <c r="C205" s="79"/>
      <c r="D205" s="79"/>
      <c r="E205" s="184"/>
      <c r="F205" s="184"/>
      <c r="G205" s="184"/>
      <c r="H205" s="184"/>
      <c r="I205" s="184"/>
      <c r="J205" s="184"/>
      <c r="K205" s="184"/>
      <c r="L205" s="184"/>
      <c r="M205" s="184"/>
      <c r="N205" s="224"/>
      <c r="O205" s="224"/>
      <c r="P205" s="224"/>
      <c r="Q205" s="224"/>
      <c r="R205" s="182"/>
    </row>
    <row r="206" spans="2:21">
      <c r="B206" s="183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234"/>
      <c r="O206" s="234"/>
      <c r="P206" s="234"/>
      <c r="Q206" s="234"/>
      <c r="R206" s="182"/>
    </row>
    <row r="207" spans="2:21">
      <c r="B207" s="183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234"/>
      <c r="O207" s="234"/>
      <c r="Q207" s="234"/>
      <c r="R207" s="182"/>
    </row>
    <row r="208" spans="2:21">
      <c r="B208" s="183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234"/>
      <c r="O208" s="234"/>
      <c r="P208" s="234"/>
      <c r="Q208" s="234"/>
      <c r="R208" s="182"/>
    </row>
    <row r="209" spans="2:18">
      <c r="B209" s="183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234"/>
      <c r="O209" s="234"/>
      <c r="P209" s="234"/>
      <c r="Q209" s="234"/>
      <c r="R209" s="182"/>
    </row>
    <row r="210" spans="2:18">
      <c r="B210" s="183"/>
      <c r="D210" s="636">
        <f>DATA!$B$22</f>
      </c>
      <c r="E210" s="636"/>
      <c r="F210" s="636"/>
      <c r="G210" s="636"/>
      <c r="H210" s="636"/>
      <c r="I210" s="190"/>
      <c r="L210" s="190"/>
      <c r="M210" s="190"/>
      <c r="N210" s="641">
        <f>D14</f>
      </c>
      <c r="O210" s="641"/>
      <c r="P210" s="641"/>
      <c r="Q210" s="641"/>
      <c r="R210" s="182"/>
    </row>
    <row r="211" spans="2:18">
      <c r="B211" s="183"/>
      <c r="D211" s="634">
        <f>DATA!$B$23</f>
      </c>
      <c r="E211" s="634"/>
      <c r="F211" s="634"/>
      <c r="G211" s="634"/>
      <c r="H211" s="634"/>
      <c r="I211" s="184"/>
      <c r="J211" s="184"/>
      <c r="K211" s="184"/>
      <c r="L211" s="190"/>
      <c r="M211" s="190"/>
      <c r="N211" s="640">
        <f>DATA!$B$16</f>
      </c>
      <c r="O211" s="640"/>
      <c r="P211" s="640"/>
      <c r="Q211" s="640"/>
      <c r="R211" s="182"/>
    </row>
    <row r="212" spans="2:18" ht="15.6" thickBot="1">
      <c r="B212" s="191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3"/>
    </row>
    <row r="213" spans="2:18" ht="15.6" thickTop="1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</row>
    <row r="214" spans="2:18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spans="2:18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spans="2:18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spans="2:18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spans="2:18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spans="2:18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spans="2:18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spans="2:18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spans="2:18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spans="2:18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spans="2:18"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</row>
    <row r="225" spans="2:18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</row>
    <row r="226" spans="2:18"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</row>
    <row r="227" spans="2:18"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</row>
    <row r="228" spans="2:18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</row>
    <row r="229" spans="2:18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</row>
    <row r="230" spans="2:18"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</row>
    <row r="231" spans="2:18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</row>
    <row r="232" spans="2:18"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</row>
    <row r="233" spans="2:18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</row>
    <row r="234" spans="2:18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</row>
    <row r="235" spans="2:18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</row>
    <row r="236" spans="2:18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</row>
    <row r="237" spans="2:18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</row>
    <row r="238" spans="2:18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</row>
    <row r="239" spans="2:18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</row>
    <row r="240" spans="2:18"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</row>
    <row r="241" spans="2:18"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</row>
    <row r="242" spans="2:18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</row>
    <row r="243" spans="2:18"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</row>
    <row r="244" spans="2:18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</row>
    <row r="245" spans="2:18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</row>
    <row r="246" spans="2:18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</row>
    <row r="247" spans="2:18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</row>
    <row r="248" spans="2:18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</row>
    <row r="249" spans="2:18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</row>
    <row r="250" spans="2:18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</row>
    <row r="251" spans="2:18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</row>
    <row r="252" spans="2:18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</row>
    <row r="253" spans="2:18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</row>
    <row r="254" spans="2:18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</row>
    <row r="255" spans="2:18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</row>
    <row r="256" spans="2:18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</row>
    <row r="257" spans="2:18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2:18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2:18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2:18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2:18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2:18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</sheetData>
  <mergeCells count="198">
    <mergeCell ref="N204:Q204"/>
    <mergeCell ref="D210:H210"/>
    <mergeCell ref="N210:Q210"/>
    <mergeCell ref="D211:H211"/>
    <mergeCell ref="N211:Q211"/>
    <mergeCell ref="N197:O197"/>
    <mergeCell ref="N198:O198"/>
    <mergeCell ref="D202:H202"/>
    <mergeCell ref="N202:Q202"/>
    <mergeCell ref="D203:H203"/>
    <mergeCell ref="N203:Q203"/>
    <mergeCell ref="Q188:R188"/>
    <mergeCell ref="Q189:R189"/>
    <mergeCell ref="N192:O192"/>
    <mergeCell ref="N193:O193"/>
    <mergeCell ref="N194:O194"/>
    <mergeCell ref="N196:O196"/>
    <mergeCell ref="Q182:R182"/>
    <mergeCell ref="Q183:R183"/>
    <mergeCell ref="Q184:R184"/>
    <mergeCell ref="Q185:R185"/>
    <mergeCell ref="Q186:R186"/>
    <mergeCell ref="Q187:R187"/>
    <mergeCell ref="Q176:R176"/>
    <mergeCell ref="Q177:R177"/>
    <mergeCell ref="Q178:R178"/>
    <mergeCell ref="Q179:R179"/>
    <mergeCell ref="Q180:R180"/>
    <mergeCell ref="Q181:R181"/>
    <mergeCell ref="Q170:R170"/>
    <mergeCell ref="Q171:R171"/>
    <mergeCell ref="Q172:R172"/>
    <mergeCell ref="Q173:R173"/>
    <mergeCell ref="Q174:R174"/>
    <mergeCell ref="Q175:R175"/>
    <mergeCell ref="Q165:R165"/>
    <mergeCell ref="Q166:R166"/>
    <mergeCell ref="Q167:R167"/>
    <mergeCell ref="Q168:R168"/>
    <mergeCell ref="D169:I169"/>
    <mergeCell ref="Q169:R169"/>
    <mergeCell ref="Q159:R159"/>
    <mergeCell ref="Q160:R160"/>
    <mergeCell ref="Q161:R161"/>
    <mergeCell ref="Q162:R162"/>
    <mergeCell ref="Q163:R163"/>
    <mergeCell ref="Q164:R164"/>
    <mergeCell ref="Q153:R153"/>
    <mergeCell ref="Q154:R154"/>
    <mergeCell ref="Q155:R155"/>
    <mergeCell ref="Q156:R156"/>
    <mergeCell ref="Q157:R157"/>
    <mergeCell ref="Q158:R158"/>
    <mergeCell ref="Q147:R147"/>
    <mergeCell ref="Q148:R148"/>
    <mergeCell ref="Q149:R149"/>
    <mergeCell ref="Q150:R150"/>
    <mergeCell ref="Q151:R151"/>
    <mergeCell ref="Q152:R152"/>
    <mergeCell ref="Q141:R141"/>
    <mergeCell ref="Q142:R142"/>
    <mergeCell ref="Q143:R143"/>
    <mergeCell ref="Q144:R144"/>
    <mergeCell ref="Q145:R145"/>
    <mergeCell ref="Q146:R146"/>
    <mergeCell ref="Q135:R135"/>
    <mergeCell ref="Q136:R136"/>
    <mergeCell ref="Q137:R137"/>
    <mergeCell ref="Q138:R138"/>
    <mergeCell ref="Q139:R139"/>
    <mergeCell ref="Q140:R140"/>
    <mergeCell ref="Q129:R129"/>
    <mergeCell ref="Q130:R130"/>
    <mergeCell ref="Q131:R131"/>
    <mergeCell ref="Q132:R132"/>
    <mergeCell ref="Q133:R133"/>
    <mergeCell ref="Q134:R134"/>
    <mergeCell ref="D124:I124"/>
    <mergeCell ref="Q124:R124"/>
    <mergeCell ref="Q125:R125"/>
    <mergeCell ref="Q126:R126"/>
    <mergeCell ref="Q127:R127"/>
    <mergeCell ref="Q128:R128"/>
    <mergeCell ref="Q118:R118"/>
    <mergeCell ref="Q119:R119"/>
    <mergeCell ref="Q120:R120"/>
    <mergeCell ref="Q121:R121"/>
    <mergeCell ref="Q122:R122"/>
    <mergeCell ref="Q123:R123"/>
    <mergeCell ref="Q112:R112"/>
    <mergeCell ref="Q113:R113"/>
    <mergeCell ref="Q114:R114"/>
    <mergeCell ref="Q115:R115"/>
    <mergeCell ref="Q116:R116"/>
    <mergeCell ref="Q117:R117"/>
    <mergeCell ref="Q106:R106"/>
    <mergeCell ref="Q107:R107"/>
    <mergeCell ref="Q108:R108"/>
    <mergeCell ref="Q109:R109"/>
    <mergeCell ref="Q110:R110"/>
    <mergeCell ref="Q111:R111"/>
    <mergeCell ref="Q100:R100"/>
    <mergeCell ref="Q101:R101"/>
    <mergeCell ref="Q102:R102"/>
    <mergeCell ref="Q103:R103"/>
    <mergeCell ref="Q104:R104"/>
    <mergeCell ref="Q105:R105"/>
    <mergeCell ref="Q94:R94"/>
    <mergeCell ref="Q95:R95"/>
    <mergeCell ref="Q96:R96"/>
    <mergeCell ref="Q97:R97"/>
    <mergeCell ref="Q98:R98"/>
    <mergeCell ref="Q99:R99"/>
    <mergeCell ref="Q88:R88"/>
    <mergeCell ref="Q89:R89"/>
    <mergeCell ref="Q90:R90"/>
    <mergeCell ref="Q91:R91"/>
    <mergeCell ref="Q92:R92"/>
    <mergeCell ref="Q93:R93"/>
    <mergeCell ref="D83:I83"/>
    <mergeCell ref="Q83:R83"/>
    <mergeCell ref="Q84:R84"/>
    <mergeCell ref="Q85:R85"/>
    <mergeCell ref="Q86:R86"/>
    <mergeCell ref="Q87:R87"/>
    <mergeCell ref="D80:I80"/>
    <mergeCell ref="Q80:R80"/>
    <mergeCell ref="D81:I81"/>
    <mergeCell ref="Q81:R81"/>
    <mergeCell ref="D82:I82"/>
    <mergeCell ref="Q82:R82"/>
    <mergeCell ref="Q74:R74"/>
    <mergeCell ref="Q75:R75"/>
    <mergeCell ref="Q76:R76"/>
    <mergeCell ref="Q77:R77"/>
    <mergeCell ref="Q78:R78"/>
    <mergeCell ref="Q79:R79"/>
    <mergeCell ref="Q68:R68"/>
    <mergeCell ref="Q69:R69"/>
    <mergeCell ref="Q70:R70"/>
    <mergeCell ref="Q71:R71"/>
    <mergeCell ref="Q72:R72"/>
    <mergeCell ref="Q73:R73"/>
    <mergeCell ref="D63:I63"/>
    <mergeCell ref="Q63:R63"/>
    <mergeCell ref="Q64:R64"/>
    <mergeCell ref="Q65:R65"/>
    <mergeCell ref="Q66:R66"/>
    <mergeCell ref="Q67:R67"/>
    <mergeCell ref="Q57:R57"/>
    <mergeCell ref="Q58:R58"/>
    <mergeCell ref="Q59:R59"/>
    <mergeCell ref="Q60:R60"/>
    <mergeCell ref="Q61:R61"/>
    <mergeCell ref="Q62:R62"/>
    <mergeCell ref="Q51:R51"/>
    <mergeCell ref="Q52:R52"/>
    <mergeCell ref="Q53:R53"/>
    <mergeCell ref="Q54:R54"/>
    <mergeCell ref="Q55:R55"/>
    <mergeCell ref="Q56:R56"/>
    <mergeCell ref="Q45:R45"/>
    <mergeCell ref="Q46:R46"/>
    <mergeCell ref="Q47:R47"/>
    <mergeCell ref="Q48:R48"/>
    <mergeCell ref="Q49:R49"/>
    <mergeCell ref="Q50:R50"/>
    <mergeCell ref="D40:I40"/>
    <mergeCell ref="Q40:R40"/>
    <mergeCell ref="Q41:R41"/>
    <mergeCell ref="Q42:R42"/>
    <mergeCell ref="Q43:R43"/>
    <mergeCell ref="Q44:R44"/>
    <mergeCell ref="D37:I37"/>
    <mergeCell ref="Q37:R37"/>
    <mergeCell ref="D38:I38"/>
    <mergeCell ref="Q38:R38"/>
    <mergeCell ref="D39:I39"/>
    <mergeCell ref="Q39:R39"/>
    <mergeCell ref="Q35:R35"/>
    <mergeCell ref="Q36:R36"/>
    <mergeCell ref="F18:R18"/>
    <mergeCell ref="C21:R22"/>
    <mergeCell ref="M23:N23"/>
    <mergeCell ref="I24:J24"/>
    <mergeCell ref="K24:L24"/>
    <mergeCell ref="H25:I25"/>
    <mergeCell ref="K25:L25"/>
    <mergeCell ref="B6:R6"/>
    <mergeCell ref="B7:R7"/>
    <mergeCell ref="B9:R9"/>
    <mergeCell ref="B10:R10"/>
    <mergeCell ref="C12:Q12"/>
    <mergeCell ref="F14:R15"/>
    <mergeCell ref="L29:L31"/>
    <mergeCell ref="Q33:R33"/>
    <mergeCell ref="C34:I34"/>
    <mergeCell ref="Q34:R34"/>
  </mergeCells>
  <printOptions horizontalCentered="1"/>
  <pageMargins left="0.32" right="0.27" top="0.75" bottom="0.75" header="0.3" footer="0.3"/>
  <pageSetup paperSize="9" scale="55" fitToHeight="0" orientation="portrait" r:id="rId1"/>
  <rowBreaks count="1" manualBreakCount="1">
    <brk id="139" min="1" max="17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622B-6FF9-4B1B-A67B-E0372A4C9505}">
  <sheetPr>
    <tabColor rgb="FF00B0F0"/>
  </sheetPr>
  <dimension ref="A1:Z262"/>
  <sheetViews>
    <sheetView showOutlineSymbols="0" view="pageBreakPreview" topLeftCell="A73" zoomScale="70" zoomScaleNormal="87" zoomScaleSheetLayoutView="70" workbookViewId="0">
      <selection activeCell="K37" sqref="K37"/>
    </sheetView>
  </sheetViews>
  <sheetFormatPr defaultColWidth="11.1796875" defaultRowHeight="15"/>
  <cols>
    <col min="1" max="1" width="1" style="28" customWidth="1"/>
    <col min="2" max="2" width="2.81640625" style="28" customWidth="1"/>
    <col min="3" max="3" width="2.54296875" style="28" customWidth="1"/>
    <col min="4" max="4" width="23.453125" style="28" customWidth="1"/>
    <col min="5" max="6" width="2.08984375" style="28" customWidth="1"/>
    <col min="7" max="7" width="1.453125" style="28" customWidth="1"/>
    <col min="8" max="8" width="12.08984375" style="28" customWidth="1"/>
    <col min="9" max="9" width="5.81640625" style="28" customWidth="1"/>
    <col min="10" max="10" width="10.453125" style="28" customWidth="1"/>
    <col min="11" max="14" width="9.54296875" style="28" customWidth="1"/>
    <col min="15" max="15" width="10" style="28" customWidth="1"/>
    <col min="16" max="16" width="14.08984375" style="28" customWidth="1"/>
    <col min="17" max="17" width="8" style="28" customWidth="1"/>
    <col min="18" max="18" width="8.81640625" style="28" customWidth="1"/>
    <col min="19" max="19" width="1" style="28" customWidth="1"/>
    <col min="20" max="20" width="11.1796875" style="28"/>
    <col min="21" max="22" width="14" style="28" bestFit="1" customWidth="1"/>
    <col min="23" max="252" width="11.1796875" style="28"/>
    <col min="253" max="253" width="1.81640625" style="28" customWidth="1"/>
    <col min="254" max="255" width="3.81640625" style="28" customWidth="1"/>
    <col min="256" max="256" width="11.81640625" style="28" customWidth="1"/>
    <col min="257" max="258" width="7.81640625" style="28" customWidth="1"/>
    <col min="259" max="260" width="8.81640625" style="28" customWidth="1"/>
    <col min="261" max="261" width="10.81640625" style="28" customWidth="1"/>
    <col min="262" max="262" width="8.81640625" style="28" customWidth="1"/>
    <col min="263" max="263" width="7.81640625" style="28" customWidth="1"/>
    <col min="264" max="264" width="8.81640625" style="28" customWidth="1"/>
    <col min="265" max="265" width="2.81640625" style="28" customWidth="1"/>
    <col min="266" max="266" width="1.81640625" style="28" customWidth="1"/>
    <col min="267" max="508" width="11.1796875" style="28"/>
    <col min="509" max="509" width="1.81640625" style="28" customWidth="1"/>
    <col min="510" max="511" width="3.81640625" style="28" customWidth="1"/>
    <col min="512" max="512" width="11.81640625" style="28" customWidth="1"/>
    <col min="513" max="514" width="7.81640625" style="28" customWidth="1"/>
    <col min="515" max="516" width="8.81640625" style="28" customWidth="1"/>
    <col min="517" max="517" width="10.81640625" style="28" customWidth="1"/>
    <col min="518" max="518" width="8.81640625" style="28" customWidth="1"/>
    <col min="519" max="519" width="7.81640625" style="28" customWidth="1"/>
    <col min="520" max="520" width="8.81640625" style="28" customWidth="1"/>
    <col min="521" max="521" width="2.81640625" style="28" customWidth="1"/>
    <col min="522" max="522" width="1.81640625" style="28" customWidth="1"/>
    <col min="523" max="764" width="11.1796875" style="28"/>
    <col min="765" max="765" width="1.81640625" style="28" customWidth="1"/>
    <col min="766" max="767" width="3.81640625" style="28" customWidth="1"/>
    <col min="768" max="768" width="11.81640625" style="28" customWidth="1"/>
    <col min="769" max="770" width="7.81640625" style="28" customWidth="1"/>
    <col min="771" max="772" width="8.81640625" style="28" customWidth="1"/>
    <col min="773" max="773" width="10.81640625" style="28" customWidth="1"/>
    <col min="774" max="774" width="8.81640625" style="28" customWidth="1"/>
    <col min="775" max="775" width="7.81640625" style="28" customWidth="1"/>
    <col min="776" max="776" width="8.81640625" style="28" customWidth="1"/>
    <col min="777" max="777" width="2.81640625" style="28" customWidth="1"/>
    <col min="778" max="778" width="1.81640625" style="28" customWidth="1"/>
    <col min="779" max="1020" width="11.1796875" style="28"/>
    <col min="1021" max="1021" width="1.81640625" style="28" customWidth="1"/>
    <col min="1022" max="1023" width="3.81640625" style="28" customWidth="1"/>
    <col min="1024" max="1024" width="11.81640625" style="28" customWidth="1"/>
    <col min="1025" max="1026" width="7.81640625" style="28" customWidth="1"/>
    <col min="1027" max="1028" width="8.81640625" style="28" customWidth="1"/>
    <col min="1029" max="1029" width="10.81640625" style="28" customWidth="1"/>
    <col min="1030" max="1030" width="8.81640625" style="28" customWidth="1"/>
    <col min="1031" max="1031" width="7.81640625" style="28" customWidth="1"/>
    <col min="1032" max="1032" width="8.81640625" style="28" customWidth="1"/>
    <col min="1033" max="1033" width="2.81640625" style="28" customWidth="1"/>
    <col min="1034" max="1034" width="1.81640625" style="28" customWidth="1"/>
    <col min="1035" max="1276" width="11.1796875" style="28"/>
    <col min="1277" max="1277" width="1.81640625" style="28" customWidth="1"/>
    <col min="1278" max="1279" width="3.81640625" style="28" customWidth="1"/>
    <col min="1280" max="1280" width="11.81640625" style="28" customWidth="1"/>
    <col min="1281" max="1282" width="7.81640625" style="28" customWidth="1"/>
    <col min="1283" max="1284" width="8.81640625" style="28" customWidth="1"/>
    <col min="1285" max="1285" width="10.81640625" style="28" customWidth="1"/>
    <col min="1286" max="1286" width="8.81640625" style="28" customWidth="1"/>
    <col min="1287" max="1287" width="7.81640625" style="28" customWidth="1"/>
    <col min="1288" max="1288" width="8.81640625" style="28" customWidth="1"/>
    <col min="1289" max="1289" width="2.81640625" style="28" customWidth="1"/>
    <col min="1290" max="1290" width="1.81640625" style="28" customWidth="1"/>
    <col min="1291" max="1532" width="11.1796875" style="28"/>
    <col min="1533" max="1533" width="1.81640625" style="28" customWidth="1"/>
    <col min="1534" max="1535" width="3.81640625" style="28" customWidth="1"/>
    <col min="1536" max="1536" width="11.81640625" style="28" customWidth="1"/>
    <col min="1537" max="1538" width="7.81640625" style="28" customWidth="1"/>
    <col min="1539" max="1540" width="8.81640625" style="28" customWidth="1"/>
    <col min="1541" max="1541" width="10.81640625" style="28" customWidth="1"/>
    <col min="1542" max="1542" width="8.81640625" style="28" customWidth="1"/>
    <col min="1543" max="1543" width="7.81640625" style="28" customWidth="1"/>
    <col min="1544" max="1544" width="8.81640625" style="28" customWidth="1"/>
    <col min="1545" max="1545" width="2.81640625" style="28" customWidth="1"/>
    <col min="1546" max="1546" width="1.81640625" style="28" customWidth="1"/>
    <col min="1547" max="1788" width="11.1796875" style="28"/>
    <col min="1789" max="1789" width="1.81640625" style="28" customWidth="1"/>
    <col min="1790" max="1791" width="3.81640625" style="28" customWidth="1"/>
    <col min="1792" max="1792" width="11.81640625" style="28" customWidth="1"/>
    <col min="1793" max="1794" width="7.81640625" style="28" customWidth="1"/>
    <col min="1795" max="1796" width="8.81640625" style="28" customWidth="1"/>
    <col min="1797" max="1797" width="10.81640625" style="28" customWidth="1"/>
    <col min="1798" max="1798" width="8.81640625" style="28" customWidth="1"/>
    <col min="1799" max="1799" width="7.81640625" style="28" customWidth="1"/>
    <col min="1800" max="1800" width="8.81640625" style="28" customWidth="1"/>
    <col min="1801" max="1801" width="2.81640625" style="28" customWidth="1"/>
    <col min="1802" max="1802" width="1.81640625" style="28" customWidth="1"/>
    <col min="1803" max="2044" width="11.1796875" style="28"/>
    <col min="2045" max="2045" width="1.81640625" style="28" customWidth="1"/>
    <col min="2046" max="2047" width="3.81640625" style="28" customWidth="1"/>
    <col min="2048" max="2048" width="11.81640625" style="28" customWidth="1"/>
    <col min="2049" max="2050" width="7.81640625" style="28" customWidth="1"/>
    <col min="2051" max="2052" width="8.81640625" style="28" customWidth="1"/>
    <col min="2053" max="2053" width="10.81640625" style="28" customWidth="1"/>
    <col min="2054" max="2054" width="8.81640625" style="28" customWidth="1"/>
    <col min="2055" max="2055" width="7.81640625" style="28" customWidth="1"/>
    <col min="2056" max="2056" width="8.81640625" style="28" customWidth="1"/>
    <col min="2057" max="2057" width="2.81640625" style="28" customWidth="1"/>
    <col min="2058" max="2058" width="1.81640625" style="28" customWidth="1"/>
    <col min="2059" max="2300" width="11.1796875" style="28"/>
    <col min="2301" max="2301" width="1.81640625" style="28" customWidth="1"/>
    <col min="2302" max="2303" width="3.81640625" style="28" customWidth="1"/>
    <col min="2304" max="2304" width="11.81640625" style="28" customWidth="1"/>
    <col min="2305" max="2306" width="7.81640625" style="28" customWidth="1"/>
    <col min="2307" max="2308" width="8.81640625" style="28" customWidth="1"/>
    <col min="2309" max="2309" width="10.81640625" style="28" customWidth="1"/>
    <col min="2310" max="2310" width="8.81640625" style="28" customWidth="1"/>
    <col min="2311" max="2311" width="7.81640625" style="28" customWidth="1"/>
    <col min="2312" max="2312" width="8.81640625" style="28" customWidth="1"/>
    <col min="2313" max="2313" width="2.81640625" style="28" customWidth="1"/>
    <col min="2314" max="2314" width="1.81640625" style="28" customWidth="1"/>
    <col min="2315" max="2556" width="11.1796875" style="28"/>
    <col min="2557" max="2557" width="1.81640625" style="28" customWidth="1"/>
    <col min="2558" max="2559" width="3.81640625" style="28" customWidth="1"/>
    <col min="2560" max="2560" width="11.81640625" style="28" customWidth="1"/>
    <col min="2561" max="2562" width="7.81640625" style="28" customWidth="1"/>
    <col min="2563" max="2564" width="8.81640625" style="28" customWidth="1"/>
    <col min="2565" max="2565" width="10.81640625" style="28" customWidth="1"/>
    <col min="2566" max="2566" width="8.81640625" style="28" customWidth="1"/>
    <col min="2567" max="2567" width="7.81640625" style="28" customWidth="1"/>
    <col min="2568" max="2568" width="8.81640625" style="28" customWidth="1"/>
    <col min="2569" max="2569" width="2.81640625" style="28" customWidth="1"/>
    <col min="2570" max="2570" width="1.81640625" style="28" customWidth="1"/>
    <col min="2571" max="2812" width="11.1796875" style="28"/>
    <col min="2813" max="2813" width="1.81640625" style="28" customWidth="1"/>
    <col min="2814" max="2815" width="3.81640625" style="28" customWidth="1"/>
    <col min="2816" max="2816" width="11.81640625" style="28" customWidth="1"/>
    <col min="2817" max="2818" width="7.81640625" style="28" customWidth="1"/>
    <col min="2819" max="2820" width="8.81640625" style="28" customWidth="1"/>
    <col min="2821" max="2821" width="10.81640625" style="28" customWidth="1"/>
    <col min="2822" max="2822" width="8.81640625" style="28" customWidth="1"/>
    <col min="2823" max="2823" width="7.81640625" style="28" customWidth="1"/>
    <col min="2824" max="2824" width="8.81640625" style="28" customWidth="1"/>
    <col min="2825" max="2825" width="2.81640625" style="28" customWidth="1"/>
    <col min="2826" max="2826" width="1.81640625" style="28" customWidth="1"/>
    <col min="2827" max="3068" width="11.1796875" style="28"/>
    <col min="3069" max="3069" width="1.81640625" style="28" customWidth="1"/>
    <col min="3070" max="3071" width="3.81640625" style="28" customWidth="1"/>
    <col min="3072" max="3072" width="11.81640625" style="28" customWidth="1"/>
    <col min="3073" max="3074" width="7.81640625" style="28" customWidth="1"/>
    <col min="3075" max="3076" width="8.81640625" style="28" customWidth="1"/>
    <col min="3077" max="3077" width="10.81640625" style="28" customWidth="1"/>
    <col min="3078" max="3078" width="8.81640625" style="28" customWidth="1"/>
    <col min="3079" max="3079" width="7.81640625" style="28" customWidth="1"/>
    <col min="3080" max="3080" width="8.81640625" style="28" customWidth="1"/>
    <col min="3081" max="3081" width="2.81640625" style="28" customWidth="1"/>
    <col min="3082" max="3082" width="1.81640625" style="28" customWidth="1"/>
    <col min="3083" max="3324" width="11.1796875" style="28"/>
    <col min="3325" max="3325" width="1.81640625" style="28" customWidth="1"/>
    <col min="3326" max="3327" width="3.81640625" style="28" customWidth="1"/>
    <col min="3328" max="3328" width="11.81640625" style="28" customWidth="1"/>
    <col min="3329" max="3330" width="7.81640625" style="28" customWidth="1"/>
    <col min="3331" max="3332" width="8.81640625" style="28" customWidth="1"/>
    <col min="3333" max="3333" width="10.81640625" style="28" customWidth="1"/>
    <col min="3334" max="3334" width="8.81640625" style="28" customWidth="1"/>
    <col min="3335" max="3335" width="7.81640625" style="28" customWidth="1"/>
    <col min="3336" max="3336" width="8.81640625" style="28" customWidth="1"/>
    <col min="3337" max="3337" width="2.81640625" style="28" customWidth="1"/>
    <col min="3338" max="3338" width="1.81640625" style="28" customWidth="1"/>
    <col min="3339" max="3580" width="11.1796875" style="28"/>
    <col min="3581" max="3581" width="1.81640625" style="28" customWidth="1"/>
    <col min="3582" max="3583" width="3.81640625" style="28" customWidth="1"/>
    <col min="3584" max="3584" width="11.81640625" style="28" customWidth="1"/>
    <col min="3585" max="3586" width="7.81640625" style="28" customWidth="1"/>
    <col min="3587" max="3588" width="8.81640625" style="28" customWidth="1"/>
    <col min="3589" max="3589" width="10.81640625" style="28" customWidth="1"/>
    <col min="3590" max="3590" width="8.81640625" style="28" customWidth="1"/>
    <col min="3591" max="3591" width="7.81640625" style="28" customWidth="1"/>
    <col min="3592" max="3592" width="8.81640625" style="28" customWidth="1"/>
    <col min="3593" max="3593" width="2.81640625" style="28" customWidth="1"/>
    <col min="3594" max="3594" width="1.81640625" style="28" customWidth="1"/>
    <col min="3595" max="3836" width="11.1796875" style="28"/>
    <col min="3837" max="3837" width="1.81640625" style="28" customWidth="1"/>
    <col min="3838" max="3839" width="3.81640625" style="28" customWidth="1"/>
    <col min="3840" max="3840" width="11.81640625" style="28" customWidth="1"/>
    <col min="3841" max="3842" width="7.81640625" style="28" customWidth="1"/>
    <col min="3843" max="3844" width="8.81640625" style="28" customWidth="1"/>
    <col min="3845" max="3845" width="10.81640625" style="28" customWidth="1"/>
    <col min="3846" max="3846" width="8.81640625" style="28" customWidth="1"/>
    <col min="3847" max="3847" width="7.81640625" style="28" customWidth="1"/>
    <col min="3848" max="3848" width="8.81640625" style="28" customWidth="1"/>
    <col min="3849" max="3849" width="2.81640625" style="28" customWidth="1"/>
    <col min="3850" max="3850" width="1.81640625" style="28" customWidth="1"/>
    <col min="3851" max="4092" width="11.1796875" style="28"/>
    <col min="4093" max="4093" width="1.81640625" style="28" customWidth="1"/>
    <col min="4094" max="4095" width="3.81640625" style="28" customWidth="1"/>
    <col min="4096" max="4096" width="11.81640625" style="28" customWidth="1"/>
    <col min="4097" max="4098" width="7.81640625" style="28" customWidth="1"/>
    <col min="4099" max="4100" width="8.81640625" style="28" customWidth="1"/>
    <col min="4101" max="4101" width="10.81640625" style="28" customWidth="1"/>
    <col min="4102" max="4102" width="8.81640625" style="28" customWidth="1"/>
    <col min="4103" max="4103" width="7.81640625" style="28" customWidth="1"/>
    <col min="4104" max="4104" width="8.81640625" style="28" customWidth="1"/>
    <col min="4105" max="4105" width="2.81640625" style="28" customWidth="1"/>
    <col min="4106" max="4106" width="1.81640625" style="28" customWidth="1"/>
    <col min="4107" max="4348" width="11.1796875" style="28"/>
    <col min="4349" max="4349" width="1.81640625" style="28" customWidth="1"/>
    <col min="4350" max="4351" width="3.81640625" style="28" customWidth="1"/>
    <col min="4352" max="4352" width="11.81640625" style="28" customWidth="1"/>
    <col min="4353" max="4354" width="7.81640625" style="28" customWidth="1"/>
    <col min="4355" max="4356" width="8.81640625" style="28" customWidth="1"/>
    <col min="4357" max="4357" width="10.81640625" style="28" customWidth="1"/>
    <col min="4358" max="4358" width="8.81640625" style="28" customWidth="1"/>
    <col min="4359" max="4359" width="7.81640625" style="28" customWidth="1"/>
    <col min="4360" max="4360" width="8.81640625" style="28" customWidth="1"/>
    <col min="4361" max="4361" width="2.81640625" style="28" customWidth="1"/>
    <col min="4362" max="4362" width="1.81640625" style="28" customWidth="1"/>
    <col min="4363" max="4604" width="11.1796875" style="28"/>
    <col min="4605" max="4605" width="1.81640625" style="28" customWidth="1"/>
    <col min="4606" max="4607" width="3.81640625" style="28" customWidth="1"/>
    <col min="4608" max="4608" width="11.81640625" style="28" customWidth="1"/>
    <col min="4609" max="4610" width="7.81640625" style="28" customWidth="1"/>
    <col min="4611" max="4612" width="8.81640625" style="28" customWidth="1"/>
    <col min="4613" max="4613" width="10.81640625" style="28" customWidth="1"/>
    <col min="4614" max="4614" width="8.81640625" style="28" customWidth="1"/>
    <col min="4615" max="4615" width="7.81640625" style="28" customWidth="1"/>
    <col min="4616" max="4616" width="8.81640625" style="28" customWidth="1"/>
    <col min="4617" max="4617" width="2.81640625" style="28" customWidth="1"/>
    <col min="4618" max="4618" width="1.81640625" style="28" customWidth="1"/>
    <col min="4619" max="4860" width="11.1796875" style="28"/>
    <col min="4861" max="4861" width="1.81640625" style="28" customWidth="1"/>
    <col min="4862" max="4863" width="3.81640625" style="28" customWidth="1"/>
    <col min="4864" max="4864" width="11.81640625" style="28" customWidth="1"/>
    <col min="4865" max="4866" width="7.81640625" style="28" customWidth="1"/>
    <col min="4867" max="4868" width="8.81640625" style="28" customWidth="1"/>
    <col min="4869" max="4869" width="10.81640625" style="28" customWidth="1"/>
    <col min="4870" max="4870" width="8.81640625" style="28" customWidth="1"/>
    <col min="4871" max="4871" width="7.81640625" style="28" customWidth="1"/>
    <col min="4872" max="4872" width="8.81640625" style="28" customWidth="1"/>
    <col min="4873" max="4873" width="2.81640625" style="28" customWidth="1"/>
    <col min="4874" max="4874" width="1.81640625" style="28" customWidth="1"/>
    <col min="4875" max="5116" width="11.1796875" style="28"/>
    <col min="5117" max="5117" width="1.81640625" style="28" customWidth="1"/>
    <col min="5118" max="5119" width="3.81640625" style="28" customWidth="1"/>
    <col min="5120" max="5120" width="11.81640625" style="28" customWidth="1"/>
    <col min="5121" max="5122" width="7.81640625" style="28" customWidth="1"/>
    <col min="5123" max="5124" width="8.81640625" style="28" customWidth="1"/>
    <col min="5125" max="5125" width="10.81640625" style="28" customWidth="1"/>
    <col min="5126" max="5126" width="8.81640625" style="28" customWidth="1"/>
    <col min="5127" max="5127" width="7.81640625" style="28" customWidth="1"/>
    <col min="5128" max="5128" width="8.81640625" style="28" customWidth="1"/>
    <col min="5129" max="5129" width="2.81640625" style="28" customWidth="1"/>
    <col min="5130" max="5130" width="1.81640625" style="28" customWidth="1"/>
    <col min="5131" max="5372" width="11.1796875" style="28"/>
    <col min="5373" max="5373" width="1.81640625" style="28" customWidth="1"/>
    <col min="5374" max="5375" width="3.81640625" style="28" customWidth="1"/>
    <col min="5376" max="5376" width="11.81640625" style="28" customWidth="1"/>
    <col min="5377" max="5378" width="7.81640625" style="28" customWidth="1"/>
    <col min="5379" max="5380" width="8.81640625" style="28" customWidth="1"/>
    <col min="5381" max="5381" width="10.81640625" style="28" customWidth="1"/>
    <col min="5382" max="5382" width="8.81640625" style="28" customWidth="1"/>
    <col min="5383" max="5383" width="7.81640625" style="28" customWidth="1"/>
    <col min="5384" max="5384" width="8.81640625" style="28" customWidth="1"/>
    <col min="5385" max="5385" width="2.81640625" style="28" customWidth="1"/>
    <col min="5386" max="5386" width="1.81640625" style="28" customWidth="1"/>
    <col min="5387" max="5628" width="11.1796875" style="28"/>
    <col min="5629" max="5629" width="1.81640625" style="28" customWidth="1"/>
    <col min="5630" max="5631" width="3.81640625" style="28" customWidth="1"/>
    <col min="5632" max="5632" width="11.81640625" style="28" customWidth="1"/>
    <col min="5633" max="5634" width="7.81640625" style="28" customWidth="1"/>
    <col min="5635" max="5636" width="8.81640625" style="28" customWidth="1"/>
    <col min="5637" max="5637" width="10.81640625" style="28" customWidth="1"/>
    <col min="5638" max="5638" width="8.81640625" style="28" customWidth="1"/>
    <col min="5639" max="5639" width="7.81640625" style="28" customWidth="1"/>
    <col min="5640" max="5640" width="8.81640625" style="28" customWidth="1"/>
    <col min="5641" max="5641" width="2.81640625" style="28" customWidth="1"/>
    <col min="5642" max="5642" width="1.81640625" style="28" customWidth="1"/>
    <col min="5643" max="5884" width="11.1796875" style="28"/>
    <col min="5885" max="5885" width="1.81640625" style="28" customWidth="1"/>
    <col min="5886" max="5887" width="3.81640625" style="28" customWidth="1"/>
    <col min="5888" max="5888" width="11.81640625" style="28" customWidth="1"/>
    <col min="5889" max="5890" width="7.81640625" style="28" customWidth="1"/>
    <col min="5891" max="5892" width="8.81640625" style="28" customWidth="1"/>
    <col min="5893" max="5893" width="10.81640625" style="28" customWidth="1"/>
    <col min="5894" max="5894" width="8.81640625" style="28" customWidth="1"/>
    <col min="5895" max="5895" width="7.81640625" style="28" customWidth="1"/>
    <col min="5896" max="5896" width="8.81640625" style="28" customWidth="1"/>
    <col min="5897" max="5897" width="2.81640625" style="28" customWidth="1"/>
    <col min="5898" max="5898" width="1.81640625" style="28" customWidth="1"/>
    <col min="5899" max="6140" width="11.1796875" style="28"/>
    <col min="6141" max="6141" width="1.81640625" style="28" customWidth="1"/>
    <col min="6142" max="6143" width="3.81640625" style="28" customWidth="1"/>
    <col min="6144" max="6144" width="11.81640625" style="28" customWidth="1"/>
    <col min="6145" max="6146" width="7.81640625" style="28" customWidth="1"/>
    <col min="6147" max="6148" width="8.81640625" style="28" customWidth="1"/>
    <col min="6149" max="6149" width="10.81640625" style="28" customWidth="1"/>
    <col min="6150" max="6150" width="8.81640625" style="28" customWidth="1"/>
    <col min="6151" max="6151" width="7.81640625" style="28" customWidth="1"/>
    <col min="6152" max="6152" width="8.81640625" style="28" customWidth="1"/>
    <col min="6153" max="6153" width="2.81640625" style="28" customWidth="1"/>
    <col min="6154" max="6154" width="1.81640625" style="28" customWidth="1"/>
    <col min="6155" max="6396" width="11.1796875" style="28"/>
    <col min="6397" max="6397" width="1.81640625" style="28" customWidth="1"/>
    <col min="6398" max="6399" width="3.81640625" style="28" customWidth="1"/>
    <col min="6400" max="6400" width="11.81640625" style="28" customWidth="1"/>
    <col min="6401" max="6402" width="7.81640625" style="28" customWidth="1"/>
    <col min="6403" max="6404" width="8.81640625" style="28" customWidth="1"/>
    <col min="6405" max="6405" width="10.81640625" style="28" customWidth="1"/>
    <col min="6406" max="6406" width="8.81640625" style="28" customWidth="1"/>
    <col min="6407" max="6407" width="7.81640625" style="28" customWidth="1"/>
    <col min="6408" max="6408" width="8.81640625" style="28" customWidth="1"/>
    <col min="6409" max="6409" width="2.81640625" style="28" customWidth="1"/>
    <col min="6410" max="6410" width="1.81640625" style="28" customWidth="1"/>
    <col min="6411" max="6652" width="11.1796875" style="28"/>
    <col min="6653" max="6653" width="1.81640625" style="28" customWidth="1"/>
    <col min="6654" max="6655" width="3.81640625" style="28" customWidth="1"/>
    <col min="6656" max="6656" width="11.81640625" style="28" customWidth="1"/>
    <col min="6657" max="6658" width="7.81640625" style="28" customWidth="1"/>
    <col min="6659" max="6660" width="8.81640625" style="28" customWidth="1"/>
    <col min="6661" max="6661" width="10.81640625" style="28" customWidth="1"/>
    <col min="6662" max="6662" width="8.81640625" style="28" customWidth="1"/>
    <col min="6663" max="6663" width="7.81640625" style="28" customWidth="1"/>
    <col min="6664" max="6664" width="8.81640625" style="28" customWidth="1"/>
    <col min="6665" max="6665" width="2.81640625" style="28" customWidth="1"/>
    <col min="6666" max="6666" width="1.81640625" style="28" customWidth="1"/>
    <col min="6667" max="6908" width="11.1796875" style="28"/>
    <col min="6909" max="6909" width="1.81640625" style="28" customWidth="1"/>
    <col min="6910" max="6911" width="3.81640625" style="28" customWidth="1"/>
    <col min="6912" max="6912" width="11.81640625" style="28" customWidth="1"/>
    <col min="6913" max="6914" width="7.81640625" style="28" customWidth="1"/>
    <col min="6915" max="6916" width="8.81640625" style="28" customWidth="1"/>
    <col min="6917" max="6917" width="10.81640625" style="28" customWidth="1"/>
    <col min="6918" max="6918" width="8.81640625" style="28" customWidth="1"/>
    <col min="6919" max="6919" width="7.81640625" style="28" customWidth="1"/>
    <col min="6920" max="6920" width="8.81640625" style="28" customWidth="1"/>
    <col min="6921" max="6921" width="2.81640625" style="28" customWidth="1"/>
    <col min="6922" max="6922" width="1.81640625" style="28" customWidth="1"/>
    <col min="6923" max="7164" width="11.1796875" style="28"/>
    <col min="7165" max="7165" width="1.81640625" style="28" customWidth="1"/>
    <col min="7166" max="7167" width="3.81640625" style="28" customWidth="1"/>
    <col min="7168" max="7168" width="11.81640625" style="28" customWidth="1"/>
    <col min="7169" max="7170" width="7.81640625" style="28" customWidth="1"/>
    <col min="7171" max="7172" width="8.81640625" style="28" customWidth="1"/>
    <col min="7173" max="7173" width="10.81640625" style="28" customWidth="1"/>
    <col min="7174" max="7174" width="8.81640625" style="28" customWidth="1"/>
    <col min="7175" max="7175" width="7.81640625" style="28" customWidth="1"/>
    <col min="7176" max="7176" width="8.81640625" style="28" customWidth="1"/>
    <col min="7177" max="7177" width="2.81640625" style="28" customWidth="1"/>
    <col min="7178" max="7178" width="1.81640625" style="28" customWidth="1"/>
    <col min="7179" max="7420" width="11.1796875" style="28"/>
    <col min="7421" max="7421" width="1.81640625" style="28" customWidth="1"/>
    <col min="7422" max="7423" width="3.81640625" style="28" customWidth="1"/>
    <col min="7424" max="7424" width="11.81640625" style="28" customWidth="1"/>
    <col min="7425" max="7426" width="7.81640625" style="28" customWidth="1"/>
    <col min="7427" max="7428" width="8.81640625" style="28" customWidth="1"/>
    <col min="7429" max="7429" width="10.81640625" style="28" customWidth="1"/>
    <col min="7430" max="7430" width="8.81640625" style="28" customWidth="1"/>
    <col min="7431" max="7431" width="7.81640625" style="28" customWidth="1"/>
    <col min="7432" max="7432" width="8.81640625" style="28" customWidth="1"/>
    <col min="7433" max="7433" width="2.81640625" style="28" customWidth="1"/>
    <col min="7434" max="7434" width="1.81640625" style="28" customWidth="1"/>
    <col min="7435" max="7676" width="11.1796875" style="28"/>
    <col min="7677" max="7677" width="1.81640625" style="28" customWidth="1"/>
    <col min="7678" max="7679" width="3.81640625" style="28" customWidth="1"/>
    <col min="7680" max="7680" width="11.81640625" style="28" customWidth="1"/>
    <col min="7681" max="7682" width="7.81640625" style="28" customWidth="1"/>
    <col min="7683" max="7684" width="8.81640625" style="28" customWidth="1"/>
    <col min="7685" max="7685" width="10.81640625" style="28" customWidth="1"/>
    <col min="7686" max="7686" width="8.81640625" style="28" customWidth="1"/>
    <col min="7687" max="7687" width="7.81640625" style="28" customWidth="1"/>
    <col min="7688" max="7688" width="8.81640625" style="28" customWidth="1"/>
    <col min="7689" max="7689" width="2.81640625" style="28" customWidth="1"/>
    <col min="7690" max="7690" width="1.81640625" style="28" customWidth="1"/>
    <col min="7691" max="7932" width="11.1796875" style="28"/>
    <col min="7933" max="7933" width="1.81640625" style="28" customWidth="1"/>
    <col min="7934" max="7935" width="3.81640625" style="28" customWidth="1"/>
    <col min="7936" max="7936" width="11.81640625" style="28" customWidth="1"/>
    <col min="7937" max="7938" width="7.81640625" style="28" customWidth="1"/>
    <col min="7939" max="7940" width="8.81640625" style="28" customWidth="1"/>
    <col min="7941" max="7941" width="10.81640625" style="28" customWidth="1"/>
    <col min="7942" max="7942" width="8.81640625" style="28" customWidth="1"/>
    <col min="7943" max="7943" width="7.81640625" style="28" customWidth="1"/>
    <col min="7944" max="7944" width="8.81640625" style="28" customWidth="1"/>
    <col min="7945" max="7945" width="2.81640625" style="28" customWidth="1"/>
    <col min="7946" max="7946" width="1.81640625" style="28" customWidth="1"/>
    <col min="7947" max="8188" width="11.1796875" style="28"/>
    <col min="8189" max="8189" width="1.81640625" style="28" customWidth="1"/>
    <col min="8190" max="8191" width="3.81640625" style="28" customWidth="1"/>
    <col min="8192" max="8192" width="11.81640625" style="28" customWidth="1"/>
    <col min="8193" max="8194" width="7.81640625" style="28" customWidth="1"/>
    <col min="8195" max="8196" width="8.81640625" style="28" customWidth="1"/>
    <col min="8197" max="8197" width="10.81640625" style="28" customWidth="1"/>
    <col min="8198" max="8198" width="8.81640625" style="28" customWidth="1"/>
    <col min="8199" max="8199" width="7.81640625" style="28" customWidth="1"/>
    <col min="8200" max="8200" width="8.81640625" style="28" customWidth="1"/>
    <col min="8201" max="8201" width="2.81640625" style="28" customWidth="1"/>
    <col min="8202" max="8202" width="1.81640625" style="28" customWidth="1"/>
    <col min="8203" max="8444" width="11.1796875" style="28"/>
    <col min="8445" max="8445" width="1.81640625" style="28" customWidth="1"/>
    <col min="8446" max="8447" width="3.81640625" style="28" customWidth="1"/>
    <col min="8448" max="8448" width="11.81640625" style="28" customWidth="1"/>
    <col min="8449" max="8450" width="7.81640625" style="28" customWidth="1"/>
    <col min="8451" max="8452" width="8.81640625" style="28" customWidth="1"/>
    <col min="8453" max="8453" width="10.81640625" style="28" customWidth="1"/>
    <col min="8454" max="8454" width="8.81640625" style="28" customWidth="1"/>
    <col min="8455" max="8455" width="7.81640625" style="28" customWidth="1"/>
    <col min="8456" max="8456" width="8.81640625" style="28" customWidth="1"/>
    <col min="8457" max="8457" width="2.81640625" style="28" customWidth="1"/>
    <col min="8458" max="8458" width="1.81640625" style="28" customWidth="1"/>
    <col min="8459" max="8700" width="11.1796875" style="28"/>
    <col min="8701" max="8701" width="1.81640625" style="28" customWidth="1"/>
    <col min="8702" max="8703" width="3.81640625" style="28" customWidth="1"/>
    <col min="8704" max="8704" width="11.81640625" style="28" customWidth="1"/>
    <col min="8705" max="8706" width="7.81640625" style="28" customWidth="1"/>
    <col min="8707" max="8708" width="8.81640625" style="28" customWidth="1"/>
    <col min="8709" max="8709" width="10.81640625" style="28" customWidth="1"/>
    <col min="8710" max="8710" width="8.81640625" style="28" customWidth="1"/>
    <col min="8711" max="8711" width="7.81640625" style="28" customWidth="1"/>
    <col min="8712" max="8712" width="8.81640625" style="28" customWidth="1"/>
    <col min="8713" max="8713" width="2.81640625" style="28" customWidth="1"/>
    <col min="8714" max="8714" width="1.81640625" style="28" customWidth="1"/>
    <col min="8715" max="8956" width="11.1796875" style="28"/>
    <col min="8957" max="8957" width="1.81640625" style="28" customWidth="1"/>
    <col min="8958" max="8959" width="3.81640625" style="28" customWidth="1"/>
    <col min="8960" max="8960" width="11.81640625" style="28" customWidth="1"/>
    <col min="8961" max="8962" width="7.81640625" style="28" customWidth="1"/>
    <col min="8963" max="8964" width="8.81640625" style="28" customWidth="1"/>
    <col min="8965" max="8965" width="10.81640625" style="28" customWidth="1"/>
    <col min="8966" max="8966" width="8.81640625" style="28" customWidth="1"/>
    <col min="8967" max="8967" width="7.81640625" style="28" customWidth="1"/>
    <col min="8968" max="8968" width="8.81640625" style="28" customWidth="1"/>
    <col min="8969" max="8969" width="2.81640625" style="28" customWidth="1"/>
    <col min="8970" max="8970" width="1.81640625" style="28" customWidth="1"/>
    <col min="8971" max="9212" width="11.1796875" style="28"/>
    <col min="9213" max="9213" width="1.81640625" style="28" customWidth="1"/>
    <col min="9214" max="9215" width="3.81640625" style="28" customWidth="1"/>
    <col min="9216" max="9216" width="11.81640625" style="28" customWidth="1"/>
    <col min="9217" max="9218" width="7.81640625" style="28" customWidth="1"/>
    <col min="9219" max="9220" width="8.81640625" style="28" customWidth="1"/>
    <col min="9221" max="9221" width="10.81640625" style="28" customWidth="1"/>
    <col min="9222" max="9222" width="8.81640625" style="28" customWidth="1"/>
    <col min="9223" max="9223" width="7.81640625" style="28" customWidth="1"/>
    <col min="9224" max="9224" width="8.81640625" style="28" customWidth="1"/>
    <col min="9225" max="9225" width="2.81640625" style="28" customWidth="1"/>
    <col min="9226" max="9226" width="1.81640625" style="28" customWidth="1"/>
    <col min="9227" max="9468" width="11.1796875" style="28"/>
    <col min="9469" max="9469" width="1.81640625" style="28" customWidth="1"/>
    <col min="9470" max="9471" width="3.81640625" style="28" customWidth="1"/>
    <col min="9472" max="9472" width="11.81640625" style="28" customWidth="1"/>
    <col min="9473" max="9474" width="7.81640625" style="28" customWidth="1"/>
    <col min="9475" max="9476" width="8.81640625" style="28" customWidth="1"/>
    <col min="9477" max="9477" width="10.81640625" style="28" customWidth="1"/>
    <col min="9478" max="9478" width="8.81640625" style="28" customWidth="1"/>
    <col min="9479" max="9479" width="7.81640625" style="28" customWidth="1"/>
    <col min="9480" max="9480" width="8.81640625" style="28" customWidth="1"/>
    <col min="9481" max="9481" width="2.81640625" style="28" customWidth="1"/>
    <col min="9482" max="9482" width="1.81640625" style="28" customWidth="1"/>
    <col min="9483" max="9724" width="11.1796875" style="28"/>
    <col min="9725" max="9725" width="1.81640625" style="28" customWidth="1"/>
    <col min="9726" max="9727" width="3.81640625" style="28" customWidth="1"/>
    <col min="9728" max="9728" width="11.81640625" style="28" customWidth="1"/>
    <col min="9729" max="9730" width="7.81640625" style="28" customWidth="1"/>
    <col min="9731" max="9732" width="8.81640625" style="28" customWidth="1"/>
    <col min="9733" max="9733" width="10.81640625" style="28" customWidth="1"/>
    <col min="9734" max="9734" width="8.81640625" style="28" customWidth="1"/>
    <col min="9735" max="9735" width="7.81640625" style="28" customWidth="1"/>
    <col min="9736" max="9736" width="8.81640625" style="28" customWidth="1"/>
    <col min="9737" max="9737" width="2.81640625" style="28" customWidth="1"/>
    <col min="9738" max="9738" width="1.81640625" style="28" customWidth="1"/>
    <col min="9739" max="9980" width="11.1796875" style="28"/>
    <col min="9981" max="9981" width="1.81640625" style="28" customWidth="1"/>
    <col min="9982" max="9983" width="3.81640625" style="28" customWidth="1"/>
    <col min="9984" max="9984" width="11.81640625" style="28" customWidth="1"/>
    <col min="9985" max="9986" width="7.81640625" style="28" customWidth="1"/>
    <col min="9987" max="9988" width="8.81640625" style="28" customWidth="1"/>
    <col min="9989" max="9989" width="10.81640625" style="28" customWidth="1"/>
    <col min="9990" max="9990" width="8.81640625" style="28" customWidth="1"/>
    <col min="9991" max="9991" width="7.81640625" style="28" customWidth="1"/>
    <col min="9992" max="9992" width="8.81640625" style="28" customWidth="1"/>
    <col min="9993" max="9993" width="2.81640625" style="28" customWidth="1"/>
    <col min="9994" max="9994" width="1.81640625" style="28" customWidth="1"/>
    <col min="9995" max="10236" width="11.1796875" style="28"/>
    <col min="10237" max="10237" width="1.81640625" style="28" customWidth="1"/>
    <col min="10238" max="10239" width="3.81640625" style="28" customWidth="1"/>
    <col min="10240" max="10240" width="11.81640625" style="28" customWidth="1"/>
    <col min="10241" max="10242" width="7.81640625" style="28" customWidth="1"/>
    <col min="10243" max="10244" width="8.81640625" style="28" customWidth="1"/>
    <col min="10245" max="10245" width="10.81640625" style="28" customWidth="1"/>
    <col min="10246" max="10246" width="8.81640625" style="28" customWidth="1"/>
    <col min="10247" max="10247" width="7.81640625" style="28" customWidth="1"/>
    <col min="10248" max="10248" width="8.81640625" style="28" customWidth="1"/>
    <col min="10249" max="10249" width="2.81640625" style="28" customWidth="1"/>
    <col min="10250" max="10250" width="1.81640625" style="28" customWidth="1"/>
    <col min="10251" max="10492" width="11.1796875" style="28"/>
    <col min="10493" max="10493" width="1.81640625" style="28" customWidth="1"/>
    <col min="10494" max="10495" width="3.81640625" style="28" customWidth="1"/>
    <col min="10496" max="10496" width="11.81640625" style="28" customWidth="1"/>
    <col min="10497" max="10498" width="7.81640625" style="28" customWidth="1"/>
    <col min="10499" max="10500" width="8.81640625" style="28" customWidth="1"/>
    <col min="10501" max="10501" width="10.81640625" style="28" customWidth="1"/>
    <col min="10502" max="10502" width="8.81640625" style="28" customWidth="1"/>
    <col min="10503" max="10503" width="7.81640625" style="28" customWidth="1"/>
    <col min="10504" max="10504" width="8.81640625" style="28" customWidth="1"/>
    <col min="10505" max="10505" width="2.81640625" style="28" customWidth="1"/>
    <col min="10506" max="10506" width="1.81640625" style="28" customWidth="1"/>
    <col min="10507" max="10748" width="11.1796875" style="28"/>
    <col min="10749" max="10749" width="1.81640625" style="28" customWidth="1"/>
    <col min="10750" max="10751" width="3.81640625" style="28" customWidth="1"/>
    <col min="10752" max="10752" width="11.81640625" style="28" customWidth="1"/>
    <col min="10753" max="10754" width="7.81640625" style="28" customWidth="1"/>
    <col min="10755" max="10756" width="8.81640625" style="28" customWidth="1"/>
    <col min="10757" max="10757" width="10.81640625" style="28" customWidth="1"/>
    <col min="10758" max="10758" width="8.81640625" style="28" customWidth="1"/>
    <col min="10759" max="10759" width="7.81640625" style="28" customWidth="1"/>
    <col min="10760" max="10760" width="8.81640625" style="28" customWidth="1"/>
    <col min="10761" max="10761" width="2.81640625" style="28" customWidth="1"/>
    <col min="10762" max="10762" width="1.81640625" style="28" customWidth="1"/>
    <col min="10763" max="11004" width="11.1796875" style="28"/>
    <col min="11005" max="11005" width="1.81640625" style="28" customWidth="1"/>
    <col min="11006" max="11007" width="3.81640625" style="28" customWidth="1"/>
    <col min="11008" max="11008" width="11.81640625" style="28" customWidth="1"/>
    <col min="11009" max="11010" width="7.81640625" style="28" customWidth="1"/>
    <col min="11011" max="11012" width="8.81640625" style="28" customWidth="1"/>
    <col min="11013" max="11013" width="10.81640625" style="28" customWidth="1"/>
    <col min="11014" max="11014" width="8.81640625" style="28" customWidth="1"/>
    <col min="11015" max="11015" width="7.81640625" style="28" customWidth="1"/>
    <col min="11016" max="11016" width="8.81640625" style="28" customWidth="1"/>
    <col min="11017" max="11017" width="2.81640625" style="28" customWidth="1"/>
    <col min="11018" max="11018" width="1.81640625" style="28" customWidth="1"/>
    <col min="11019" max="11260" width="11.1796875" style="28"/>
    <col min="11261" max="11261" width="1.81640625" style="28" customWidth="1"/>
    <col min="11262" max="11263" width="3.81640625" style="28" customWidth="1"/>
    <col min="11264" max="11264" width="11.81640625" style="28" customWidth="1"/>
    <col min="11265" max="11266" width="7.81640625" style="28" customWidth="1"/>
    <col min="11267" max="11268" width="8.81640625" style="28" customWidth="1"/>
    <col min="11269" max="11269" width="10.81640625" style="28" customWidth="1"/>
    <col min="11270" max="11270" width="8.81640625" style="28" customWidth="1"/>
    <col min="11271" max="11271" width="7.81640625" style="28" customWidth="1"/>
    <col min="11272" max="11272" width="8.81640625" style="28" customWidth="1"/>
    <col min="11273" max="11273" width="2.81640625" style="28" customWidth="1"/>
    <col min="11274" max="11274" width="1.81640625" style="28" customWidth="1"/>
    <col min="11275" max="11516" width="11.1796875" style="28"/>
    <col min="11517" max="11517" width="1.81640625" style="28" customWidth="1"/>
    <col min="11518" max="11519" width="3.81640625" style="28" customWidth="1"/>
    <col min="11520" max="11520" width="11.81640625" style="28" customWidth="1"/>
    <col min="11521" max="11522" width="7.81640625" style="28" customWidth="1"/>
    <col min="11523" max="11524" width="8.81640625" style="28" customWidth="1"/>
    <col min="11525" max="11525" width="10.81640625" style="28" customWidth="1"/>
    <col min="11526" max="11526" width="8.81640625" style="28" customWidth="1"/>
    <col min="11527" max="11527" width="7.81640625" style="28" customWidth="1"/>
    <col min="11528" max="11528" width="8.81640625" style="28" customWidth="1"/>
    <col min="11529" max="11529" width="2.81640625" style="28" customWidth="1"/>
    <col min="11530" max="11530" width="1.81640625" style="28" customWidth="1"/>
    <col min="11531" max="11772" width="11.1796875" style="28"/>
    <col min="11773" max="11773" width="1.81640625" style="28" customWidth="1"/>
    <col min="11774" max="11775" width="3.81640625" style="28" customWidth="1"/>
    <col min="11776" max="11776" width="11.81640625" style="28" customWidth="1"/>
    <col min="11777" max="11778" width="7.81640625" style="28" customWidth="1"/>
    <col min="11779" max="11780" width="8.81640625" style="28" customWidth="1"/>
    <col min="11781" max="11781" width="10.81640625" style="28" customWidth="1"/>
    <col min="11782" max="11782" width="8.81640625" style="28" customWidth="1"/>
    <col min="11783" max="11783" width="7.81640625" style="28" customWidth="1"/>
    <col min="11784" max="11784" width="8.81640625" style="28" customWidth="1"/>
    <col min="11785" max="11785" width="2.81640625" style="28" customWidth="1"/>
    <col min="11786" max="11786" width="1.81640625" style="28" customWidth="1"/>
    <col min="11787" max="12028" width="11.1796875" style="28"/>
    <col min="12029" max="12029" width="1.81640625" style="28" customWidth="1"/>
    <col min="12030" max="12031" width="3.81640625" style="28" customWidth="1"/>
    <col min="12032" max="12032" width="11.81640625" style="28" customWidth="1"/>
    <col min="12033" max="12034" width="7.81640625" style="28" customWidth="1"/>
    <col min="12035" max="12036" width="8.81640625" style="28" customWidth="1"/>
    <col min="12037" max="12037" width="10.81640625" style="28" customWidth="1"/>
    <col min="12038" max="12038" width="8.81640625" style="28" customWidth="1"/>
    <col min="12039" max="12039" width="7.81640625" style="28" customWidth="1"/>
    <col min="12040" max="12040" width="8.81640625" style="28" customWidth="1"/>
    <col min="12041" max="12041" width="2.81640625" style="28" customWidth="1"/>
    <col min="12042" max="12042" width="1.81640625" style="28" customWidth="1"/>
    <col min="12043" max="12284" width="11.1796875" style="28"/>
    <col min="12285" max="12285" width="1.81640625" style="28" customWidth="1"/>
    <col min="12286" max="12287" width="3.81640625" style="28" customWidth="1"/>
    <col min="12288" max="12288" width="11.81640625" style="28" customWidth="1"/>
    <col min="12289" max="12290" width="7.81640625" style="28" customWidth="1"/>
    <col min="12291" max="12292" width="8.81640625" style="28" customWidth="1"/>
    <col min="12293" max="12293" width="10.81640625" style="28" customWidth="1"/>
    <col min="12294" max="12294" width="8.81640625" style="28" customWidth="1"/>
    <col min="12295" max="12295" width="7.81640625" style="28" customWidth="1"/>
    <col min="12296" max="12296" width="8.81640625" style="28" customWidth="1"/>
    <col min="12297" max="12297" width="2.81640625" style="28" customWidth="1"/>
    <col min="12298" max="12298" width="1.81640625" style="28" customWidth="1"/>
    <col min="12299" max="12540" width="11.1796875" style="28"/>
    <col min="12541" max="12541" width="1.81640625" style="28" customWidth="1"/>
    <col min="12542" max="12543" width="3.81640625" style="28" customWidth="1"/>
    <col min="12544" max="12544" width="11.81640625" style="28" customWidth="1"/>
    <col min="12545" max="12546" width="7.81640625" style="28" customWidth="1"/>
    <col min="12547" max="12548" width="8.81640625" style="28" customWidth="1"/>
    <col min="12549" max="12549" width="10.81640625" style="28" customWidth="1"/>
    <col min="12550" max="12550" width="8.81640625" style="28" customWidth="1"/>
    <col min="12551" max="12551" width="7.81640625" style="28" customWidth="1"/>
    <col min="12552" max="12552" width="8.81640625" style="28" customWidth="1"/>
    <col min="12553" max="12553" width="2.81640625" style="28" customWidth="1"/>
    <col min="12554" max="12554" width="1.81640625" style="28" customWidth="1"/>
    <col min="12555" max="12796" width="11.1796875" style="28"/>
    <col min="12797" max="12797" width="1.81640625" style="28" customWidth="1"/>
    <col min="12798" max="12799" width="3.81640625" style="28" customWidth="1"/>
    <col min="12800" max="12800" width="11.81640625" style="28" customWidth="1"/>
    <col min="12801" max="12802" width="7.81640625" style="28" customWidth="1"/>
    <col min="12803" max="12804" width="8.81640625" style="28" customWidth="1"/>
    <col min="12805" max="12805" width="10.81640625" style="28" customWidth="1"/>
    <col min="12806" max="12806" width="8.81640625" style="28" customWidth="1"/>
    <col min="12807" max="12807" width="7.81640625" style="28" customWidth="1"/>
    <col min="12808" max="12808" width="8.81640625" style="28" customWidth="1"/>
    <col min="12809" max="12809" width="2.81640625" style="28" customWidth="1"/>
    <col min="12810" max="12810" width="1.81640625" style="28" customWidth="1"/>
    <col min="12811" max="13052" width="11.1796875" style="28"/>
    <col min="13053" max="13053" width="1.81640625" style="28" customWidth="1"/>
    <col min="13054" max="13055" width="3.81640625" style="28" customWidth="1"/>
    <col min="13056" max="13056" width="11.81640625" style="28" customWidth="1"/>
    <col min="13057" max="13058" width="7.81640625" style="28" customWidth="1"/>
    <col min="13059" max="13060" width="8.81640625" style="28" customWidth="1"/>
    <col min="13061" max="13061" width="10.81640625" style="28" customWidth="1"/>
    <col min="13062" max="13062" width="8.81640625" style="28" customWidth="1"/>
    <col min="13063" max="13063" width="7.81640625" style="28" customWidth="1"/>
    <col min="13064" max="13064" width="8.81640625" style="28" customWidth="1"/>
    <col min="13065" max="13065" width="2.81640625" style="28" customWidth="1"/>
    <col min="13066" max="13066" width="1.81640625" style="28" customWidth="1"/>
    <col min="13067" max="13308" width="11.1796875" style="28"/>
    <col min="13309" max="13309" width="1.81640625" style="28" customWidth="1"/>
    <col min="13310" max="13311" width="3.81640625" style="28" customWidth="1"/>
    <col min="13312" max="13312" width="11.81640625" style="28" customWidth="1"/>
    <col min="13313" max="13314" width="7.81640625" style="28" customWidth="1"/>
    <col min="13315" max="13316" width="8.81640625" style="28" customWidth="1"/>
    <col min="13317" max="13317" width="10.81640625" style="28" customWidth="1"/>
    <col min="13318" max="13318" width="8.81640625" style="28" customWidth="1"/>
    <col min="13319" max="13319" width="7.81640625" style="28" customWidth="1"/>
    <col min="13320" max="13320" width="8.81640625" style="28" customWidth="1"/>
    <col min="13321" max="13321" width="2.81640625" style="28" customWidth="1"/>
    <col min="13322" max="13322" width="1.81640625" style="28" customWidth="1"/>
    <col min="13323" max="13564" width="11.1796875" style="28"/>
    <col min="13565" max="13565" width="1.81640625" style="28" customWidth="1"/>
    <col min="13566" max="13567" width="3.81640625" style="28" customWidth="1"/>
    <col min="13568" max="13568" width="11.81640625" style="28" customWidth="1"/>
    <col min="13569" max="13570" width="7.81640625" style="28" customWidth="1"/>
    <col min="13571" max="13572" width="8.81640625" style="28" customWidth="1"/>
    <col min="13573" max="13573" width="10.81640625" style="28" customWidth="1"/>
    <col min="13574" max="13574" width="8.81640625" style="28" customWidth="1"/>
    <col min="13575" max="13575" width="7.81640625" style="28" customWidth="1"/>
    <col min="13576" max="13576" width="8.81640625" style="28" customWidth="1"/>
    <col min="13577" max="13577" width="2.81640625" style="28" customWidth="1"/>
    <col min="13578" max="13578" width="1.81640625" style="28" customWidth="1"/>
    <col min="13579" max="13820" width="11.1796875" style="28"/>
    <col min="13821" max="13821" width="1.81640625" style="28" customWidth="1"/>
    <col min="13822" max="13823" width="3.81640625" style="28" customWidth="1"/>
    <col min="13824" max="13824" width="11.81640625" style="28" customWidth="1"/>
    <col min="13825" max="13826" width="7.81640625" style="28" customWidth="1"/>
    <col min="13827" max="13828" width="8.81640625" style="28" customWidth="1"/>
    <col min="13829" max="13829" width="10.81640625" style="28" customWidth="1"/>
    <col min="13830" max="13830" width="8.81640625" style="28" customWidth="1"/>
    <col min="13831" max="13831" width="7.81640625" style="28" customWidth="1"/>
    <col min="13832" max="13832" width="8.81640625" style="28" customWidth="1"/>
    <col min="13833" max="13833" width="2.81640625" style="28" customWidth="1"/>
    <col min="13834" max="13834" width="1.81640625" style="28" customWidth="1"/>
    <col min="13835" max="14076" width="11.1796875" style="28"/>
    <col min="14077" max="14077" width="1.81640625" style="28" customWidth="1"/>
    <col min="14078" max="14079" width="3.81640625" style="28" customWidth="1"/>
    <col min="14080" max="14080" width="11.81640625" style="28" customWidth="1"/>
    <col min="14081" max="14082" width="7.81640625" style="28" customWidth="1"/>
    <col min="14083" max="14084" width="8.81640625" style="28" customWidth="1"/>
    <col min="14085" max="14085" width="10.81640625" style="28" customWidth="1"/>
    <col min="14086" max="14086" width="8.81640625" style="28" customWidth="1"/>
    <col min="14087" max="14087" width="7.81640625" style="28" customWidth="1"/>
    <col min="14088" max="14088" width="8.81640625" style="28" customWidth="1"/>
    <col min="14089" max="14089" width="2.81640625" style="28" customWidth="1"/>
    <col min="14090" max="14090" width="1.81640625" style="28" customWidth="1"/>
    <col min="14091" max="14332" width="11.1796875" style="28"/>
    <col min="14333" max="14333" width="1.81640625" style="28" customWidth="1"/>
    <col min="14334" max="14335" width="3.81640625" style="28" customWidth="1"/>
    <col min="14336" max="14336" width="11.81640625" style="28" customWidth="1"/>
    <col min="14337" max="14338" width="7.81640625" style="28" customWidth="1"/>
    <col min="14339" max="14340" width="8.81640625" style="28" customWidth="1"/>
    <col min="14341" max="14341" width="10.81640625" style="28" customWidth="1"/>
    <col min="14342" max="14342" width="8.81640625" style="28" customWidth="1"/>
    <col min="14343" max="14343" width="7.81640625" style="28" customWidth="1"/>
    <col min="14344" max="14344" width="8.81640625" style="28" customWidth="1"/>
    <col min="14345" max="14345" width="2.81640625" style="28" customWidth="1"/>
    <col min="14346" max="14346" width="1.81640625" style="28" customWidth="1"/>
    <col min="14347" max="14588" width="11.1796875" style="28"/>
    <col min="14589" max="14589" width="1.81640625" style="28" customWidth="1"/>
    <col min="14590" max="14591" width="3.81640625" style="28" customWidth="1"/>
    <col min="14592" max="14592" width="11.81640625" style="28" customWidth="1"/>
    <col min="14593" max="14594" width="7.81640625" style="28" customWidth="1"/>
    <col min="14595" max="14596" width="8.81640625" style="28" customWidth="1"/>
    <col min="14597" max="14597" width="10.81640625" style="28" customWidth="1"/>
    <col min="14598" max="14598" width="8.81640625" style="28" customWidth="1"/>
    <col min="14599" max="14599" width="7.81640625" style="28" customWidth="1"/>
    <col min="14600" max="14600" width="8.81640625" style="28" customWidth="1"/>
    <col min="14601" max="14601" width="2.81640625" style="28" customWidth="1"/>
    <col min="14602" max="14602" width="1.81640625" style="28" customWidth="1"/>
    <col min="14603" max="14844" width="11.1796875" style="28"/>
    <col min="14845" max="14845" width="1.81640625" style="28" customWidth="1"/>
    <col min="14846" max="14847" width="3.81640625" style="28" customWidth="1"/>
    <col min="14848" max="14848" width="11.81640625" style="28" customWidth="1"/>
    <col min="14849" max="14850" width="7.81640625" style="28" customWidth="1"/>
    <col min="14851" max="14852" width="8.81640625" style="28" customWidth="1"/>
    <col min="14853" max="14853" width="10.81640625" style="28" customWidth="1"/>
    <col min="14854" max="14854" width="8.81640625" style="28" customWidth="1"/>
    <col min="14855" max="14855" width="7.81640625" style="28" customWidth="1"/>
    <col min="14856" max="14856" width="8.81640625" style="28" customWidth="1"/>
    <col min="14857" max="14857" width="2.81640625" style="28" customWidth="1"/>
    <col min="14858" max="14858" width="1.81640625" style="28" customWidth="1"/>
    <col min="14859" max="15100" width="11.1796875" style="28"/>
    <col min="15101" max="15101" width="1.81640625" style="28" customWidth="1"/>
    <col min="15102" max="15103" width="3.81640625" style="28" customWidth="1"/>
    <col min="15104" max="15104" width="11.81640625" style="28" customWidth="1"/>
    <col min="15105" max="15106" width="7.81640625" style="28" customWidth="1"/>
    <col min="15107" max="15108" width="8.81640625" style="28" customWidth="1"/>
    <col min="15109" max="15109" width="10.81640625" style="28" customWidth="1"/>
    <col min="15110" max="15110" width="8.81640625" style="28" customWidth="1"/>
    <col min="15111" max="15111" width="7.81640625" style="28" customWidth="1"/>
    <col min="15112" max="15112" width="8.81640625" style="28" customWidth="1"/>
    <col min="15113" max="15113" width="2.81640625" style="28" customWidth="1"/>
    <col min="15114" max="15114" width="1.81640625" style="28" customWidth="1"/>
    <col min="15115" max="15356" width="11.1796875" style="28"/>
    <col min="15357" max="15357" width="1.81640625" style="28" customWidth="1"/>
    <col min="15358" max="15359" width="3.81640625" style="28" customWidth="1"/>
    <col min="15360" max="15360" width="11.81640625" style="28" customWidth="1"/>
    <col min="15361" max="15362" width="7.81640625" style="28" customWidth="1"/>
    <col min="15363" max="15364" width="8.81640625" style="28" customWidth="1"/>
    <col min="15365" max="15365" width="10.81640625" style="28" customWidth="1"/>
    <col min="15366" max="15366" width="8.81640625" style="28" customWidth="1"/>
    <col min="15367" max="15367" width="7.81640625" style="28" customWidth="1"/>
    <col min="15368" max="15368" width="8.81640625" style="28" customWidth="1"/>
    <col min="15369" max="15369" width="2.81640625" style="28" customWidth="1"/>
    <col min="15370" max="15370" width="1.81640625" style="28" customWidth="1"/>
    <col min="15371" max="15612" width="11.1796875" style="28"/>
    <col min="15613" max="15613" width="1.81640625" style="28" customWidth="1"/>
    <col min="15614" max="15615" width="3.81640625" style="28" customWidth="1"/>
    <col min="15616" max="15616" width="11.81640625" style="28" customWidth="1"/>
    <col min="15617" max="15618" width="7.81640625" style="28" customWidth="1"/>
    <col min="15619" max="15620" width="8.81640625" style="28" customWidth="1"/>
    <col min="15621" max="15621" width="10.81640625" style="28" customWidth="1"/>
    <col min="15622" max="15622" width="8.81640625" style="28" customWidth="1"/>
    <col min="15623" max="15623" width="7.81640625" style="28" customWidth="1"/>
    <col min="15624" max="15624" width="8.81640625" style="28" customWidth="1"/>
    <col min="15625" max="15625" width="2.81640625" style="28" customWidth="1"/>
    <col min="15626" max="15626" width="1.81640625" style="28" customWidth="1"/>
    <col min="15627" max="15868" width="11.1796875" style="28"/>
    <col min="15869" max="15869" width="1.81640625" style="28" customWidth="1"/>
    <col min="15870" max="15871" width="3.81640625" style="28" customWidth="1"/>
    <col min="15872" max="15872" width="11.81640625" style="28" customWidth="1"/>
    <col min="15873" max="15874" width="7.81640625" style="28" customWidth="1"/>
    <col min="15875" max="15876" width="8.81640625" style="28" customWidth="1"/>
    <col min="15877" max="15877" width="10.81640625" style="28" customWidth="1"/>
    <col min="15878" max="15878" width="8.81640625" style="28" customWidth="1"/>
    <col min="15879" max="15879" width="7.81640625" style="28" customWidth="1"/>
    <col min="15880" max="15880" width="8.81640625" style="28" customWidth="1"/>
    <col min="15881" max="15881" width="2.81640625" style="28" customWidth="1"/>
    <col min="15882" max="15882" width="1.81640625" style="28" customWidth="1"/>
    <col min="15883" max="16124" width="11.1796875" style="28"/>
    <col min="16125" max="16125" width="1.81640625" style="28" customWidth="1"/>
    <col min="16126" max="16127" width="3.81640625" style="28" customWidth="1"/>
    <col min="16128" max="16128" width="11.81640625" style="28" customWidth="1"/>
    <col min="16129" max="16130" width="7.81640625" style="28" customWidth="1"/>
    <col min="16131" max="16132" width="8.81640625" style="28" customWidth="1"/>
    <col min="16133" max="16133" width="10.81640625" style="28" customWidth="1"/>
    <col min="16134" max="16134" width="8.81640625" style="28" customWidth="1"/>
    <col min="16135" max="16135" width="7.81640625" style="28" customWidth="1"/>
    <col min="16136" max="16136" width="8.81640625" style="28" customWidth="1"/>
    <col min="16137" max="16137" width="2.81640625" style="28" customWidth="1"/>
    <col min="16138" max="16138" width="1.81640625" style="28" customWidth="1"/>
    <col min="16139" max="16384" width="11.1796875" style="28"/>
  </cols>
  <sheetData>
    <row r="1" spans="1:26" ht="15.6" thickBot="1"/>
    <row r="2" spans="1:26" ht="21" customHeight="1" thickTop="1">
      <c r="B2" s="29"/>
      <c r="C2" s="30"/>
      <c r="D2" s="31"/>
      <c r="E2" s="31"/>
      <c r="F2" s="31"/>
      <c r="G2" s="31"/>
      <c r="H2" s="31"/>
      <c r="I2" s="31"/>
      <c r="J2" s="30"/>
      <c r="K2" s="30"/>
      <c r="L2" s="30"/>
      <c r="M2" s="30"/>
      <c r="N2" s="30"/>
      <c r="O2" s="30"/>
      <c r="P2" s="30"/>
      <c r="Q2" s="30"/>
      <c r="R2" s="32"/>
      <c r="T2" s="246" cm="1">
        <f t="array" ref="T2">INDEX(DATA!$B$99:$B$104,$T$8)</f>
      </c>
      <c r="U2" s="246"/>
      <c r="V2" s="246">
        <f>TEXT($T$2,"[$-21]dd mmmm yyyy")</f>
      </c>
      <c r="W2" s="261">
        <f>TEXT(T2,"[$-21]dd mmmm yyyy")</f>
      </c>
    </row>
    <row r="3" spans="1:26" ht="17.399999999999999">
      <c r="B3" s="33"/>
      <c r="C3" s="34"/>
      <c r="D3" s="53"/>
      <c r="E3" s="53"/>
      <c r="F3" s="53"/>
      <c r="G3" s="53"/>
      <c r="H3" s="53"/>
      <c r="I3" s="53"/>
      <c r="J3" s="34"/>
      <c r="K3" s="34"/>
      <c r="L3" s="35"/>
      <c r="M3" s="35"/>
      <c r="N3" s="35"/>
      <c r="O3" s="35"/>
      <c r="P3" s="35"/>
      <c r="Q3" s="35"/>
      <c r="R3" s="36"/>
      <c r="T3" s="246">
        <f>TEXT($T$2,"[$-21]dddd")</f>
      </c>
      <c r="U3" s="61"/>
      <c r="V3" s="246"/>
      <c r="W3" s="61"/>
      <c r="X3" s="61"/>
      <c r="Y3" s="61"/>
      <c r="Z3" s="61"/>
    </row>
    <row r="4" spans="1:26">
      <c r="A4" s="37"/>
      <c r="B4" s="38"/>
      <c r="C4" s="39"/>
      <c r="D4" s="40"/>
      <c r="E4" s="40"/>
      <c r="F4" s="40"/>
      <c r="G4" s="40"/>
      <c r="H4" s="40"/>
      <c r="I4" s="40"/>
      <c r="J4" s="40"/>
      <c r="K4" s="37"/>
      <c r="L4" s="37"/>
      <c r="M4" s="37"/>
      <c r="N4" s="37"/>
      <c r="O4" s="37"/>
      <c r="P4" s="37"/>
      <c r="Q4" s="37"/>
      <c r="R4" s="41"/>
      <c r="S4" s="37"/>
      <c r="T4" s="246">
        <f>VLOOKUP(DAY($T$2),HELPER!$A$2:$B$100,2,0)</f>
      </c>
      <c r="U4" s="61"/>
      <c r="V4" s="246"/>
      <c r="W4" s="61"/>
      <c r="X4" s="61"/>
      <c r="Y4" s="61"/>
      <c r="Z4" s="61"/>
    </row>
    <row r="5" spans="1:26">
      <c r="A5" s="37"/>
      <c r="B5" s="38"/>
      <c r="C5" s="39"/>
      <c r="D5" s="40"/>
      <c r="E5" s="40"/>
      <c r="F5" s="40"/>
      <c r="G5" s="40"/>
      <c r="H5" s="40"/>
      <c r="I5" s="40"/>
      <c r="J5" s="40"/>
      <c r="K5" s="37"/>
      <c r="L5" s="37"/>
      <c r="M5" s="37"/>
      <c r="N5" s="37"/>
      <c r="O5" s="37"/>
      <c r="P5" s="37"/>
      <c r="Q5" s="37"/>
      <c r="R5" s="41"/>
      <c r="S5" s="37"/>
      <c r="T5" s="246">
        <f>TEXT($T$2,"[$-21]mmmm")</f>
      </c>
      <c r="U5" s="61"/>
      <c r="V5" s="61"/>
      <c r="W5" s="61"/>
      <c r="X5" s="61"/>
      <c r="Y5" s="61"/>
      <c r="Z5" s="61"/>
    </row>
    <row r="6" spans="1:26" ht="9" customHeight="1">
      <c r="A6" s="37"/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4"/>
      <c r="S6" s="37"/>
      <c r="T6" s="246">
        <f>"Dua Ribu"&amp;IF(MOD(YEAR($T$2),100)=0,""," "&amp;VLOOKUP(MOD(YEAR($T$2),100),HELPER!$A$2:$B$100,2,0))</f>
      </c>
      <c r="U6" s="61"/>
      <c r="V6" s="61"/>
      <c r="W6" s="61"/>
      <c r="X6" s="61"/>
      <c r="Y6" s="61"/>
      <c r="Z6" s="61"/>
    </row>
    <row r="7" spans="1:26" ht="15.6">
      <c r="A7" s="37"/>
      <c r="B7" s="645"/>
      <c r="C7" s="646"/>
      <c r="D7" s="646"/>
      <c r="E7" s="646"/>
      <c r="F7" s="646"/>
      <c r="G7" s="646"/>
      <c r="H7" s="646"/>
      <c r="I7" s="646"/>
      <c r="J7" s="646"/>
      <c r="K7" s="646"/>
      <c r="L7" s="646"/>
      <c r="M7" s="646"/>
      <c r="N7" s="646"/>
      <c r="O7" s="646"/>
      <c r="P7" s="646"/>
      <c r="Q7" s="646"/>
      <c r="R7" s="647"/>
      <c r="S7" s="37"/>
      <c r="T7" s="468" t="s">
        <v>51</v>
      </c>
      <c r="U7" s="61"/>
      <c r="V7" s="61"/>
      <c r="W7" s="61"/>
      <c r="X7" s="61"/>
      <c r="Y7" s="61"/>
      <c r="Z7" s="61"/>
    </row>
    <row r="8" spans="1:26">
      <c r="A8" s="37"/>
      <c r="B8" s="429"/>
      <c r="C8" s="430"/>
      <c r="D8" s="430"/>
      <c r="E8" s="430"/>
      <c r="F8" s="430"/>
      <c r="G8" s="430"/>
      <c r="H8" s="430"/>
      <c r="I8" s="430"/>
      <c r="J8" s="430"/>
      <c r="K8" s="430"/>
      <c r="L8" s="430"/>
      <c r="M8" s="430"/>
      <c r="N8" s="430"/>
      <c r="O8" s="430"/>
      <c r="P8" s="430"/>
      <c r="Q8" s="430"/>
      <c r="R8" s="431"/>
      <c r="S8" s="37"/>
      <c r="T8" s="469">
        <v>5</v>
      </c>
      <c r="U8" s="61"/>
      <c r="V8" s="61"/>
      <c r="W8" s="61"/>
      <c r="X8" s="61"/>
      <c r="Y8" s="61"/>
      <c r="Z8" s="61"/>
    </row>
    <row r="9" spans="1:26" ht="21">
      <c r="A9" s="37"/>
      <c r="B9" s="642" t="s">
        <v>87</v>
      </c>
      <c r="C9" s="643"/>
      <c r="D9" s="643"/>
      <c r="E9" s="643"/>
      <c r="F9" s="643"/>
      <c r="G9" s="643"/>
      <c r="H9" s="643"/>
      <c r="I9" s="643"/>
      <c r="J9" s="643"/>
      <c r="K9" s="643"/>
      <c r="L9" s="643"/>
      <c r="M9" s="643"/>
      <c r="N9" s="643"/>
      <c r="O9" s="643"/>
      <c r="P9" s="643"/>
      <c r="Q9" s="643"/>
      <c r="R9" s="644"/>
      <c r="S9" s="37"/>
      <c r="T9" s="246"/>
      <c r="U9" s="62"/>
      <c r="V9" s="62"/>
      <c r="W9" s="62"/>
      <c r="X9" s="62"/>
      <c r="Y9" s="62"/>
      <c r="Z9" s="62"/>
    </row>
    <row r="10" spans="1:26">
      <c r="A10" s="37"/>
      <c r="B10" s="645">
        <f>TEXT($T$8,"00")&amp;"/BAPP/"&amp;DATA!$B$4</f>
      </c>
      <c r="C10" s="646"/>
      <c r="D10" s="646"/>
      <c r="E10" s="646"/>
      <c r="F10" s="646"/>
      <c r="G10" s="646"/>
      <c r="H10" s="646"/>
      <c r="I10" s="646"/>
      <c r="J10" s="646"/>
      <c r="K10" s="646"/>
      <c r="L10" s="646"/>
      <c r="M10" s="646"/>
      <c r="N10" s="646"/>
      <c r="O10" s="646"/>
      <c r="P10" s="646"/>
      <c r="Q10" s="646"/>
      <c r="R10" s="647"/>
      <c r="S10" s="37"/>
      <c r="T10" s="246"/>
      <c r="U10" s="62"/>
      <c r="V10" s="62"/>
      <c r="W10" s="62"/>
      <c r="X10" s="62"/>
      <c r="Y10" s="62"/>
      <c r="Z10" s="62"/>
    </row>
    <row r="11" spans="1:26">
      <c r="A11" s="37"/>
      <c r="B11" s="429"/>
      <c r="C11" s="430"/>
      <c r="D11" s="430"/>
      <c r="E11" s="430"/>
      <c r="F11" s="430"/>
      <c r="G11" s="430"/>
      <c r="H11" s="430"/>
      <c r="I11" s="430"/>
      <c r="J11" s="430"/>
      <c r="K11" s="430"/>
      <c r="L11" s="430"/>
      <c r="M11" s="430"/>
      <c r="N11" s="430"/>
      <c r="O11" s="430"/>
      <c r="P11" s="430"/>
      <c r="Q11" s="430"/>
      <c r="R11" s="431"/>
      <c r="S11" s="37"/>
      <c r="T11" s="246"/>
      <c r="U11" s="62"/>
      <c r="V11" s="62"/>
      <c r="W11" s="62"/>
      <c r="X11" s="62"/>
      <c r="Y11" s="62"/>
      <c r="Z11" s="62"/>
    </row>
    <row r="12" spans="1:26" ht="21" customHeight="1">
      <c r="A12" s="37"/>
      <c r="B12" s="38"/>
      <c r="C12" s="648">
        <f>"Pada hari ini "&amp;T3&amp;" tanggal "&amp;T4&amp;" bulan "&amp;T5&amp;" tahun "&amp;T6&amp;" ("&amp;V2&amp;"), kami yang bertandatangan di bawah ini:"</f>
      </c>
      <c r="D12" s="648"/>
      <c r="E12" s="648"/>
      <c r="F12" s="648"/>
      <c r="G12" s="648"/>
      <c r="H12" s="648"/>
      <c r="I12" s="648"/>
      <c r="J12" s="648"/>
      <c r="K12" s="648"/>
      <c r="L12" s="648"/>
      <c r="M12" s="648"/>
      <c r="N12" s="648"/>
      <c r="O12" s="648"/>
      <c r="P12" s="648"/>
      <c r="Q12" s="648"/>
      <c r="R12" s="46"/>
      <c r="S12" s="37"/>
      <c r="T12" s="62"/>
      <c r="U12" s="62"/>
      <c r="V12" s="62"/>
      <c r="W12" s="62"/>
      <c r="X12" s="62"/>
      <c r="Y12" s="62"/>
      <c r="Z12" s="62"/>
    </row>
    <row r="13" spans="1:26" ht="5.25" customHeight="1">
      <c r="A13" s="37"/>
      <c r="B13" s="38"/>
      <c r="C13" s="43"/>
      <c r="D13" s="60"/>
      <c r="E13" s="60"/>
      <c r="F13" s="60"/>
      <c r="G13" s="60"/>
      <c r="H13" s="60"/>
      <c r="I13" s="60"/>
      <c r="J13" s="43"/>
      <c r="K13" s="43"/>
      <c r="L13" s="43"/>
      <c r="M13" s="43"/>
      <c r="N13" s="43"/>
      <c r="O13" s="43"/>
      <c r="P13" s="43"/>
      <c r="Q13" s="43"/>
      <c r="R13" s="46"/>
      <c r="S13" s="37"/>
      <c r="T13" s="62"/>
      <c r="U13" s="62"/>
      <c r="V13" s="62"/>
      <c r="W13" s="62"/>
      <c r="X13" s="62"/>
      <c r="Y13" s="62"/>
      <c r="Z13" s="62"/>
    </row>
    <row r="14" spans="1:26" ht="18" customHeight="1">
      <c r="A14" s="37"/>
      <c r="B14" s="38"/>
      <c r="C14" s="221" t="s">
        <v>88</v>
      </c>
      <c r="D14" s="222">
        <f>DATA!$B$14</f>
      </c>
      <c r="E14" s="222" t="s">
        <v>2</v>
      </c>
      <c r="F14" s="630">
        <f>"Selaku "&amp;DATA!$B$16&amp;", Proyek "&amp;DATA!$B$7&amp;", dalam hal ini bertindak untuk dan atas nama "&amp;DATA!$B$17&amp;", yang berkedudukan di "&amp;DATA!$B$18</f>
      </c>
      <c r="G14" s="630"/>
      <c r="H14" s="630"/>
      <c r="I14" s="630"/>
      <c r="J14" s="630"/>
      <c r="K14" s="630"/>
      <c r="L14" s="630"/>
      <c r="M14" s="630"/>
      <c r="N14" s="630"/>
      <c r="O14" s="630"/>
      <c r="P14" s="630"/>
      <c r="Q14" s="630"/>
      <c r="R14" s="631"/>
      <c r="S14" s="37" t="s">
        <v>89</v>
      </c>
    </row>
    <row r="15" spans="1:26" ht="12.45" customHeight="1">
      <c r="A15" s="37"/>
      <c r="B15" s="38"/>
      <c r="C15" s="43"/>
      <c r="D15" s="60"/>
      <c r="E15" s="60"/>
      <c r="F15" s="630"/>
      <c r="G15" s="630"/>
      <c r="H15" s="630"/>
      <c r="I15" s="630"/>
      <c r="J15" s="630"/>
      <c r="K15" s="630"/>
      <c r="L15" s="630"/>
      <c r="M15" s="630"/>
      <c r="N15" s="630"/>
      <c r="O15" s="630"/>
      <c r="P15" s="630"/>
      <c r="Q15" s="630"/>
      <c r="R15" s="631"/>
      <c r="S15" s="37"/>
      <c r="U15" s="253" t="s">
        <v>90</v>
      </c>
    </row>
    <row r="16" spans="1:26">
      <c r="A16" s="37"/>
      <c r="B16" s="38"/>
      <c r="C16" s="43"/>
      <c r="D16" s="60"/>
      <c r="E16" s="60"/>
      <c r="F16" s="44" t="s">
        <v>91</v>
      </c>
      <c r="G16" s="44"/>
      <c r="H16" s="44"/>
      <c r="I16" s="44"/>
      <c r="J16" s="43"/>
      <c r="M16" s="45"/>
      <c r="N16" s="45"/>
      <c r="O16" s="45"/>
      <c r="P16" s="45"/>
      <c r="Q16" s="45"/>
      <c r="R16" s="46"/>
      <c r="S16" s="37"/>
    </row>
    <row r="17" spans="1:19" ht="7.5" customHeight="1">
      <c r="A17" s="37"/>
      <c r="B17" s="38"/>
      <c r="C17" s="43"/>
      <c r="D17" s="60"/>
      <c r="E17" s="60"/>
      <c r="F17" s="60"/>
      <c r="G17" s="60"/>
      <c r="H17" s="60"/>
      <c r="I17" s="60"/>
      <c r="J17" s="43"/>
      <c r="K17" s="43"/>
      <c r="L17" s="45"/>
      <c r="M17" s="45"/>
      <c r="N17" s="45"/>
      <c r="O17" s="45"/>
      <c r="P17" s="45"/>
      <c r="Q17" s="45"/>
      <c r="R17" s="46"/>
      <c r="S17" s="37"/>
    </row>
    <row r="18" spans="1:19" ht="30.45" customHeight="1">
      <c r="A18" s="37"/>
      <c r="B18" s="38"/>
      <c r="C18" s="221" t="s">
        <v>92</v>
      </c>
      <c r="D18" s="222">
        <f>DATA!$B$22</f>
      </c>
      <c r="E18" s="222" t="s">
        <v>2</v>
      </c>
      <c r="F18" s="630">
        <f>"Selaku "&amp;DATA!$B$23&amp;" "&amp;DATA!$B$24&amp;", dalam hal ini bertindak untuk dan atas nama "&amp;DATA!$B$24&amp;" yang berkedudukan di "&amp;DATA!$B$25</f>
      </c>
      <c r="G18" s="630"/>
      <c r="H18" s="630"/>
      <c r="I18" s="630"/>
      <c r="J18" s="630"/>
      <c r="K18" s="630"/>
      <c r="L18" s="630"/>
      <c r="M18" s="630"/>
      <c r="N18" s="630"/>
      <c r="O18" s="630"/>
      <c r="P18" s="630"/>
      <c r="Q18" s="630"/>
      <c r="R18" s="631"/>
      <c r="S18" s="37" t="s">
        <v>89</v>
      </c>
    </row>
    <row r="19" spans="1:19">
      <c r="A19" s="37"/>
      <c r="B19" s="38"/>
      <c r="C19" s="43"/>
      <c r="D19" s="60"/>
      <c r="E19" s="60"/>
      <c r="F19" s="44" t="s">
        <v>93</v>
      </c>
      <c r="G19" s="44"/>
      <c r="H19" s="44"/>
      <c r="I19" s="44"/>
      <c r="J19" s="43"/>
      <c r="M19" s="45"/>
      <c r="N19" s="45"/>
      <c r="O19" s="45"/>
      <c r="P19" s="45"/>
      <c r="Q19" s="45"/>
      <c r="R19" s="46"/>
      <c r="S19" s="37"/>
    </row>
    <row r="20" spans="1:19" ht="8.4" customHeight="1">
      <c r="A20" s="37"/>
      <c r="B20" s="38"/>
      <c r="C20" s="43"/>
      <c r="D20" s="60"/>
      <c r="E20" s="60"/>
      <c r="F20" s="60"/>
      <c r="G20" s="60"/>
      <c r="H20" s="60"/>
      <c r="I20" s="60"/>
      <c r="J20" s="43"/>
      <c r="K20" s="43"/>
      <c r="L20" s="45"/>
      <c r="M20" s="45"/>
      <c r="N20" s="45"/>
      <c r="O20" s="45"/>
      <c r="P20" s="45"/>
      <c r="Q20" s="45"/>
      <c r="R20" s="46"/>
      <c r="S20" s="37"/>
    </row>
    <row r="21" spans="1:19">
      <c r="A21" s="37"/>
      <c r="B21" s="38"/>
      <c r="C21" s="632">
        <f>"Menerangkan bahwa kedua belah pihak telah setuju dan sepakat melakukan pemeriksaan pekerjaan sesuai dengan lampiran SPKP Nomor "&amp;DATA!$B$4&amp;", dan menyetujui prestasi pekerjaan berdasakan :"</f>
      </c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3"/>
      <c r="S21" s="37"/>
    </row>
    <row r="22" spans="1:19" ht="17.25" customHeight="1">
      <c r="A22" s="37"/>
      <c r="B22" s="38"/>
      <c r="C22" s="632"/>
      <c r="D22" s="632"/>
      <c r="E22" s="632"/>
      <c r="F22" s="632"/>
      <c r="G22" s="63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3"/>
      <c r="S22" s="37"/>
    </row>
    <row r="23" spans="1:19">
      <c r="A23" s="37"/>
      <c r="B23" s="38"/>
      <c r="C23" s="204">
        <v>1</v>
      </c>
      <c r="D23" s="205" t="s">
        <v>53</v>
      </c>
      <c r="E23" s="205"/>
      <c r="F23" s="205"/>
      <c r="G23" s="205" t="s">
        <v>2</v>
      </c>
      <c r="H23" s="206">
        <f>DATA!$B$4</f>
      </c>
      <c r="I23" s="204"/>
      <c r="J23" s="204"/>
      <c r="K23" s="204"/>
      <c r="L23" s="207" t="s">
        <v>94</v>
      </c>
      <c r="M23" s="616">
        <f>TEXT(DATA!$B$5,"[$-21]dd mmmm yyyy")</f>
      </c>
      <c r="N23" s="616"/>
      <c r="R23" s="208"/>
      <c r="S23" s="37"/>
    </row>
    <row r="24" spans="1:19">
      <c r="A24" s="37"/>
      <c r="B24" s="38"/>
      <c r="C24" s="204">
        <v>2</v>
      </c>
      <c r="D24" s="205" t="s">
        <v>59</v>
      </c>
      <c r="E24" s="205"/>
      <c r="F24" s="205"/>
      <c r="G24" s="205" t="s">
        <v>2</v>
      </c>
      <c r="H24" s="207" t="s">
        <v>95</v>
      </c>
      <c r="I24" s="614">
        <f>#REF!</f>
      </c>
      <c r="J24" s="614"/>
      <c r="K24" s="615" t="s">
        <v>60</v>
      </c>
      <c r="L24" s="615"/>
      <c r="N24" s="209"/>
      <c r="O24" s="204"/>
      <c r="P24" s="204"/>
      <c r="Q24" s="204"/>
      <c r="R24" s="208"/>
      <c r="S24" s="37"/>
    </row>
    <row r="25" spans="1:19">
      <c r="A25" s="37"/>
      <c r="B25" s="38"/>
      <c r="C25" s="204">
        <v>3</v>
      </c>
      <c r="D25" s="205" t="s">
        <v>96</v>
      </c>
      <c r="E25" s="205"/>
      <c r="F25" s="205"/>
      <c r="G25" s="205" t="s">
        <v>2</v>
      </c>
      <c r="H25" s="616">
        <f>TEXT(DATA!$B$8,"[$-21]dd mmmm yyyy")</f>
      </c>
      <c r="I25" s="616"/>
      <c r="J25" s="210" t="s">
        <v>97</v>
      </c>
      <c r="K25" s="635">
        <f>TEXT(DATA!$B$9,"[$-21]dd mmmm yyyy")</f>
      </c>
      <c r="L25" s="635"/>
      <c r="M25" s="211"/>
      <c r="Q25" s="204"/>
      <c r="R25" s="208"/>
      <c r="S25" s="37"/>
    </row>
    <row r="26" spans="1:19">
      <c r="A26" s="37"/>
      <c r="B26" s="38"/>
      <c r="C26" s="205" t="s">
        <v>98</v>
      </c>
      <c r="D26" s="204"/>
      <c r="E26" s="204"/>
      <c r="F26" s="204"/>
      <c r="G26" s="204"/>
      <c r="H26" s="204"/>
      <c r="I26" s="205"/>
      <c r="J26" s="204"/>
      <c r="K26" s="204"/>
      <c r="L26" s="204"/>
      <c r="M26" s="204"/>
      <c r="N26" s="204"/>
      <c r="O26" s="204"/>
      <c r="P26" s="204"/>
      <c r="Q26" s="204"/>
      <c r="R26" s="208"/>
      <c r="S26" s="37"/>
    </row>
    <row r="27" spans="1:19" ht="5.25" customHeight="1">
      <c r="A27" s="37"/>
      <c r="B27" s="38"/>
      <c r="C27" s="212"/>
      <c r="D27" s="209"/>
      <c r="E27" s="209"/>
      <c r="F27" s="209"/>
      <c r="G27" s="209"/>
      <c r="H27" s="209"/>
      <c r="I27" s="209"/>
      <c r="J27" s="212"/>
      <c r="K27" s="212"/>
      <c r="L27" s="204"/>
      <c r="M27" s="212"/>
      <c r="N27" s="212"/>
      <c r="O27" s="212"/>
      <c r="P27" s="212"/>
      <c r="Q27" s="212"/>
      <c r="R27" s="208"/>
      <c r="S27" s="37"/>
    </row>
    <row r="28" spans="1:19">
      <c r="A28" s="37"/>
      <c r="B28" s="82"/>
      <c r="C28" s="65"/>
      <c r="D28" s="83"/>
      <c r="E28" s="83"/>
      <c r="F28" s="83"/>
      <c r="G28" s="83"/>
      <c r="H28" s="83"/>
      <c r="I28" s="83"/>
      <c r="J28" s="80" t="s">
        <v>99</v>
      </c>
      <c r="K28" s="80" t="s">
        <v>100</v>
      </c>
      <c r="L28" s="84"/>
      <c r="M28" s="84"/>
      <c r="N28" s="84"/>
      <c r="O28" s="84"/>
      <c r="P28" s="65"/>
      <c r="Q28" s="80" t="s">
        <v>36</v>
      </c>
      <c r="R28" s="47"/>
    </row>
    <row r="29" spans="1:19" ht="15" customHeight="1">
      <c r="A29" s="37"/>
      <c r="B29" s="85"/>
      <c r="C29" s="86"/>
      <c r="D29" s="79"/>
      <c r="E29" s="79"/>
      <c r="F29" s="79"/>
      <c r="G29" s="79"/>
      <c r="H29" s="79"/>
      <c r="I29" s="79"/>
      <c r="J29" s="81" t="s">
        <v>101</v>
      </c>
      <c r="K29" s="80" t="s">
        <v>102</v>
      </c>
      <c r="L29" s="637" t="s">
        <v>103</v>
      </c>
      <c r="M29" s="54" t="s">
        <v>102</v>
      </c>
      <c r="N29" s="80" t="s">
        <v>102</v>
      </c>
      <c r="O29" s="80" t="s">
        <v>104</v>
      </c>
      <c r="P29" s="87" t="s">
        <v>105</v>
      </c>
      <c r="Q29" s="81" t="s">
        <v>105</v>
      </c>
      <c r="R29" s="42"/>
    </row>
    <row r="30" spans="1:19" ht="15" customHeight="1">
      <c r="A30" s="37"/>
      <c r="B30" s="88" t="s">
        <v>106</v>
      </c>
      <c r="C30" s="81" t="s">
        <v>107</v>
      </c>
      <c r="D30" s="89"/>
      <c r="E30" s="89"/>
      <c r="F30" s="89"/>
      <c r="G30" s="89"/>
      <c r="H30" s="89"/>
      <c r="I30" s="89"/>
      <c r="J30" s="81" t="s">
        <v>108</v>
      </c>
      <c r="K30" s="81" t="s">
        <v>109</v>
      </c>
      <c r="L30" s="638"/>
      <c r="M30" s="55" t="s">
        <v>109</v>
      </c>
      <c r="N30" s="81" t="s">
        <v>110</v>
      </c>
      <c r="O30" s="81" t="s">
        <v>111</v>
      </c>
      <c r="P30" s="87" t="s">
        <v>112</v>
      </c>
      <c r="Q30" s="81" t="s">
        <v>110</v>
      </c>
      <c r="R30" s="42"/>
    </row>
    <row r="31" spans="1:19" ht="15.75" customHeight="1">
      <c r="A31" s="37"/>
      <c r="B31" s="85"/>
      <c r="C31" s="86"/>
      <c r="D31" s="79"/>
      <c r="E31" s="79"/>
      <c r="F31" s="79"/>
      <c r="G31" s="79"/>
      <c r="H31" s="79"/>
      <c r="I31" s="79"/>
      <c r="J31" s="81" t="s">
        <v>113</v>
      </c>
      <c r="K31" s="81" t="s">
        <v>114</v>
      </c>
      <c r="L31" s="639"/>
      <c r="M31" s="69" t="s">
        <v>115</v>
      </c>
      <c r="N31" s="81" t="s">
        <v>116</v>
      </c>
      <c r="O31" s="81" t="s">
        <v>117</v>
      </c>
      <c r="P31" s="86"/>
      <c r="Q31" s="81" t="s">
        <v>116</v>
      </c>
      <c r="R31" s="42"/>
    </row>
    <row r="32" spans="1:19">
      <c r="A32" s="37"/>
      <c r="B32" s="48" t="s">
        <v>118</v>
      </c>
      <c r="C32" s="49" t="s">
        <v>119</v>
      </c>
      <c r="D32" s="50"/>
      <c r="E32" s="50"/>
      <c r="F32" s="50"/>
      <c r="G32" s="50"/>
      <c r="H32" s="50"/>
      <c r="I32" s="50"/>
      <c r="J32" s="49">
        <v>3</v>
      </c>
      <c r="K32" s="49">
        <v>4</v>
      </c>
      <c r="L32" s="49">
        <v>5</v>
      </c>
      <c r="M32" s="49" t="s">
        <v>120</v>
      </c>
      <c r="N32" s="49">
        <v>7</v>
      </c>
      <c r="O32" s="49" t="s">
        <v>121</v>
      </c>
      <c r="P32" s="51">
        <v>9</v>
      </c>
      <c r="Q32" s="49" t="s">
        <v>122</v>
      </c>
      <c r="R32" s="52"/>
    </row>
    <row r="33" spans="1:18" ht="18" customHeight="1">
      <c r="A33" s="37"/>
      <c r="B33" s="175"/>
      <c r="C33" s="177"/>
      <c r="D33" s="176"/>
      <c r="E33" s="176"/>
      <c r="F33" s="176"/>
      <c r="G33" s="176"/>
      <c r="H33" s="176"/>
      <c r="I33" s="176"/>
      <c r="J33" s="78"/>
      <c r="K33" s="78"/>
      <c r="L33" s="78"/>
      <c r="M33" s="78"/>
      <c r="N33" s="78"/>
      <c r="O33" s="78"/>
      <c r="P33" s="78"/>
      <c r="Q33" s="608"/>
      <c r="R33" s="609"/>
    </row>
    <row r="34" spans="1:18" ht="31.2" customHeight="1">
      <c r="A34" s="37"/>
      <c r="B34" s="175"/>
      <c r="C34" s="649">
        <f>'rincian 5'!C11</f>
      </c>
      <c r="D34" s="650"/>
      <c r="E34" s="650"/>
      <c r="F34" s="650"/>
      <c r="G34" s="650"/>
      <c r="H34" s="650"/>
      <c r="I34" s="651"/>
      <c r="J34" s="91"/>
      <c r="K34" s="78"/>
      <c r="L34" s="78"/>
      <c r="M34" s="78"/>
      <c r="N34" s="78"/>
      <c r="O34" s="78"/>
      <c r="P34" s="78"/>
      <c r="Q34" s="608"/>
      <c r="R34" s="609"/>
    </row>
    <row r="35" spans="1:18" ht="18" customHeight="1">
      <c r="A35" s="37"/>
      <c r="B35" s="406">
        <f>#REF!</f>
      </c>
      <c r="C35" s="407"/>
      <c r="D35" s="408">
        <f>IF(#REF!&lt;&gt;"",#REF!,IF(#REF!&lt;&gt;"",#REF!,""))</f>
      </c>
      <c r="E35" s="408"/>
      <c r="F35" s="408"/>
      <c r="G35" s="408"/>
      <c r="H35" s="408"/>
      <c r="I35" s="408"/>
      <c r="J35" s="409"/>
      <c r="K35" s="409"/>
      <c r="L35" s="409"/>
      <c r="M35" s="409"/>
      <c r="N35" s="409"/>
      <c r="O35" s="409"/>
      <c r="P35" s="410"/>
      <c r="Q35" s="652"/>
      <c r="R35" s="609"/>
    </row>
    <row r="36" spans="1:18" ht="18" customHeight="1">
      <c r="A36" s="37"/>
      <c r="B36" s="404">
        <f>#REF!</f>
      </c>
      <c r="C36" s="233"/>
      <c r="D36" s="405">
        <f>IF(#REF!&lt;&gt;"",#REF!,IF(#REF!&lt;&gt;"",#REF!,""))</f>
      </c>
      <c r="E36" s="405"/>
      <c r="F36" s="405"/>
      <c r="G36" s="405"/>
      <c r="H36" s="405"/>
      <c r="I36" s="405"/>
      <c r="J36" s="252"/>
      <c r="K36" s="252"/>
      <c r="L36" s="252"/>
      <c r="M36" s="252"/>
      <c r="N36" s="252"/>
      <c r="O36" s="252"/>
      <c r="P36" s="78"/>
      <c r="Q36" s="624"/>
      <c r="R36" s="625"/>
    </row>
    <row r="37" spans="1:18" ht="21" customHeight="1">
      <c r="A37" s="37"/>
      <c r="B37" s="175">
        <f>#REF!</f>
      </c>
      <c r="C37" s="177"/>
      <c r="D37" s="653">
        <f>IF(#REF!&lt;&gt;"",#REF!,IF(#REF!&lt;&gt;"",#REF!,""))</f>
      </c>
      <c r="E37" s="653"/>
      <c r="F37" s="653"/>
      <c r="G37" s="653"/>
      <c r="H37" s="653"/>
      <c r="I37" s="654"/>
      <c r="J37" s="252">
        <f>#REF!</f>
      </c>
      <c r="K37" s="252">
        <f ca="1">'rincian 5'!S14</f>
      </c>
      <c r="L37" s="252">
        <f>'rincian 5'!U14</f>
      </c>
      <c r="M37" s="252">
        <f ca="1">K37+L37</f>
      </c>
      <c r="N37" s="252">
        <f>L37</f>
      </c>
      <c r="O37" s="252">
        <f ca="1">J37-M37</f>
      </c>
      <c r="P37" s="78">
        <f>#REF!</f>
      </c>
      <c r="Q37" s="608">
        <f>N37*P37</f>
      </c>
      <c r="R37" s="609"/>
    </row>
    <row r="38" spans="1:18" ht="36" customHeight="1">
      <c r="A38" s="37"/>
      <c r="B38" s="175">
        <f>#REF!</f>
      </c>
      <c r="C38" s="177"/>
      <c r="D38" s="653">
        <f>IF(#REF!&lt;&gt;"",#REF!,IF(#REF!&lt;&gt;"",#REF!,""))</f>
      </c>
      <c r="E38" s="653"/>
      <c r="F38" s="653"/>
      <c r="G38" s="653"/>
      <c r="H38" s="653"/>
      <c r="I38" s="654"/>
      <c r="J38" s="252">
        <f>#REF!</f>
      </c>
      <c r="K38" s="252">
        <f ca="1">'rincian 5'!S15</f>
      </c>
      <c r="L38" s="252">
        <f>'rincian 5'!U15</f>
      </c>
      <c r="M38" s="252">
        <f ca="1">K38+L38</f>
      </c>
      <c r="N38" s="252">
        <f>L38</f>
      </c>
      <c r="O38" s="252">
        <f ca="1">J38-M38</f>
      </c>
      <c r="P38" s="78">
        <f>#REF!</f>
      </c>
      <c r="Q38" s="608">
        <f>N38*P38</f>
      </c>
      <c r="R38" s="609"/>
    </row>
    <row r="39" spans="1:18" ht="36" customHeight="1">
      <c r="A39" s="37"/>
      <c r="B39" s="175">
        <f>#REF!</f>
      </c>
      <c r="C39" s="177"/>
      <c r="D39" s="653">
        <f>IF(#REF!&lt;&gt;"",#REF!,IF(#REF!&lt;&gt;"",#REF!,""))</f>
      </c>
      <c r="E39" s="653"/>
      <c r="F39" s="653"/>
      <c r="G39" s="653"/>
      <c r="H39" s="653"/>
      <c r="I39" s="654"/>
      <c r="J39" s="252">
        <f>#REF!</f>
      </c>
      <c r="K39" s="252">
        <f ca="1">'rincian 5'!S16</f>
      </c>
      <c r="L39" s="252">
        <f>'rincian 5'!U16</f>
      </c>
      <c r="M39" s="252">
        <f ca="1">K39+L39</f>
      </c>
      <c r="N39" s="252">
        <f>L39</f>
      </c>
      <c r="O39" s="252">
        <f ca="1">J39-M39</f>
      </c>
      <c r="P39" s="78">
        <f>#REF!</f>
      </c>
      <c r="Q39" s="608">
        <f>N39*P39</f>
      </c>
      <c r="R39" s="609"/>
    </row>
    <row r="40" spans="1:18" ht="36" customHeight="1">
      <c r="A40" s="37"/>
      <c r="B40" s="175">
        <f>#REF!</f>
      </c>
      <c r="C40" s="233"/>
      <c r="D40" s="653">
        <f>IF(#REF!&lt;&gt;"",#REF!,IF(#REF!&lt;&gt;"",#REF!,""))</f>
      </c>
      <c r="E40" s="653"/>
      <c r="F40" s="653"/>
      <c r="G40" s="653"/>
      <c r="H40" s="653"/>
      <c r="I40" s="654"/>
      <c r="J40" s="252">
        <f>#REF!</f>
      </c>
      <c r="K40" s="252">
        <f ca="1">'rincian 5'!S17</f>
      </c>
      <c r="L40" s="252">
        <f>'rincian 5'!U17</f>
      </c>
      <c r="M40" s="252">
        <f ca="1">K40+L40</f>
      </c>
      <c r="N40" s="252">
        <f>L40</f>
      </c>
      <c r="O40" s="252">
        <f ca="1">J40-M40</f>
      </c>
      <c r="P40" s="78">
        <f>#REF!</f>
      </c>
      <c r="Q40" s="608">
        <f>N40*P40</f>
      </c>
      <c r="R40" s="609"/>
    </row>
    <row r="41" spans="1:18" ht="18" customHeight="1">
      <c r="A41" s="37"/>
      <c r="B41" s="404">
        <f>#REF!</f>
      </c>
      <c r="C41" s="233"/>
      <c r="D41" s="405">
        <f>IF(#REF!&lt;&gt;"",#REF!,IF(#REF!&lt;&gt;"",#REF!,""))</f>
      </c>
      <c r="E41" s="405"/>
      <c r="F41" s="405"/>
      <c r="G41" s="405"/>
      <c r="H41" s="405"/>
      <c r="I41" s="405"/>
      <c r="J41" s="252"/>
      <c r="K41" s="252"/>
      <c r="L41" s="252"/>
      <c r="M41" s="252"/>
      <c r="N41" s="252"/>
      <c r="O41" s="252"/>
      <c r="P41" s="78"/>
      <c r="Q41" s="624"/>
      <c r="R41" s="625"/>
    </row>
    <row r="42" spans="1:18" ht="18" customHeight="1">
      <c r="A42" s="37"/>
      <c r="B42" s="175">
        <f>#REF!</f>
      </c>
      <c r="C42" s="233"/>
      <c r="D42" s="176">
        <f>IF(#REF!&lt;&gt;"",#REF!,IF(#REF!&lt;&gt;"",#REF!,""))</f>
      </c>
      <c r="E42" s="176"/>
      <c r="F42" s="176"/>
      <c r="G42" s="176"/>
      <c r="H42" s="176"/>
      <c r="I42" s="176"/>
      <c r="J42" s="252">
        <f>#REF!</f>
      </c>
      <c r="K42" s="252">
        <f ca="1">'rincian 5'!S19</f>
      </c>
      <c r="L42" s="252">
        <f>'rincian 5'!U19</f>
      </c>
      <c r="M42" s="252">
        <f t="shared" ref="M42:M47" ca="1" si="0">K42+L42</f>
      </c>
      <c r="N42" s="252">
        <f t="shared" ref="N42:N47" si="1">L42</f>
      </c>
      <c r="O42" s="252">
        <f t="shared" ref="O42:O47" ca="1" si="2">J42-M42</f>
      </c>
      <c r="P42" s="78">
        <f>#REF!</f>
      </c>
      <c r="Q42" s="608">
        <f t="shared" ref="Q42:Q47" si="3">N42*P42</f>
      </c>
      <c r="R42" s="609"/>
    </row>
    <row r="43" spans="1:18" ht="18" customHeight="1">
      <c r="A43" s="37"/>
      <c r="B43" s="175">
        <f>#REF!</f>
      </c>
      <c r="C43" s="233"/>
      <c r="D43" s="176">
        <f>IF(#REF!&lt;&gt;"",#REF!,IF(#REF!&lt;&gt;"",#REF!,""))</f>
      </c>
      <c r="E43" s="176"/>
      <c r="F43" s="176"/>
      <c r="G43" s="176"/>
      <c r="H43" s="176"/>
      <c r="I43" s="176"/>
      <c r="J43" s="252">
        <f>#REF!</f>
      </c>
      <c r="K43" s="252">
        <f ca="1">'rincian 5'!S20</f>
      </c>
      <c r="L43" s="252">
        <f>'rincian 5'!U20</f>
      </c>
      <c r="M43" s="252">
        <f t="shared" ca="1" si="0"/>
      </c>
      <c r="N43" s="252">
        <f t="shared" si="1"/>
      </c>
      <c r="O43" s="252">
        <f t="shared" ca="1" si="2"/>
      </c>
      <c r="P43" s="78">
        <f>#REF!</f>
      </c>
      <c r="Q43" s="608">
        <f t="shared" si="3"/>
      </c>
      <c r="R43" s="609"/>
    </row>
    <row r="44" spans="1:18" ht="18" customHeight="1">
      <c r="A44" s="37"/>
      <c r="B44" s="175">
        <f>#REF!</f>
      </c>
      <c r="C44" s="233"/>
      <c r="D44" s="176">
        <f>IF(#REF!&lt;&gt;"",#REF!,IF(#REF!&lt;&gt;"",#REF!,""))</f>
      </c>
      <c r="E44" s="176"/>
      <c r="F44" s="176"/>
      <c r="G44" s="176"/>
      <c r="H44" s="176"/>
      <c r="I44" s="176"/>
      <c r="J44" s="252">
        <f>#REF!</f>
      </c>
      <c r="K44" s="252">
        <f ca="1">'rincian 5'!S21</f>
      </c>
      <c r="L44" s="252">
        <f>'rincian 5'!U21</f>
      </c>
      <c r="M44" s="252">
        <f t="shared" ca="1" si="0"/>
      </c>
      <c r="N44" s="252">
        <f t="shared" si="1"/>
      </c>
      <c r="O44" s="252">
        <f t="shared" ca="1" si="2"/>
      </c>
      <c r="P44" s="78">
        <f>#REF!</f>
      </c>
      <c r="Q44" s="608">
        <f t="shared" si="3"/>
      </c>
      <c r="R44" s="609"/>
    </row>
    <row r="45" spans="1:18" ht="18" customHeight="1">
      <c r="A45" s="37"/>
      <c r="B45" s="175">
        <f>#REF!</f>
      </c>
      <c r="C45" s="233"/>
      <c r="D45" s="176">
        <f>IF(#REF!&lt;&gt;"",#REF!,IF(#REF!&lt;&gt;"",#REF!,""))</f>
      </c>
      <c r="E45" s="176"/>
      <c r="F45" s="176"/>
      <c r="G45" s="176"/>
      <c r="H45" s="176"/>
      <c r="I45" s="176"/>
      <c r="J45" s="252">
        <f>#REF!</f>
      </c>
      <c r="K45" s="252">
        <f ca="1">'rincian 5'!S22</f>
      </c>
      <c r="L45" s="252">
        <f>'rincian 5'!U22</f>
      </c>
      <c r="M45" s="252">
        <f t="shared" ca="1" si="0"/>
      </c>
      <c r="N45" s="252">
        <f t="shared" si="1"/>
      </c>
      <c r="O45" s="252">
        <f t="shared" ca="1" si="2"/>
      </c>
      <c r="P45" s="78">
        <f>#REF!</f>
      </c>
      <c r="Q45" s="608">
        <f t="shared" si="3"/>
      </c>
      <c r="R45" s="609"/>
    </row>
    <row r="46" spans="1:18" ht="18" customHeight="1">
      <c r="A46" s="37"/>
      <c r="B46" s="175">
        <f>#REF!</f>
      </c>
      <c r="C46" s="233"/>
      <c r="D46" s="176">
        <f>IF(#REF!&lt;&gt;"",#REF!,IF(#REF!&lt;&gt;"",#REF!,""))</f>
      </c>
      <c r="E46" s="176"/>
      <c r="F46" s="176"/>
      <c r="G46" s="176"/>
      <c r="H46" s="176"/>
      <c r="I46" s="176"/>
      <c r="J46" s="252">
        <f>#REF!</f>
      </c>
      <c r="K46" s="252">
        <f ca="1">'rincian 5'!S23</f>
      </c>
      <c r="L46" s="252">
        <f>'rincian 5'!U23</f>
      </c>
      <c r="M46" s="252">
        <f t="shared" ca="1" si="0"/>
      </c>
      <c r="N46" s="252">
        <f t="shared" si="1"/>
      </c>
      <c r="O46" s="252">
        <f t="shared" ca="1" si="2"/>
      </c>
      <c r="P46" s="78">
        <f>#REF!</f>
      </c>
      <c r="Q46" s="608">
        <f t="shared" si="3"/>
      </c>
      <c r="R46" s="609"/>
    </row>
    <row r="47" spans="1:18" ht="18" customHeight="1">
      <c r="A47" s="37"/>
      <c r="B47" s="404">
        <f>#REF!</f>
      </c>
      <c r="C47" s="233"/>
      <c r="D47" s="405">
        <f>IF(#REF!&lt;&gt;"",#REF!,IF(#REF!&lt;&gt;"",#REF!,""))</f>
      </c>
      <c r="E47" s="405"/>
      <c r="F47" s="405"/>
      <c r="G47" s="405"/>
      <c r="H47" s="405"/>
      <c r="I47" s="405"/>
      <c r="J47" s="252">
        <f>#REF!</f>
      </c>
      <c r="K47" s="252">
        <f ca="1">'rincian 5'!S24</f>
      </c>
      <c r="L47" s="252">
        <f>'rincian 5'!U24</f>
      </c>
      <c r="M47" s="252">
        <f t="shared" ca="1" si="0"/>
      </c>
      <c r="N47" s="252">
        <f t="shared" si="1"/>
      </c>
      <c r="O47" s="252">
        <f t="shared" ca="1" si="2"/>
      </c>
      <c r="P47" s="78">
        <f>#REF!</f>
      </c>
      <c r="Q47" s="608">
        <f t="shared" si="3"/>
      </c>
      <c r="R47" s="609"/>
    </row>
    <row r="48" spans="1:18" ht="18" customHeight="1">
      <c r="A48" s="37"/>
      <c r="B48" s="404">
        <f>#REF!</f>
      </c>
      <c r="C48" s="233"/>
      <c r="D48" s="405">
        <f>IF(#REF!&lt;&gt;"",#REF!,IF(#REF!&lt;&gt;"",#REF!,""))</f>
      </c>
      <c r="E48" s="405"/>
      <c r="F48" s="405"/>
      <c r="G48" s="405"/>
      <c r="H48" s="405"/>
      <c r="I48" s="405"/>
      <c r="J48" s="252"/>
      <c r="K48" s="252"/>
      <c r="L48" s="252"/>
      <c r="M48" s="252"/>
      <c r="N48" s="252"/>
      <c r="O48" s="252"/>
      <c r="P48" s="78"/>
      <c r="Q48" s="624"/>
      <c r="R48" s="625"/>
    </row>
    <row r="49" spans="1:18" ht="18" customHeight="1">
      <c r="A49" s="37"/>
      <c r="B49" s="175">
        <f>#REF!</f>
      </c>
      <c r="C49" s="233"/>
      <c r="D49" s="176">
        <f>IF(#REF!&lt;&gt;"",#REF!,IF(#REF!&lt;&gt;"",#REF!,""))</f>
      </c>
      <c r="E49" s="176"/>
      <c r="F49" s="176"/>
      <c r="G49" s="176"/>
      <c r="H49" s="176"/>
      <c r="I49" s="176"/>
      <c r="J49" s="252">
        <f>#REF!</f>
      </c>
      <c r="K49" s="252">
        <f ca="1">'rincian 5'!S26</f>
      </c>
      <c r="L49" s="252">
        <f>'rincian 5'!U26</f>
      </c>
      <c r="M49" s="252">
        <f ca="1">K49+L49</f>
      </c>
      <c r="N49" s="252">
        <f>L49</f>
      </c>
      <c r="O49" s="252">
        <f ca="1">J49-M49</f>
      </c>
      <c r="P49" s="78">
        <f>#REF!</f>
      </c>
      <c r="Q49" s="608">
        <f>N49*P49</f>
      </c>
      <c r="R49" s="609"/>
    </row>
    <row r="50" spans="1:18" ht="18" customHeight="1">
      <c r="A50" s="37"/>
      <c r="B50" s="175">
        <f>#REF!</f>
      </c>
      <c r="C50" s="233"/>
      <c r="D50" s="176">
        <f>IF(#REF!&lt;&gt;"",#REF!,IF(#REF!&lt;&gt;"",#REF!,""))</f>
      </c>
      <c r="E50" s="176"/>
      <c r="F50" s="176"/>
      <c r="G50" s="176"/>
      <c r="H50" s="176"/>
      <c r="I50" s="176"/>
      <c r="J50" s="252">
        <f>#REF!</f>
      </c>
      <c r="K50" s="252">
        <f ca="1">'rincian 5'!S27</f>
      </c>
      <c r="L50" s="252">
        <f>'rincian 5'!U27</f>
      </c>
      <c r="M50" s="252">
        <f ca="1">K50+L50</f>
      </c>
      <c r="N50" s="252">
        <f>L50</f>
      </c>
      <c r="O50" s="252">
        <f ca="1">J50-M50</f>
      </c>
      <c r="P50" s="78">
        <f>#REF!</f>
      </c>
      <c r="Q50" s="608">
        <f>N50*P50</f>
      </c>
      <c r="R50" s="609"/>
    </row>
    <row r="51" spans="1:18" ht="18" customHeight="1">
      <c r="A51" s="37"/>
      <c r="B51" s="175">
        <f>#REF!</f>
      </c>
      <c r="C51" s="233"/>
      <c r="D51" s="176">
        <f>IF(#REF!&lt;&gt;"",#REF!,IF(#REF!&lt;&gt;"",#REF!,""))</f>
      </c>
      <c r="E51" s="176"/>
      <c r="F51" s="176"/>
      <c r="G51" s="176"/>
      <c r="H51" s="176"/>
      <c r="I51" s="176"/>
      <c r="J51" s="252">
        <f>#REF!</f>
      </c>
      <c r="K51" s="252">
        <f ca="1">'rincian 5'!S28</f>
      </c>
      <c r="L51" s="252">
        <f>'rincian 5'!U28</f>
      </c>
      <c r="M51" s="252">
        <f ca="1">K51+L51</f>
      </c>
      <c r="N51" s="252">
        <f>L51</f>
      </c>
      <c r="O51" s="252">
        <f ca="1">J51-M51</f>
      </c>
      <c r="P51" s="78">
        <f>#REF!</f>
      </c>
      <c r="Q51" s="608">
        <f>N51*P51</f>
      </c>
      <c r="R51" s="609"/>
    </row>
    <row r="52" spans="1:18" ht="18" customHeight="1">
      <c r="A52" s="37"/>
      <c r="B52" s="175">
        <f>#REF!</f>
      </c>
      <c r="C52" s="233"/>
      <c r="D52" s="176">
        <f>IF(#REF!&lt;&gt;"",#REF!,IF(#REF!&lt;&gt;"",#REF!,""))</f>
      </c>
      <c r="E52" s="176"/>
      <c r="F52" s="176"/>
      <c r="G52" s="176"/>
      <c r="H52" s="176"/>
      <c r="I52" s="176"/>
      <c r="J52" s="252">
        <f>#REF!</f>
      </c>
      <c r="K52" s="252">
        <f ca="1">'rincian 5'!S29</f>
      </c>
      <c r="L52" s="252">
        <f>'rincian 5'!U29</f>
      </c>
      <c r="M52" s="252">
        <f ca="1">K52+L52</f>
      </c>
      <c r="N52" s="252">
        <f>L52</f>
      </c>
      <c r="O52" s="252">
        <f ca="1">J52-M52</f>
      </c>
      <c r="P52" s="78">
        <f>#REF!</f>
      </c>
      <c r="Q52" s="608">
        <f>N52*P52</f>
      </c>
      <c r="R52" s="609"/>
    </row>
    <row r="53" spans="1:18" ht="18" customHeight="1">
      <c r="A53" s="37"/>
      <c r="B53" s="404">
        <f>#REF!</f>
      </c>
      <c r="C53" s="233"/>
      <c r="D53" s="405">
        <f>IF(#REF!&lt;&gt;"",#REF!,IF(#REF!&lt;&gt;"",#REF!,""))</f>
      </c>
      <c r="E53" s="405"/>
      <c r="F53" s="405"/>
      <c r="G53" s="405"/>
      <c r="H53" s="405"/>
      <c r="I53" s="405"/>
      <c r="J53" s="252"/>
      <c r="K53" s="252"/>
      <c r="L53" s="252"/>
      <c r="M53" s="252"/>
      <c r="N53" s="252"/>
      <c r="O53" s="252"/>
      <c r="P53" s="78"/>
      <c r="Q53" s="624"/>
      <c r="R53" s="625"/>
    </row>
    <row r="54" spans="1:18" ht="18" customHeight="1">
      <c r="A54" s="37"/>
      <c r="B54" s="175">
        <f>#REF!</f>
      </c>
      <c r="C54" s="233"/>
      <c r="D54" s="176">
        <f>IF(#REF!&lt;&gt;"",#REF!,IF(#REF!&lt;&gt;"",#REF!,""))</f>
      </c>
      <c r="E54" s="176"/>
      <c r="F54" s="176"/>
      <c r="G54" s="176"/>
      <c r="H54" s="176"/>
      <c r="I54" s="176"/>
      <c r="J54" s="252">
        <f>#REF!</f>
      </c>
      <c r="K54" s="252">
        <f ca="1">'rincian 5'!S31</f>
      </c>
      <c r="L54" s="252">
        <f>'rincian 5'!U31</f>
      </c>
      <c r="M54" s="252">
        <f ca="1">K54+L54</f>
      </c>
      <c r="N54" s="252">
        <f>L54</f>
      </c>
      <c r="O54" s="252">
        <f ca="1">J54-M54</f>
      </c>
      <c r="P54" s="78">
        <f>#REF!</f>
      </c>
      <c r="Q54" s="608">
        <f>N54*P54</f>
      </c>
      <c r="R54" s="609"/>
    </row>
    <row r="55" spans="1:18" ht="18" customHeight="1">
      <c r="A55" s="37"/>
      <c r="B55" s="175">
        <f>#REF!</f>
      </c>
      <c r="C55" s="233"/>
      <c r="D55" s="176">
        <f>IF(#REF!&lt;&gt;"",#REF!,IF(#REF!&lt;&gt;"",#REF!,""))</f>
      </c>
      <c r="E55" s="176"/>
      <c r="F55" s="176"/>
      <c r="G55" s="176"/>
      <c r="H55" s="176"/>
      <c r="I55" s="176"/>
      <c r="J55" s="252">
        <f>#REF!</f>
      </c>
      <c r="K55" s="252">
        <f ca="1">'rincian 5'!S32</f>
      </c>
      <c r="L55" s="252">
        <f>'rincian 5'!U32</f>
      </c>
      <c r="M55" s="252">
        <f ca="1">K55+L55</f>
      </c>
      <c r="N55" s="252">
        <f>L55</f>
      </c>
      <c r="O55" s="252">
        <f ca="1">J55-M55</f>
      </c>
      <c r="P55" s="78">
        <f>#REF!</f>
      </c>
      <c r="Q55" s="608">
        <f>N55*P55</f>
      </c>
      <c r="R55" s="609"/>
    </row>
    <row r="56" spans="1:18" ht="18" customHeight="1">
      <c r="A56" s="37"/>
      <c r="B56" s="175">
        <f>#REF!</f>
      </c>
      <c r="C56" s="233"/>
      <c r="D56" s="176">
        <f>IF(#REF!&lt;&gt;"",#REF!,IF(#REF!&lt;&gt;"",#REF!,""))</f>
      </c>
      <c r="E56" s="176"/>
      <c r="F56" s="176"/>
      <c r="G56" s="176"/>
      <c r="H56" s="176"/>
      <c r="I56" s="176"/>
      <c r="J56" s="252">
        <f>#REF!</f>
      </c>
      <c r="K56" s="252">
        <f ca="1">'rincian 5'!S33</f>
      </c>
      <c r="L56" s="252">
        <f>'rincian 5'!U33</f>
      </c>
      <c r="M56" s="252">
        <f ca="1">K56+L56</f>
      </c>
      <c r="N56" s="252">
        <f>L56</f>
      </c>
      <c r="O56" s="252">
        <f ca="1">J56-M56</f>
      </c>
      <c r="P56" s="78">
        <f>#REF!</f>
      </c>
      <c r="Q56" s="608">
        <f>N56*P56</f>
      </c>
      <c r="R56" s="609"/>
    </row>
    <row r="57" spans="1:18" ht="18" customHeight="1">
      <c r="A57" s="37"/>
      <c r="B57" s="175">
        <f>#REF!</f>
      </c>
      <c r="C57" s="233"/>
      <c r="D57" s="176">
        <f>IF(#REF!&lt;&gt;"",#REF!,IF(#REF!&lt;&gt;"",#REF!,""))</f>
      </c>
      <c r="E57" s="176"/>
      <c r="F57" s="176"/>
      <c r="G57" s="176"/>
      <c r="H57" s="176"/>
      <c r="I57" s="176"/>
      <c r="J57" s="252">
        <f>#REF!</f>
      </c>
      <c r="K57" s="252">
        <f ca="1">'rincian 5'!S34</f>
      </c>
      <c r="L57" s="252">
        <f>'rincian 5'!U34</f>
      </c>
      <c r="M57" s="252">
        <f ca="1">K57+L57</f>
      </c>
      <c r="N57" s="252">
        <f>L57</f>
      </c>
      <c r="O57" s="252">
        <f ca="1">J57-M57</f>
      </c>
      <c r="P57" s="78">
        <f>#REF!</f>
      </c>
      <c r="Q57" s="608">
        <f>N57*P57</f>
      </c>
      <c r="R57" s="609"/>
    </row>
    <row r="58" spans="1:18" ht="18" customHeight="1">
      <c r="A58" s="37"/>
      <c r="B58" s="175">
        <f>#REF!</f>
      </c>
      <c r="C58" s="233"/>
      <c r="D58" s="176">
        <f>IF(#REF!&lt;&gt;"",#REF!,IF(#REF!&lt;&gt;"",#REF!,""))</f>
      </c>
      <c r="E58" s="176"/>
      <c r="F58" s="176"/>
      <c r="G58" s="176"/>
      <c r="H58" s="176"/>
      <c r="I58" s="176"/>
      <c r="J58" s="252">
        <f>#REF!</f>
      </c>
      <c r="K58" s="252">
        <f ca="1">'rincian 5'!S35</f>
      </c>
      <c r="L58" s="252">
        <f>'rincian 5'!U35</f>
      </c>
      <c r="M58" s="252">
        <f ca="1">K58+L58</f>
      </c>
      <c r="N58" s="252">
        <f>L58</f>
      </c>
      <c r="O58" s="252">
        <f ca="1">J58-M58</f>
      </c>
      <c r="P58" s="78">
        <f>#REF!</f>
      </c>
      <c r="Q58" s="608">
        <f>N58*P58</f>
      </c>
      <c r="R58" s="609"/>
    </row>
    <row r="59" spans="1:18" ht="18" customHeight="1">
      <c r="A59" s="37"/>
      <c r="B59" s="175">
        <f>#REF!</f>
      </c>
      <c r="C59" s="233"/>
      <c r="D59" s="176">
        <f>IF(#REF!&lt;&gt;"",#REF!,IF(#REF!&lt;&gt;"",#REF!,""))</f>
      </c>
      <c r="E59" s="176"/>
      <c r="F59" s="176"/>
      <c r="G59" s="176"/>
      <c r="H59" s="176"/>
      <c r="I59" s="176"/>
      <c r="J59" s="252"/>
      <c r="K59" s="252"/>
      <c r="L59" s="252"/>
      <c r="M59" s="252"/>
      <c r="N59" s="252"/>
      <c r="O59" s="252"/>
      <c r="P59" s="78"/>
      <c r="Q59" s="624"/>
      <c r="R59" s="625"/>
    </row>
    <row r="60" spans="1:18" ht="18" customHeight="1">
      <c r="A60" s="37"/>
      <c r="B60" s="175">
        <f>#REF!</f>
      </c>
      <c r="C60" s="233"/>
      <c r="D60" s="176">
        <f>IF(#REF!&lt;&gt;"",#REF!,IF(#REF!&lt;&gt;"",#REF!,""))</f>
      </c>
      <c r="E60" s="176"/>
      <c r="F60" s="176"/>
      <c r="G60" s="176"/>
      <c r="H60" s="176"/>
      <c r="I60" s="176"/>
      <c r="J60" s="252">
        <f>#REF!</f>
      </c>
      <c r="K60" s="252">
        <f ca="1">'rincian 5'!S37</f>
      </c>
      <c r="L60" s="252">
        <f>'rincian 5'!U37</f>
      </c>
      <c r="M60" s="252">
        <f t="shared" ref="M60:M76" ca="1" si="4">K60+L60</f>
      </c>
      <c r="N60" s="252">
        <f t="shared" ref="N60:N76" si="5">L60</f>
      </c>
      <c r="O60" s="252">
        <f t="shared" ref="O60:O76" ca="1" si="6">J60-M60</f>
      </c>
      <c r="P60" s="78">
        <f>#REF!</f>
      </c>
      <c r="Q60" s="608">
        <f t="shared" ref="Q60:Q76" si="7">N60*P60</f>
      </c>
      <c r="R60" s="609"/>
    </row>
    <row r="61" spans="1:18" ht="18" customHeight="1">
      <c r="A61" s="37"/>
      <c r="B61" s="175">
        <f>#REF!</f>
      </c>
      <c r="C61" s="233"/>
      <c r="D61" s="176">
        <f>IF(#REF!&lt;&gt;"",#REF!,IF(#REF!&lt;&gt;"",#REF!,""))</f>
      </c>
      <c r="E61" s="176"/>
      <c r="F61" s="176"/>
      <c r="G61" s="176"/>
      <c r="H61" s="176"/>
      <c r="I61" s="176"/>
      <c r="J61" s="252">
        <f>#REF!</f>
      </c>
      <c r="K61" s="252">
        <f ca="1">'rincian 5'!S38</f>
      </c>
      <c r="L61" s="252">
        <f>'rincian 5'!U38</f>
      </c>
      <c r="M61" s="252">
        <f t="shared" ca="1" si="4"/>
      </c>
      <c r="N61" s="252">
        <f t="shared" si="5"/>
      </c>
      <c r="O61" s="252">
        <f t="shared" ca="1" si="6"/>
      </c>
      <c r="P61" s="78">
        <f>#REF!</f>
      </c>
      <c r="Q61" s="608">
        <f t="shared" si="7"/>
      </c>
      <c r="R61" s="609"/>
    </row>
    <row r="62" spans="1:18" ht="18" customHeight="1">
      <c r="A62" s="37"/>
      <c r="B62" s="175">
        <f>#REF!</f>
      </c>
      <c r="C62" s="233"/>
      <c r="D62" s="176">
        <f>IF(#REF!&lt;&gt;"",#REF!,IF(#REF!&lt;&gt;"",#REF!,""))</f>
      </c>
      <c r="E62" s="176"/>
      <c r="F62" s="176"/>
      <c r="G62" s="176"/>
      <c r="H62" s="176"/>
      <c r="I62" s="176"/>
      <c r="J62" s="252">
        <f>#REF!</f>
      </c>
      <c r="K62" s="252">
        <f ca="1">'rincian 5'!S39</f>
      </c>
      <c r="L62" s="252">
        <f>'rincian 5'!U39</f>
      </c>
      <c r="M62" s="252">
        <f t="shared" ca="1" si="4"/>
      </c>
      <c r="N62" s="252">
        <f t="shared" si="5"/>
      </c>
      <c r="O62" s="252">
        <f t="shared" ca="1" si="6"/>
      </c>
      <c r="P62" s="78">
        <f>#REF!</f>
      </c>
      <c r="Q62" s="608">
        <f t="shared" si="7"/>
      </c>
      <c r="R62" s="609"/>
    </row>
    <row r="63" spans="1:18" ht="36" customHeight="1">
      <c r="A63" s="37"/>
      <c r="B63" s="175">
        <f>#REF!</f>
      </c>
      <c r="C63" s="233"/>
      <c r="D63" s="653">
        <f>IF(#REF!&lt;&gt;"",#REF!,IF(#REF!&lt;&gt;"",#REF!,""))</f>
      </c>
      <c r="E63" s="653"/>
      <c r="F63" s="653"/>
      <c r="G63" s="653"/>
      <c r="H63" s="653"/>
      <c r="I63" s="654"/>
      <c r="J63" s="252">
        <f>#REF!</f>
      </c>
      <c r="K63" s="252">
        <f ca="1">'rincian 5'!S40</f>
      </c>
      <c r="L63" s="252">
        <f>'rincian 5'!U40</f>
      </c>
      <c r="M63" s="252">
        <f t="shared" ca="1" si="4"/>
      </c>
      <c r="N63" s="252">
        <f t="shared" si="5"/>
      </c>
      <c r="O63" s="252">
        <f t="shared" ca="1" si="6"/>
      </c>
      <c r="P63" s="78">
        <f>#REF!</f>
      </c>
      <c r="Q63" s="608">
        <f t="shared" si="7"/>
      </c>
      <c r="R63" s="609"/>
    </row>
    <row r="64" spans="1:18" ht="18" customHeight="1">
      <c r="A64" s="37"/>
      <c r="B64" s="175">
        <f>#REF!</f>
      </c>
      <c r="C64" s="233"/>
      <c r="D64" s="176">
        <f>IF(#REF!&lt;&gt;"",#REF!,IF(#REF!&lt;&gt;"",#REF!,""))</f>
      </c>
      <c r="E64" s="176"/>
      <c r="F64" s="176"/>
      <c r="G64" s="176"/>
      <c r="H64" s="176"/>
      <c r="I64" s="176"/>
      <c r="J64" s="252">
        <f>#REF!</f>
      </c>
      <c r="K64" s="252">
        <f ca="1">'rincian 5'!S41</f>
      </c>
      <c r="L64" s="252">
        <f>'rincian 5'!U41</f>
      </c>
      <c r="M64" s="252">
        <f t="shared" ca="1" si="4"/>
      </c>
      <c r="N64" s="252">
        <f t="shared" si="5"/>
      </c>
      <c r="O64" s="252">
        <f t="shared" ca="1" si="6"/>
      </c>
      <c r="P64" s="78">
        <f>#REF!</f>
      </c>
      <c r="Q64" s="608">
        <f t="shared" si="7"/>
      </c>
      <c r="R64" s="609"/>
    </row>
    <row r="65" spans="1:18" ht="18" customHeight="1">
      <c r="A65" s="37"/>
      <c r="B65" s="175">
        <f>#REF!</f>
      </c>
      <c r="C65" s="233"/>
      <c r="D65" s="176">
        <f>IF(#REF!&lt;&gt;"",#REF!,IF(#REF!&lt;&gt;"",#REF!,""))</f>
      </c>
      <c r="E65" s="176"/>
      <c r="F65" s="176"/>
      <c r="G65" s="176"/>
      <c r="H65" s="176"/>
      <c r="I65" s="176"/>
      <c r="J65" s="252">
        <f>#REF!</f>
      </c>
      <c r="K65" s="252">
        <f ca="1">'rincian 5'!S42</f>
      </c>
      <c r="L65" s="252">
        <f>'rincian 5'!U42</f>
      </c>
      <c r="M65" s="252">
        <f t="shared" ca="1" si="4"/>
      </c>
      <c r="N65" s="252">
        <f t="shared" si="5"/>
      </c>
      <c r="O65" s="252">
        <f t="shared" ca="1" si="6"/>
      </c>
      <c r="P65" s="78">
        <f>#REF!</f>
      </c>
      <c r="Q65" s="608">
        <f t="shared" si="7"/>
      </c>
      <c r="R65" s="609"/>
    </row>
    <row r="66" spans="1:18" ht="18" customHeight="1">
      <c r="A66" s="37"/>
      <c r="B66" s="175">
        <f>#REF!</f>
      </c>
      <c r="C66" s="233"/>
      <c r="D66" s="176">
        <f>IF(#REF!&lt;&gt;"",#REF!,IF(#REF!&lt;&gt;"",#REF!,""))</f>
      </c>
      <c r="E66" s="176"/>
      <c r="F66" s="176"/>
      <c r="G66" s="176"/>
      <c r="H66" s="176"/>
      <c r="I66" s="176"/>
      <c r="J66" s="252">
        <f>#REF!</f>
      </c>
      <c r="K66" s="252">
        <f ca="1">'rincian 5'!S43</f>
      </c>
      <c r="L66" s="252">
        <f>'rincian 5'!U43</f>
      </c>
      <c r="M66" s="252">
        <f t="shared" ca="1" si="4"/>
      </c>
      <c r="N66" s="252">
        <f t="shared" si="5"/>
      </c>
      <c r="O66" s="252">
        <f t="shared" ca="1" si="6"/>
      </c>
      <c r="P66" s="78">
        <f>#REF!</f>
      </c>
      <c r="Q66" s="608">
        <f t="shared" si="7"/>
      </c>
      <c r="R66" s="609"/>
    </row>
    <row r="67" spans="1:18" ht="18" customHeight="1">
      <c r="A67" s="37"/>
      <c r="B67" s="175">
        <f>#REF!</f>
      </c>
      <c r="C67" s="233"/>
      <c r="D67" s="176">
        <f>IF(#REF!&lt;&gt;"",#REF!,IF(#REF!&lt;&gt;"",#REF!,""))</f>
      </c>
      <c r="E67" s="176"/>
      <c r="F67" s="176"/>
      <c r="G67" s="176"/>
      <c r="H67" s="176"/>
      <c r="I67" s="176"/>
      <c r="J67" s="252">
        <f>#REF!</f>
      </c>
      <c r="K67" s="252">
        <f ca="1">'rincian 5'!S44</f>
      </c>
      <c r="L67" s="252">
        <f>'rincian 5'!U44</f>
      </c>
      <c r="M67" s="252">
        <f t="shared" ca="1" si="4"/>
      </c>
      <c r="N67" s="252">
        <f t="shared" si="5"/>
      </c>
      <c r="O67" s="252">
        <f t="shared" ca="1" si="6"/>
      </c>
      <c r="P67" s="78">
        <f>#REF!</f>
      </c>
      <c r="Q67" s="608">
        <f t="shared" si="7"/>
      </c>
      <c r="R67" s="609"/>
    </row>
    <row r="68" spans="1:18" ht="18" customHeight="1">
      <c r="A68" s="37"/>
      <c r="B68" s="175">
        <f>#REF!</f>
      </c>
      <c r="C68" s="233"/>
      <c r="D68" s="176">
        <f>IF(#REF!&lt;&gt;"",#REF!,IF(#REF!&lt;&gt;"",#REF!,""))</f>
      </c>
      <c r="E68" s="176"/>
      <c r="F68" s="176"/>
      <c r="G68" s="176"/>
      <c r="H68" s="176"/>
      <c r="I68" s="176"/>
      <c r="J68" s="252">
        <f>#REF!</f>
      </c>
      <c r="K68" s="252">
        <f ca="1">'rincian 5'!S45</f>
      </c>
      <c r="L68" s="252">
        <f>'rincian 5'!U45</f>
      </c>
      <c r="M68" s="252">
        <f t="shared" ca="1" si="4"/>
      </c>
      <c r="N68" s="252">
        <f t="shared" si="5"/>
      </c>
      <c r="O68" s="252">
        <f t="shared" ca="1" si="6"/>
      </c>
      <c r="P68" s="78">
        <f>#REF!</f>
      </c>
      <c r="Q68" s="608">
        <f t="shared" si="7"/>
      </c>
      <c r="R68" s="609"/>
    </row>
    <row r="69" spans="1:18" ht="18" customHeight="1">
      <c r="A69" s="37"/>
      <c r="B69" s="175">
        <f>#REF!</f>
      </c>
      <c r="C69" s="233"/>
      <c r="D69" s="176">
        <f>IF(#REF!&lt;&gt;"",#REF!,IF(#REF!&lt;&gt;"",#REF!,""))</f>
      </c>
      <c r="E69" s="176"/>
      <c r="F69" s="176"/>
      <c r="G69" s="176"/>
      <c r="H69" s="176"/>
      <c r="I69" s="176"/>
      <c r="J69" s="252">
        <f>#REF!</f>
      </c>
      <c r="K69" s="252">
        <f ca="1">'rincian 5'!S46</f>
      </c>
      <c r="L69" s="252">
        <f>'rincian 5'!U46</f>
      </c>
      <c r="M69" s="252">
        <f t="shared" ca="1" si="4"/>
      </c>
      <c r="N69" s="252">
        <f t="shared" si="5"/>
      </c>
      <c r="O69" s="252">
        <f t="shared" ca="1" si="6"/>
      </c>
      <c r="P69" s="78">
        <f>#REF!</f>
      </c>
      <c r="Q69" s="608">
        <f t="shared" si="7"/>
      </c>
      <c r="R69" s="609"/>
    </row>
    <row r="70" spans="1:18" ht="18" customHeight="1">
      <c r="A70" s="37"/>
      <c r="B70" s="175">
        <f>#REF!</f>
      </c>
      <c r="C70" s="233"/>
      <c r="D70" s="176">
        <f>IF(#REF!&lt;&gt;"",#REF!,IF(#REF!&lt;&gt;"",#REF!,""))</f>
      </c>
      <c r="E70" s="176"/>
      <c r="F70" s="176"/>
      <c r="G70" s="176"/>
      <c r="H70" s="176"/>
      <c r="I70" s="176"/>
      <c r="J70" s="252">
        <f>#REF!</f>
      </c>
      <c r="K70" s="252">
        <f ca="1">'rincian 5'!S47</f>
      </c>
      <c r="L70" s="252">
        <f>'rincian 5'!U47</f>
      </c>
      <c r="M70" s="252">
        <f t="shared" ca="1" si="4"/>
      </c>
      <c r="N70" s="252">
        <f t="shared" si="5"/>
      </c>
      <c r="O70" s="252">
        <f t="shared" ca="1" si="6"/>
      </c>
      <c r="P70" s="78">
        <f>#REF!</f>
      </c>
      <c r="Q70" s="608">
        <f t="shared" si="7"/>
      </c>
      <c r="R70" s="609"/>
    </row>
    <row r="71" spans="1:18" ht="18" customHeight="1">
      <c r="A71" s="37"/>
      <c r="B71" s="175">
        <f>#REF!</f>
      </c>
      <c r="C71" s="233"/>
      <c r="D71" s="176">
        <f>IF(#REF!&lt;&gt;"",#REF!,IF(#REF!&lt;&gt;"",#REF!,""))</f>
      </c>
      <c r="E71" s="176"/>
      <c r="F71" s="176"/>
      <c r="G71" s="176"/>
      <c r="H71" s="176"/>
      <c r="I71" s="176"/>
      <c r="J71" s="252">
        <f>#REF!</f>
      </c>
      <c r="K71" s="252">
        <f ca="1">'rincian 5'!S48</f>
      </c>
      <c r="L71" s="252">
        <f>'rincian 5'!U48</f>
      </c>
      <c r="M71" s="252">
        <f t="shared" ca="1" si="4"/>
      </c>
      <c r="N71" s="252">
        <f t="shared" si="5"/>
      </c>
      <c r="O71" s="252">
        <f t="shared" ca="1" si="6"/>
      </c>
      <c r="P71" s="78">
        <f>#REF!</f>
      </c>
      <c r="Q71" s="608">
        <f t="shared" si="7"/>
      </c>
      <c r="R71" s="609"/>
    </row>
    <row r="72" spans="1:18" ht="18" customHeight="1">
      <c r="A72" s="37"/>
      <c r="B72" s="175">
        <f>#REF!</f>
      </c>
      <c r="C72" s="233"/>
      <c r="D72" s="176">
        <f>IF(#REF!&lt;&gt;"",#REF!,IF(#REF!&lt;&gt;"",#REF!,""))</f>
      </c>
      <c r="E72" s="176"/>
      <c r="F72" s="176"/>
      <c r="G72" s="176"/>
      <c r="H72" s="176"/>
      <c r="I72" s="176"/>
      <c r="J72" s="252">
        <f>#REF!</f>
      </c>
      <c r="K72" s="252">
        <f ca="1">'rincian 5'!S49</f>
      </c>
      <c r="L72" s="252">
        <f>'rincian 5'!U49</f>
      </c>
      <c r="M72" s="252">
        <f t="shared" ca="1" si="4"/>
      </c>
      <c r="N72" s="252">
        <f t="shared" si="5"/>
      </c>
      <c r="O72" s="252">
        <f t="shared" ca="1" si="6"/>
      </c>
      <c r="P72" s="78">
        <f>#REF!</f>
      </c>
      <c r="Q72" s="608">
        <f t="shared" si="7"/>
      </c>
      <c r="R72" s="609"/>
    </row>
    <row r="73" spans="1:18" ht="18" customHeight="1">
      <c r="A73" s="37"/>
      <c r="B73" s="175">
        <f>#REF!</f>
      </c>
      <c r="C73" s="233"/>
      <c r="D73" s="176">
        <f>IF(#REF!&lt;&gt;"",#REF!,IF(#REF!&lt;&gt;"",#REF!,""))</f>
      </c>
      <c r="E73" s="176"/>
      <c r="F73" s="176"/>
      <c r="G73" s="176"/>
      <c r="H73" s="176"/>
      <c r="I73" s="176"/>
      <c r="J73" s="252">
        <f>#REF!</f>
      </c>
      <c r="K73" s="252">
        <f ca="1">'rincian 5'!S50</f>
      </c>
      <c r="L73" s="252">
        <f>'rincian 5'!U50</f>
      </c>
      <c r="M73" s="252">
        <f t="shared" ca="1" si="4"/>
      </c>
      <c r="N73" s="252">
        <f t="shared" si="5"/>
      </c>
      <c r="O73" s="252">
        <f t="shared" ca="1" si="6"/>
      </c>
      <c r="P73" s="78">
        <f>#REF!</f>
      </c>
      <c r="Q73" s="608">
        <f t="shared" si="7"/>
      </c>
      <c r="R73" s="609"/>
    </row>
    <row r="74" spans="1:18" ht="18" customHeight="1">
      <c r="A74" s="37"/>
      <c r="B74" s="175">
        <f>#REF!</f>
      </c>
      <c r="C74" s="233"/>
      <c r="D74" s="176">
        <f>IF(#REF!&lt;&gt;"",#REF!,IF(#REF!&lt;&gt;"",#REF!,""))</f>
      </c>
      <c r="E74" s="176"/>
      <c r="F74" s="176"/>
      <c r="G74" s="176"/>
      <c r="H74" s="176"/>
      <c r="I74" s="176"/>
      <c r="J74" s="252">
        <f>#REF!</f>
      </c>
      <c r="K74" s="252">
        <f ca="1">'rincian 5'!S51</f>
      </c>
      <c r="L74" s="252">
        <f>'rincian 5'!U51</f>
      </c>
      <c r="M74" s="252">
        <f t="shared" ca="1" si="4"/>
      </c>
      <c r="N74" s="252">
        <f t="shared" si="5"/>
      </c>
      <c r="O74" s="252">
        <f t="shared" ca="1" si="6"/>
      </c>
      <c r="P74" s="78">
        <f>#REF!</f>
      </c>
      <c r="Q74" s="608">
        <f t="shared" si="7"/>
      </c>
      <c r="R74" s="609"/>
    </row>
    <row r="75" spans="1:18" ht="18" customHeight="1">
      <c r="A75" s="37"/>
      <c r="B75" s="175">
        <f>#REF!</f>
      </c>
      <c r="C75" s="233"/>
      <c r="D75" s="176">
        <f>IF(#REF!&lt;&gt;"",#REF!,IF(#REF!&lt;&gt;"",#REF!,""))</f>
      </c>
      <c r="E75" s="176"/>
      <c r="F75" s="176"/>
      <c r="G75" s="176"/>
      <c r="H75" s="176"/>
      <c r="I75" s="176"/>
      <c r="J75" s="252">
        <f>#REF!</f>
      </c>
      <c r="K75" s="252">
        <f ca="1">'rincian 5'!S52</f>
      </c>
      <c r="L75" s="252">
        <f>'rincian 5'!U52</f>
      </c>
      <c r="M75" s="252">
        <f t="shared" ca="1" si="4"/>
      </c>
      <c r="N75" s="252">
        <f t="shared" si="5"/>
      </c>
      <c r="O75" s="252">
        <f t="shared" ca="1" si="6"/>
      </c>
      <c r="P75" s="78">
        <f>#REF!</f>
      </c>
      <c r="Q75" s="608">
        <f t="shared" si="7"/>
      </c>
      <c r="R75" s="609"/>
    </row>
    <row r="76" spans="1:18" ht="18" customHeight="1">
      <c r="A76" s="37"/>
      <c r="B76" s="175">
        <f>#REF!</f>
      </c>
      <c r="C76" s="233"/>
      <c r="D76" s="176">
        <f>IF(#REF!&lt;&gt;"",#REF!,IF(#REF!&lt;&gt;"",#REF!,""))</f>
      </c>
      <c r="E76" s="176"/>
      <c r="F76" s="176"/>
      <c r="G76" s="176"/>
      <c r="H76" s="176"/>
      <c r="I76" s="176"/>
      <c r="J76" s="252">
        <f>#REF!</f>
      </c>
      <c r="K76" s="252">
        <f ca="1">'rincian 5'!S53</f>
      </c>
      <c r="L76" s="252">
        <f>'rincian 5'!U53</f>
      </c>
      <c r="M76" s="252">
        <f t="shared" ca="1" si="4"/>
      </c>
      <c r="N76" s="252">
        <f t="shared" si="5"/>
      </c>
      <c r="O76" s="252">
        <f t="shared" ca="1" si="6"/>
      </c>
      <c r="P76" s="78">
        <f>#REF!</f>
      </c>
      <c r="Q76" s="608">
        <f t="shared" si="7"/>
      </c>
      <c r="R76" s="609"/>
    </row>
    <row r="77" spans="1:18" ht="18" customHeight="1">
      <c r="A77" s="37"/>
      <c r="B77" s="406">
        <f>#REF!</f>
      </c>
      <c r="C77" s="407"/>
      <c r="D77" s="408">
        <f>IF(#REF!&lt;&gt;"",#REF!,IF(#REF!&lt;&gt;"",#REF!,""))</f>
      </c>
      <c r="E77" s="408"/>
      <c r="F77" s="408"/>
      <c r="G77" s="408"/>
      <c r="H77" s="408"/>
      <c r="I77" s="408"/>
      <c r="J77" s="409"/>
      <c r="K77" s="409"/>
      <c r="L77" s="409"/>
      <c r="M77" s="409"/>
      <c r="N77" s="409"/>
      <c r="O77" s="409"/>
      <c r="P77" s="410"/>
      <c r="Q77" s="624"/>
      <c r="R77" s="625"/>
    </row>
    <row r="78" spans="1:18" ht="18" customHeight="1">
      <c r="A78" s="37"/>
      <c r="B78" s="404">
        <f>#REF!</f>
      </c>
      <c r="C78" s="233"/>
      <c r="D78" s="405">
        <f>IF(#REF!&lt;&gt;"",#REF!,IF(#REF!&lt;&gt;"",#REF!,""))</f>
      </c>
      <c r="E78" s="405"/>
      <c r="F78" s="405"/>
      <c r="G78" s="405"/>
      <c r="H78" s="405"/>
      <c r="I78" s="405"/>
      <c r="J78" s="252"/>
      <c r="K78" s="252"/>
      <c r="L78" s="252"/>
      <c r="M78" s="252"/>
      <c r="N78" s="252"/>
      <c r="O78" s="252"/>
      <c r="P78" s="78"/>
      <c r="Q78" s="624"/>
      <c r="R78" s="625"/>
    </row>
    <row r="79" spans="1:18" ht="18" customHeight="1">
      <c r="A79" s="37"/>
      <c r="B79" s="404">
        <f>#REF!</f>
      </c>
      <c r="C79" s="233"/>
      <c r="D79" s="405">
        <f>IF(#REF!&lt;&gt;"",#REF!,IF(#REF!&lt;&gt;"",#REF!,""))</f>
      </c>
      <c r="E79" s="405"/>
      <c r="F79" s="405"/>
      <c r="G79" s="405"/>
      <c r="H79" s="405"/>
      <c r="I79" s="405"/>
      <c r="J79" s="252"/>
      <c r="K79" s="252"/>
      <c r="L79" s="252"/>
      <c r="M79" s="252"/>
      <c r="N79" s="252"/>
      <c r="O79" s="252"/>
      <c r="P79" s="78"/>
      <c r="Q79" s="624"/>
      <c r="R79" s="625"/>
    </row>
    <row r="80" spans="1:18" ht="21" customHeight="1">
      <c r="A80" s="37"/>
      <c r="B80" s="175">
        <f>#REF!</f>
      </c>
      <c r="C80" s="233"/>
      <c r="D80" s="653">
        <f>IF(#REF!&lt;&gt;"",#REF!,IF(#REF!&lt;&gt;"",#REF!,""))</f>
      </c>
      <c r="E80" s="653"/>
      <c r="F80" s="653"/>
      <c r="G80" s="653"/>
      <c r="H80" s="653"/>
      <c r="I80" s="654"/>
      <c r="J80" s="252">
        <f>#REF!</f>
      </c>
      <c r="K80" s="252">
        <f ca="1">'rincian 5'!S57</f>
      </c>
      <c r="L80" s="252">
        <f>'rincian 5'!U57</f>
      </c>
      <c r="M80" s="252">
        <f ca="1">K80+L80</f>
      </c>
      <c r="N80" s="252">
        <f>L80</f>
      </c>
      <c r="O80" s="252">
        <f ca="1">J80-M80</f>
      </c>
      <c r="P80" s="78">
        <f>#REF!</f>
      </c>
      <c r="Q80" s="608">
        <f>N80*P80</f>
      </c>
      <c r="R80" s="609"/>
    </row>
    <row r="81" spans="1:18" ht="36" customHeight="1">
      <c r="A81" s="37"/>
      <c r="B81" s="175">
        <f>#REF!</f>
      </c>
      <c r="C81" s="233"/>
      <c r="D81" s="653">
        <f>IF(#REF!&lt;&gt;"",#REF!,IF(#REF!&lt;&gt;"",#REF!,""))</f>
      </c>
      <c r="E81" s="653"/>
      <c r="F81" s="653"/>
      <c r="G81" s="653"/>
      <c r="H81" s="653"/>
      <c r="I81" s="654"/>
      <c r="J81" s="252">
        <f>#REF!</f>
      </c>
      <c r="K81" s="252">
        <f ca="1">'rincian 5'!S58</f>
      </c>
      <c r="L81" s="252">
        <f>'rincian 5'!U58</f>
      </c>
      <c r="M81" s="252">
        <f ca="1">K81+L81</f>
      </c>
      <c r="N81" s="252">
        <f>L81</f>
      </c>
      <c r="O81" s="252">
        <f ca="1">J81-M81</f>
      </c>
      <c r="P81" s="78">
        <f>#REF!</f>
      </c>
      <c r="Q81" s="608">
        <f>N81*P81</f>
      </c>
      <c r="R81" s="609"/>
    </row>
    <row r="82" spans="1:18" ht="36" customHeight="1">
      <c r="A82" s="37"/>
      <c r="B82" s="175">
        <f>#REF!</f>
      </c>
      <c r="C82" s="233"/>
      <c r="D82" s="653">
        <f>IF(#REF!&lt;&gt;"",#REF!,IF(#REF!&lt;&gt;"",#REF!,""))</f>
      </c>
      <c r="E82" s="653"/>
      <c r="F82" s="653"/>
      <c r="G82" s="653"/>
      <c r="H82" s="653"/>
      <c r="I82" s="654"/>
      <c r="J82" s="252">
        <f>#REF!</f>
      </c>
      <c r="K82" s="252">
        <f ca="1">'rincian 5'!S59</f>
      </c>
      <c r="L82" s="252">
        <f>'rincian 5'!U59</f>
      </c>
      <c r="M82" s="252">
        <f ca="1">K82+L82</f>
      </c>
      <c r="N82" s="252">
        <f>L82</f>
      </c>
      <c r="O82" s="252">
        <f ca="1">J82-M82</f>
      </c>
      <c r="P82" s="78">
        <f>#REF!</f>
      </c>
      <c r="Q82" s="608">
        <f>N82*P82</f>
      </c>
      <c r="R82" s="609"/>
    </row>
    <row r="83" spans="1:18" ht="36" customHeight="1">
      <c r="A83" s="37"/>
      <c r="B83" s="175">
        <f>#REF!</f>
      </c>
      <c r="C83" s="233"/>
      <c r="D83" s="653">
        <f>IF(#REF!&lt;&gt;"",#REF!,IF(#REF!&lt;&gt;"",#REF!,""))</f>
      </c>
      <c r="E83" s="653"/>
      <c r="F83" s="653"/>
      <c r="G83" s="653"/>
      <c r="H83" s="653"/>
      <c r="I83" s="654"/>
      <c r="J83" s="252">
        <f>#REF!</f>
      </c>
      <c r="K83" s="252">
        <f ca="1">'rincian 5'!S60</f>
      </c>
      <c r="L83" s="252">
        <f>'rincian 5'!U60</f>
      </c>
      <c r="M83" s="252">
        <f ca="1">K83+L83</f>
      </c>
      <c r="N83" s="252">
        <f>L83</f>
      </c>
      <c r="O83" s="252">
        <f ca="1">J83-M83</f>
      </c>
      <c r="P83" s="78">
        <f>#REF!</f>
      </c>
      <c r="Q83" s="608">
        <f>N83*P83</f>
      </c>
      <c r="R83" s="609"/>
    </row>
    <row r="84" spans="1:18" ht="18" customHeight="1">
      <c r="A84" s="37"/>
      <c r="B84" s="404">
        <f>#REF!</f>
      </c>
      <c r="C84" s="233"/>
      <c r="D84" s="405">
        <f>IF(#REF!&lt;&gt;"",#REF!,IF(#REF!&lt;&gt;"",#REF!,""))</f>
      </c>
      <c r="E84" s="405"/>
      <c r="F84" s="405"/>
      <c r="G84" s="405"/>
      <c r="H84" s="405"/>
      <c r="I84" s="405"/>
      <c r="J84" s="252"/>
      <c r="K84" s="252"/>
      <c r="L84" s="252"/>
      <c r="M84" s="252"/>
      <c r="N84" s="252"/>
      <c r="O84" s="252"/>
      <c r="P84" s="78"/>
      <c r="Q84" s="624"/>
      <c r="R84" s="625"/>
    </row>
    <row r="85" spans="1:18" ht="18" customHeight="1">
      <c r="A85" s="37"/>
      <c r="B85" s="175">
        <f>#REF!</f>
      </c>
      <c r="C85" s="233"/>
      <c r="D85" s="176">
        <f>IF(#REF!&lt;&gt;"",#REF!,IF(#REF!&lt;&gt;"",#REF!,""))</f>
      </c>
      <c r="E85" s="176"/>
      <c r="F85" s="176"/>
      <c r="G85" s="176"/>
      <c r="H85" s="176"/>
      <c r="I85" s="176"/>
      <c r="J85" s="252">
        <f>#REF!</f>
      </c>
      <c r="K85" s="252">
        <f ca="1">'rincian 5'!S62</f>
      </c>
      <c r="L85" s="252">
        <f>'rincian 5'!U62</f>
      </c>
      <c r="M85" s="252">
        <f ca="1">K85+L85</f>
      </c>
      <c r="N85" s="252">
        <f>L85</f>
      </c>
      <c r="O85" s="252">
        <f ca="1">J85-M85</f>
      </c>
      <c r="P85" s="78">
        <f>#REF!</f>
      </c>
      <c r="Q85" s="608">
        <f>N85*P85</f>
      </c>
      <c r="R85" s="609"/>
    </row>
    <row r="86" spans="1:18" ht="18" customHeight="1">
      <c r="A86" s="37"/>
      <c r="B86" s="175">
        <f>#REF!</f>
      </c>
      <c r="C86" s="233"/>
      <c r="D86" s="176">
        <f>IF(#REF!&lt;&gt;"",#REF!,IF(#REF!&lt;&gt;"",#REF!,""))</f>
      </c>
      <c r="E86" s="176"/>
      <c r="F86" s="176"/>
      <c r="G86" s="176"/>
      <c r="H86" s="176"/>
      <c r="I86" s="176"/>
      <c r="J86" s="252">
        <f>#REF!</f>
      </c>
      <c r="K86" s="252">
        <f ca="1">'rincian 5'!S63</f>
      </c>
      <c r="L86" s="252">
        <f>'rincian 5'!U63</f>
      </c>
      <c r="M86" s="252">
        <f ca="1">K86+L86</f>
      </c>
      <c r="N86" s="252">
        <f>L86</f>
      </c>
      <c r="O86" s="252">
        <f ca="1">J86-M86</f>
      </c>
      <c r="P86" s="78">
        <f>#REF!</f>
      </c>
      <c r="Q86" s="608">
        <f>N86*P86</f>
      </c>
      <c r="R86" s="609"/>
    </row>
    <row r="87" spans="1:18" ht="18" customHeight="1">
      <c r="A87" s="37"/>
      <c r="B87" s="175">
        <f>#REF!</f>
      </c>
      <c r="C87" s="233"/>
      <c r="D87" s="176">
        <f>IF(#REF!&lt;&gt;"",#REF!,IF(#REF!&lt;&gt;"",#REF!,""))</f>
      </c>
      <c r="E87" s="176"/>
      <c r="F87" s="176"/>
      <c r="G87" s="176"/>
      <c r="H87" s="176"/>
      <c r="I87" s="176"/>
      <c r="J87" s="252">
        <f>#REF!</f>
      </c>
      <c r="K87" s="252">
        <f ca="1">'rincian 5'!S64</f>
      </c>
      <c r="L87" s="252">
        <f>'rincian 5'!U64</f>
      </c>
      <c r="M87" s="252">
        <f ca="1">K87+L87</f>
      </c>
      <c r="N87" s="252">
        <f>L87</f>
      </c>
      <c r="O87" s="252">
        <f ca="1">J87-M87</f>
      </c>
      <c r="P87" s="78">
        <f>#REF!</f>
      </c>
      <c r="Q87" s="608">
        <f>N87*P87</f>
      </c>
      <c r="R87" s="609"/>
    </row>
    <row r="88" spans="1:18" ht="18" customHeight="1">
      <c r="A88" s="37"/>
      <c r="B88" s="175">
        <f>#REF!</f>
      </c>
      <c r="C88" s="233"/>
      <c r="D88" s="176">
        <f>IF(#REF!&lt;&gt;"",#REF!,IF(#REF!&lt;&gt;"",#REF!,""))</f>
      </c>
      <c r="E88" s="176"/>
      <c r="F88" s="176"/>
      <c r="G88" s="176"/>
      <c r="H88" s="176"/>
      <c r="I88" s="176"/>
      <c r="J88" s="252">
        <f>#REF!</f>
      </c>
      <c r="K88" s="252">
        <f ca="1">'rincian 5'!S65</f>
      </c>
      <c r="L88" s="252">
        <f>'rincian 5'!U65</f>
      </c>
      <c r="M88" s="252">
        <f ca="1">K88+L88</f>
      </c>
      <c r="N88" s="252">
        <f>L88</f>
      </c>
      <c r="O88" s="252">
        <f ca="1">J88-M88</f>
      </c>
      <c r="P88" s="78">
        <f>#REF!</f>
      </c>
      <c r="Q88" s="608">
        <f>N88*P88</f>
      </c>
      <c r="R88" s="609"/>
    </row>
    <row r="89" spans="1:18" ht="18" customHeight="1">
      <c r="A89" s="37"/>
      <c r="B89" s="175">
        <f>#REF!</f>
      </c>
      <c r="C89" s="233"/>
      <c r="D89" s="176">
        <f>IF(#REF!&lt;&gt;"",#REF!,IF(#REF!&lt;&gt;"",#REF!,""))</f>
      </c>
      <c r="E89" s="176"/>
      <c r="F89" s="176"/>
      <c r="G89" s="176"/>
      <c r="H89" s="176"/>
      <c r="I89" s="176"/>
      <c r="J89" s="252">
        <f>#REF!</f>
      </c>
      <c r="K89" s="252">
        <f ca="1">'rincian 5'!S66</f>
      </c>
      <c r="L89" s="252">
        <f>'rincian 5'!U66</f>
      </c>
      <c r="M89" s="252">
        <f ca="1">K89+L89</f>
      </c>
      <c r="N89" s="252">
        <f>L89</f>
      </c>
      <c r="O89" s="252">
        <f ca="1">J89-M89</f>
      </c>
      <c r="P89" s="78">
        <f>#REF!</f>
      </c>
      <c r="Q89" s="608">
        <f>N89*P89</f>
      </c>
      <c r="R89" s="609"/>
    </row>
    <row r="90" spans="1:18" ht="18" customHeight="1">
      <c r="A90" s="37"/>
      <c r="B90" s="404">
        <f>#REF!</f>
      </c>
      <c r="C90" s="233"/>
      <c r="D90" s="405">
        <f>IF(#REF!&lt;&gt;"",#REF!,IF(#REF!&lt;&gt;"",#REF!,""))</f>
      </c>
      <c r="E90" s="405"/>
      <c r="F90" s="405"/>
      <c r="G90" s="405"/>
      <c r="H90" s="405"/>
      <c r="I90" s="405"/>
      <c r="J90" s="252"/>
      <c r="K90" s="252"/>
      <c r="L90" s="252"/>
      <c r="M90" s="252"/>
      <c r="N90" s="252"/>
      <c r="O90" s="252"/>
      <c r="P90" s="78"/>
      <c r="Q90" s="624"/>
      <c r="R90" s="625"/>
    </row>
    <row r="91" spans="1:18" ht="18" customHeight="1">
      <c r="A91" s="37"/>
      <c r="B91" s="175">
        <f>#REF!</f>
      </c>
      <c r="C91" s="233"/>
      <c r="D91" s="176">
        <f>IF(#REF!&lt;&gt;"",#REF!,IF(#REF!&lt;&gt;"",#REF!,""))</f>
      </c>
      <c r="E91" s="176"/>
      <c r="F91" s="176"/>
      <c r="G91" s="176"/>
      <c r="H91" s="176"/>
      <c r="I91" s="176"/>
      <c r="J91" s="252">
        <f>#REF!</f>
      </c>
      <c r="K91" s="252">
        <f ca="1">'rincian 5'!S68</f>
      </c>
      <c r="L91" s="252">
        <f>'rincian 5'!U68</f>
      </c>
      <c r="M91" s="252">
        <f t="shared" ref="M91:M101" ca="1" si="8">K91+L91</f>
      </c>
      <c r="N91" s="252">
        <f t="shared" ref="N91:N101" si="9">L91</f>
      </c>
      <c r="O91" s="252">
        <f t="shared" ref="O91:O101" ca="1" si="10">J91-M91</f>
      </c>
      <c r="P91" s="78">
        <f>#REF!</f>
      </c>
      <c r="Q91" s="608">
        <f t="shared" ref="Q91:Q101" si="11">N91*P91</f>
      </c>
      <c r="R91" s="609"/>
    </row>
    <row r="92" spans="1:18" ht="18" customHeight="1">
      <c r="A92" s="37"/>
      <c r="B92" s="175">
        <f>#REF!</f>
      </c>
      <c r="C92" s="233"/>
      <c r="D92" s="176">
        <f>IF(#REF!&lt;&gt;"",#REF!,IF(#REF!&lt;&gt;"",#REF!,""))</f>
      </c>
      <c r="E92" s="176"/>
      <c r="F92" s="176"/>
      <c r="G92" s="176"/>
      <c r="H92" s="176"/>
      <c r="I92" s="176"/>
      <c r="J92" s="252">
        <f>#REF!</f>
      </c>
      <c r="K92" s="252">
        <f ca="1">'rincian 5'!S69</f>
      </c>
      <c r="L92" s="252">
        <f>'rincian 5'!U69</f>
      </c>
      <c r="M92" s="252">
        <f t="shared" ca="1" si="8"/>
      </c>
      <c r="N92" s="252">
        <f t="shared" si="9"/>
      </c>
      <c r="O92" s="252">
        <f t="shared" ca="1" si="10"/>
      </c>
      <c r="P92" s="78">
        <f>#REF!</f>
      </c>
      <c r="Q92" s="608">
        <f t="shared" si="11"/>
      </c>
      <c r="R92" s="609"/>
    </row>
    <row r="93" spans="1:18" ht="18" customHeight="1">
      <c r="A93" s="37"/>
      <c r="B93" s="175">
        <f>#REF!</f>
      </c>
      <c r="C93" s="233"/>
      <c r="D93" s="176">
        <f>IF(#REF!&lt;&gt;"",#REF!,IF(#REF!&lt;&gt;"",#REF!,""))</f>
      </c>
      <c r="E93" s="176"/>
      <c r="F93" s="176"/>
      <c r="G93" s="176"/>
      <c r="H93" s="176"/>
      <c r="I93" s="176"/>
      <c r="J93" s="252">
        <f>#REF!</f>
      </c>
      <c r="K93" s="252">
        <f ca="1">'rincian 5'!S70</f>
      </c>
      <c r="L93" s="252">
        <f>'rincian 5'!U70</f>
      </c>
      <c r="M93" s="252">
        <f t="shared" ca="1" si="8"/>
      </c>
      <c r="N93" s="252">
        <f t="shared" si="9"/>
      </c>
      <c r="O93" s="252">
        <f t="shared" ca="1" si="10"/>
      </c>
      <c r="P93" s="78">
        <f>#REF!</f>
      </c>
      <c r="Q93" s="608">
        <f t="shared" si="11"/>
      </c>
      <c r="R93" s="609"/>
    </row>
    <row r="94" spans="1:18" ht="18" customHeight="1">
      <c r="A94" s="37"/>
      <c r="B94" s="175">
        <f>#REF!</f>
      </c>
      <c r="C94" s="233"/>
      <c r="D94" s="176">
        <f>IF(#REF!&lt;&gt;"",#REF!,IF(#REF!&lt;&gt;"",#REF!,""))</f>
      </c>
      <c r="E94" s="176"/>
      <c r="F94" s="176"/>
      <c r="G94" s="176"/>
      <c r="H94" s="176"/>
      <c r="I94" s="176"/>
      <c r="J94" s="252">
        <f>#REF!</f>
      </c>
      <c r="K94" s="252">
        <f ca="1">'rincian 5'!S71</f>
      </c>
      <c r="L94" s="252">
        <f>'rincian 5'!U71</f>
      </c>
      <c r="M94" s="252">
        <f t="shared" ca="1" si="8"/>
      </c>
      <c r="N94" s="252">
        <f t="shared" si="9"/>
      </c>
      <c r="O94" s="252">
        <f t="shared" ca="1" si="10"/>
      </c>
      <c r="P94" s="78">
        <f>#REF!</f>
      </c>
      <c r="Q94" s="608">
        <f t="shared" si="11"/>
      </c>
      <c r="R94" s="609"/>
    </row>
    <row r="95" spans="1:18" ht="18" customHeight="1">
      <c r="A95" s="37"/>
      <c r="B95" s="175">
        <f>#REF!</f>
      </c>
      <c r="C95" s="233"/>
      <c r="D95" s="176">
        <f>IF(#REF!&lt;&gt;"",#REF!,IF(#REF!&lt;&gt;"",#REF!,""))</f>
      </c>
      <c r="E95" s="176"/>
      <c r="F95" s="176"/>
      <c r="G95" s="176"/>
      <c r="H95" s="176"/>
      <c r="I95" s="176"/>
      <c r="J95" s="252">
        <f>#REF!</f>
      </c>
      <c r="K95" s="252">
        <f ca="1">'rincian 5'!S72</f>
      </c>
      <c r="L95" s="252">
        <f>'rincian 5'!U72</f>
      </c>
      <c r="M95" s="252">
        <f t="shared" ca="1" si="8"/>
      </c>
      <c r="N95" s="252">
        <f t="shared" si="9"/>
      </c>
      <c r="O95" s="252">
        <f t="shared" ca="1" si="10"/>
      </c>
      <c r="P95" s="78">
        <f>#REF!</f>
      </c>
      <c r="Q95" s="608">
        <f t="shared" si="11"/>
      </c>
      <c r="R95" s="609"/>
    </row>
    <row r="96" spans="1:18" ht="18" customHeight="1">
      <c r="A96" s="37"/>
      <c r="B96" s="175">
        <f>#REF!</f>
      </c>
      <c r="C96" s="233"/>
      <c r="D96" s="176">
        <f>IF(#REF!&lt;&gt;"",#REF!,IF(#REF!&lt;&gt;"",#REF!,""))</f>
      </c>
      <c r="E96" s="176"/>
      <c r="F96" s="176"/>
      <c r="G96" s="176"/>
      <c r="H96" s="176"/>
      <c r="I96" s="176"/>
      <c r="J96" s="252">
        <f>#REF!</f>
      </c>
      <c r="K96" s="252">
        <f ca="1">'rincian 5'!S73</f>
      </c>
      <c r="L96" s="252">
        <f>'rincian 5'!U73</f>
      </c>
      <c r="M96" s="252">
        <f t="shared" ca="1" si="8"/>
      </c>
      <c r="N96" s="252">
        <f t="shared" si="9"/>
      </c>
      <c r="O96" s="252">
        <f t="shared" ca="1" si="10"/>
      </c>
      <c r="P96" s="78">
        <f>#REF!</f>
      </c>
      <c r="Q96" s="608">
        <f t="shared" si="11"/>
      </c>
      <c r="R96" s="609"/>
    </row>
    <row r="97" spans="1:18" ht="18" customHeight="1">
      <c r="A97" s="37"/>
      <c r="B97" s="175">
        <f>#REF!</f>
      </c>
      <c r="C97" s="233"/>
      <c r="D97" s="176">
        <f>IF(#REF!&lt;&gt;"",#REF!,IF(#REF!&lt;&gt;"",#REF!,""))</f>
      </c>
      <c r="E97" s="176"/>
      <c r="F97" s="176"/>
      <c r="G97" s="176"/>
      <c r="H97" s="176"/>
      <c r="I97" s="176"/>
      <c r="J97" s="252">
        <f>#REF!</f>
      </c>
      <c r="K97" s="252">
        <f ca="1">'rincian 5'!S74</f>
      </c>
      <c r="L97" s="252">
        <f>'rincian 5'!U74</f>
      </c>
      <c r="M97" s="252">
        <f t="shared" ca="1" si="8"/>
      </c>
      <c r="N97" s="252">
        <f t="shared" si="9"/>
      </c>
      <c r="O97" s="252">
        <f t="shared" ca="1" si="10"/>
      </c>
      <c r="P97" s="78">
        <f>#REF!</f>
      </c>
      <c r="Q97" s="608">
        <f t="shared" si="11"/>
      </c>
      <c r="R97" s="609"/>
    </row>
    <row r="98" spans="1:18" ht="18" customHeight="1">
      <c r="A98" s="37"/>
      <c r="B98" s="175">
        <f>#REF!</f>
      </c>
      <c r="C98" s="233"/>
      <c r="D98" s="176">
        <f>IF(#REF!&lt;&gt;"",#REF!,IF(#REF!&lt;&gt;"",#REF!,""))</f>
      </c>
      <c r="E98" s="176"/>
      <c r="F98" s="176"/>
      <c r="G98" s="176"/>
      <c r="H98" s="176"/>
      <c r="I98" s="176"/>
      <c r="J98" s="252">
        <f>#REF!</f>
      </c>
      <c r="K98" s="252">
        <f ca="1">'rincian 5'!S75</f>
      </c>
      <c r="L98" s="252">
        <f>'rincian 5'!U75</f>
      </c>
      <c r="M98" s="252">
        <f t="shared" ca="1" si="8"/>
      </c>
      <c r="N98" s="252">
        <f t="shared" si="9"/>
      </c>
      <c r="O98" s="252">
        <f t="shared" ca="1" si="10"/>
      </c>
      <c r="P98" s="78">
        <f>#REF!</f>
      </c>
      <c r="Q98" s="608">
        <f t="shared" si="11"/>
      </c>
      <c r="R98" s="609"/>
    </row>
    <row r="99" spans="1:18" ht="18" customHeight="1">
      <c r="A99" s="37"/>
      <c r="B99" s="175">
        <f>#REF!</f>
      </c>
      <c r="C99" s="233"/>
      <c r="D99" s="176">
        <f>IF(#REF!&lt;&gt;"",#REF!,IF(#REF!&lt;&gt;"",#REF!,""))</f>
      </c>
      <c r="E99" s="176"/>
      <c r="F99" s="176"/>
      <c r="G99" s="176"/>
      <c r="H99" s="176"/>
      <c r="I99" s="176"/>
      <c r="J99" s="252">
        <f>#REF!</f>
      </c>
      <c r="K99" s="252">
        <f ca="1">'rincian 5'!S76</f>
      </c>
      <c r="L99" s="252">
        <f>'rincian 5'!U76</f>
      </c>
      <c r="M99" s="252">
        <f t="shared" ca="1" si="8"/>
      </c>
      <c r="N99" s="252">
        <f t="shared" si="9"/>
      </c>
      <c r="O99" s="252">
        <f t="shared" ca="1" si="10"/>
      </c>
      <c r="P99" s="78">
        <f>#REF!</f>
      </c>
      <c r="Q99" s="608">
        <f t="shared" si="11"/>
      </c>
      <c r="R99" s="609"/>
    </row>
    <row r="100" spans="1:18" ht="18" customHeight="1">
      <c r="A100" s="37"/>
      <c r="B100" s="175">
        <f>#REF!</f>
      </c>
      <c r="C100" s="233"/>
      <c r="D100" s="176">
        <f>IF(#REF!&lt;&gt;"",#REF!,IF(#REF!&lt;&gt;"",#REF!,""))</f>
      </c>
      <c r="E100" s="176"/>
      <c r="F100" s="176"/>
      <c r="G100" s="176"/>
      <c r="H100" s="176"/>
      <c r="I100" s="176"/>
      <c r="J100" s="252">
        <f>#REF!</f>
      </c>
      <c r="K100" s="252">
        <f ca="1">'rincian 5'!S77</f>
      </c>
      <c r="L100" s="252">
        <f>'rincian 5'!U77</f>
      </c>
      <c r="M100" s="252">
        <f t="shared" ca="1" si="8"/>
      </c>
      <c r="N100" s="252">
        <f t="shared" si="9"/>
      </c>
      <c r="O100" s="252">
        <f t="shared" ca="1" si="10"/>
      </c>
      <c r="P100" s="78">
        <f>#REF!</f>
      </c>
      <c r="Q100" s="608">
        <f t="shared" si="11"/>
      </c>
      <c r="R100" s="609"/>
    </row>
    <row r="101" spans="1:18" ht="18" customHeight="1">
      <c r="A101" s="37"/>
      <c r="B101" s="175">
        <f>#REF!</f>
      </c>
      <c r="C101" s="233"/>
      <c r="D101" s="176">
        <f>IF(#REF!&lt;&gt;"",#REF!,IF(#REF!&lt;&gt;"",#REF!,""))</f>
      </c>
      <c r="E101" s="176"/>
      <c r="F101" s="176"/>
      <c r="G101" s="176"/>
      <c r="H101" s="176"/>
      <c r="I101" s="176"/>
      <c r="J101" s="252">
        <f>#REF!</f>
      </c>
      <c r="K101" s="252">
        <f ca="1">'rincian 5'!S78</f>
      </c>
      <c r="L101" s="252">
        <f>'rincian 5'!U78</f>
      </c>
      <c r="M101" s="252">
        <f t="shared" ca="1" si="8"/>
      </c>
      <c r="N101" s="252">
        <f t="shared" si="9"/>
      </c>
      <c r="O101" s="252">
        <f t="shared" ca="1" si="10"/>
      </c>
      <c r="P101" s="78">
        <f>#REF!</f>
      </c>
      <c r="Q101" s="608">
        <f t="shared" si="11"/>
      </c>
      <c r="R101" s="609"/>
    </row>
    <row r="102" spans="1:18" ht="18" customHeight="1">
      <c r="A102" s="37"/>
      <c r="B102" s="406">
        <f>#REF!</f>
      </c>
      <c r="C102" s="407"/>
      <c r="D102" s="408">
        <f>IF(#REF!&lt;&gt;"",#REF!,IF(#REF!&lt;&gt;"",#REF!,""))</f>
      </c>
      <c r="E102" s="408"/>
      <c r="F102" s="408"/>
      <c r="G102" s="408"/>
      <c r="H102" s="408"/>
      <c r="I102" s="408"/>
      <c r="J102" s="409"/>
      <c r="K102" s="409"/>
      <c r="L102" s="409"/>
      <c r="M102" s="409"/>
      <c r="N102" s="409"/>
      <c r="O102" s="409"/>
      <c r="P102" s="410"/>
      <c r="Q102" s="624"/>
      <c r="R102" s="625"/>
    </row>
    <row r="103" spans="1:18" ht="18" customHeight="1">
      <c r="A103" s="37"/>
      <c r="B103" s="404">
        <f>#REF!</f>
      </c>
      <c r="C103" s="233"/>
      <c r="D103" s="405">
        <f>IF(#REF!&lt;&gt;"",#REF!,IF(#REF!&lt;&gt;"",#REF!,""))</f>
      </c>
      <c r="E103" s="405"/>
      <c r="F103" s="405"/>
      <c r="G103" s="405"/>
      <c r="H103" s="405"/>
      <c r="I103" s="405"/>
      <c r="J103" s="252">
        <f>#REF!</f>
      </c>
      <c r="K103" s="252">
        <f>'rincian 5'!S80</f>
      </c>
      <c r="L103" s="252">
        <f>'rincian 5'!U80</f>
      </c>
      <c r="M103" s="252">
        <f>K103+L103</f>
      </c>
      <c r="N103" s="252">
        <f>L103</f>
      </c>
      <c r="O103" s="252">
        <f>J103-M103</f>
      </c>
      <c r="P103" s="78">
        <f>#REF!</f>
      </c>
      <c r="Q103" s="608">
        <f>N103*P103</f>
      </c>
      <c r="R103" s="609"/>
    </row>
    <row r="104" spans="1:18" ht="18" customHeight="1">
      <c r="A104" s="37"/>
      <c r="B104" s="175">
        <f>#REF!</f>
      </c>
      <c r="C104" s="233"/>
      <c r="D104" s="176">
        <f>IF(#REF!&lt;&gt;"",#REF!,IF(#REF!&lt;&gt;"",#REF!,""))</f>
      </c>
      <c r="E104" s="176"/>
      <c r="F104" s="176"/>
      <c r="G104" s="176"/>
      <c r="H104" s="176"/>
      <c r="I104" s="176"/>
      <c r="J104" s="252">
        <f>#REF!</f>
      </c>
      <c r="K104" s="252">
        <f ca="1">'rincian 5'!S81</f>
      </c>
      <c r="L104" s="252">
        <f>'rincian 5'!U81</f>
      </c>
      <c r="M104" s="252">
        <f ca="1">K104+L104</f>
      </c>
      <c r="N104" s="252">
        <f>L104</f>
      </c>
      <c r="O104" s="252">
        <f ca="1">J104-M104</f>
      </c>
      <c r="P104" s="78">
        <f>#REF!</f>
      </c>
      <c r="Q104" s="608">
        <f>N104*P104</f>
      </c>
      <c r="R104" s="609"/>
    </row>
    <row r="105" spans="1:18" ht="18" customHeight="1">
      <c r="A105" s="37"/>
      <c r="B105" s="175">
        <f>#REF!</f>
      </c>
      <c r="C105" s="233"/>
      <c r="D105" s="176">
        <f>IF(#REF!&lt;&gt;"",#REF!,IF(#REF!&lt;&gt;"",#REF!,""))</f>
      </c>
      <c r="E105" s="176"/>
      <c r="F105" s="176"/>
      <c r="G105" s="176"/>
      <c r="H105" s="176"/>
      <c r="I105" s="176"/>
      <c r="J105" s="252">
        <f>#REF!</f>
      </c>
      <c r="K105" s="252">
        <f ca="1">'rincian 5'!S82</f>
      </c>
      <c r="L105" s="252">
        <f>'rincian 5'!U82</f>
      </c>
      <c r="M105" s="252">
        <f ca="1">K105+L105</f>
      </c>
      <c r="N105" s="252">
        <f>L105</f>
      </c>
      <c r="O105" s="252">
        <f ca="1">J105-M105</f>
      </c>
      <c r="P105" s="78">
        <f>#REF!</f>
      </c>
      <c r="Q105" s="608">
        <f>N105*P105</f>
      </c>
      <c r="R105" s="609"/>
    </row>
    <row r="106" spans="1:18" ht="18" customHeight="1">
      <c r="A106" s="37"/>
      <c r="B106" s="404">
        <f>#REF!</f>
      </c>
      <c r="C106" s="233"/>
      <c r="D106" s="405">
        <f>IF(#REF!&lt;&gt;"",#REF!,IF(#REF!&lt;&gt;"",#REF!,""))</f>
      </c>
      <c r="E106" s="405"/>
      <c r="F106" s="405"/>
      <c r="G106" s="405"/>
      <c r="H106" s="405"/>
      <c r="I106" s="405"/>
      <c r="J106" s="252"/>
      <c r="K106" s="252"/>
      <c r="L106" s="252"/>
      <c r="M106" s="252"/>
      <c r="N106" s="252"/>
      <c r="O106" s="252"/>
      <c r="P106" s="78"/>
      <c r="Q106" s="608"/>
      <c r="R106" s="609"/>
    </row>
    <row r="107" spans="1:18" ht="18" customHeight="1">
      <c r="A107" s="37"/>
      <c r="B107" s="175">
        <f>#REF!</f>
      </c>
      <c r="C107" s="233"/>
      <c r="D107" s="176">
        <f>IF(#REF!&lt;&gt;"",#REF!,IF(#REF!&lt;&gt;"",#REF!,""))</f>
      </c>
      <c r="E107" s="176"/>
      <c r="F107" s="176"/>
      <c r="G107" s="176"/>
      <c r="H107" s="176"/>
      <c r="I107" s="176"/>
      <c r="J107" s="252">
        <f>#REF!</f>
      </c>
      <c r="K107" s="252">
        <f ca="1">'rincian 5'!S84</f>
      </c>
      <c r="L107" s="252">
        <f>'rincian 5'!U84</f>
      </c>
      <c r="M107" s="252">
        <f ca="1">K107+L107</f>
      </c>
      <c r="N107" s="252">
        <f>L107</f>
      </c>
      <c r="O107" s="252">
        <f ca="1">J107-M107</f>
      </c>
      <c r="P107" s="78">
        <f>#REF!</f>
      </c>
      <c r="Q107" s="608">
        <f>N107*P107</f>
      </c>
      <c r="R107" s="609"/>
    </row>
    <row r="108" spans="1:18" ht="18" customHeight="1">
      <c r="A108" s="37"/>
      <c r="B108" s="175">
        <f>#REF!</f>
      </c>
      <c r="C108" s="233"/>
      <c r="D108" s="176">
        <f>IF(#REF!&lt;&gt;"",#REF!,IF(#REF!&lt;&gt;"",#REF!,""))</f>
      </c>
      <c r="E108" s="176"/>
      <c r="F108" s="176"/>
      <c r="G108" s="176"/>
      <c r="H108" s="176"/>
      <c r="I108" s="176"/>
      <c r="J108" s="252">
        <f>#REF!</f>
      </c>
      <c r="K108" s="252">
        <f ca="1">'rincian 5'!S85</f>
      </c>
      <c r="L108" s="252">
        <f>'rincian 5'!U85</f>
      </c>
      <c r="M108" s="252">
        <f ca="1">K108+L108</f>
      </c>
      <c r="N108" s="252">
        <f>L108</f>
      </c>
      <c r="O108" s="252">
        <f ca="1">J108-M108</f>
      </c>
      <c r="P108" s="78">
        <f>#REF!</f>
      </c>
      <c r="Q108" s="608">
        <f>N108*P108</f>
      </c>
      <c r="R108" s="609"/>
    </row>
    <row r="109" spans="1:18" ht="18" customHeight="1">
      <c r="A109" s="37"/>
      <c r="B109" s="175">
        <f>#REF!</f>
      </c>
      <c r="C109" s="233"/>
      <c r="D109" s="176">
        <f>IF(#REF!&lt;&gt;"",#REF!,IF(#REF!&lt;&gt;"",#REF!,""))</f>
      </c>
      <c r="E109" s="176"/>
      <c r="F109" s="176"/>
      <c r="G109" s="176"/>
      <c r="H109" s="176"/>
      <c r="I109" s="176"/>
      <c r="J109" s="252">
        <f>#REF!</f>
      </c>
      <c r="K109" s="252">
        <f ca="1">'rincian 5'!S86</f>
      </c>
      <c r="L109" s="252">
        <f>'rincian 5'!U86</f>
      </c>
      <c r="M109" s="252">
        <f ca="1">K109+L109</f>
      </c>
      <c r="N109" s="252">
        <f>L109</f>
      </c>
      <c r="O109" s="252">
        <f ca="1">J109-M109</f>
      </c>
      <c r="P109" s="78">
        <f>#REF!</f>
      </c>
      <c r="Q109" s="608">
        <f>N109*P109</f>
      </c>
      <c r="R109" s="609"/>
    </row>
    <row r="110" spans="1:18" ht="18" customHeight="1">
      <c r="A110" s="37"/>
      <c r="B110" s="404">
        <f>#REF!</f>
      </c>
      <c r="C110" s="233"/>
      <c r="D110" s="405">
        <f>IF(#REF!&lt;&gt;"",#REF!,IF(#REF!&lt;&gt;"",#REF!,""))</f>
      </c>
      <c r="E110" s="405"/>
      <c r="F110" s="405"/>
      <c r="G110" s="405"/>
      <c r="H110" s="405"/>
      <c r="I110" s="405"/>
      <c r="J110" s="252"/>
      <c r="K110" s="252"/>
      <c r="L110" s="252"/>
      <c r="M110" s="252"/>
      <c r="N110" s="252"/>
      <c r="O110" s="252"/>
      <c r="P110" s="78"/>
      <c r="Q110" s="608"/>
      <c r="R110" s="609"/>
    </row>
    <row r="111" spans="1:18" ht="18" customHeight="1">
      <c r="A111" s="37"/>
      <c r="B111" s="175">
        <f>#REF!</f>
      </c>
      <c r="C111" s="233"/>
      <c r="D111" s="176">
        <f>IF(#REF!&lt;&gt;"",#REF!,IF(#REF!&lt;&gt;"",#REF!,""))</f>
      </c>
      <c r="E111" s="176"/>
      <c r="F111" s="176"/>
      <c r="G111" s="176"/>
      <c r="H111" s="176"/>
      <c r="I111" s="176"/>
      <c r="J111" s="252">
        <f>#REF!</f>
      </c>
      <c r="K111" s="252">
        <f ca="1">'rincian 5'!S88</f>
      </c>
      <c r="L111" s="252">
        <f>'rincian 5'!U88</f>
      </c>
      <c r="M111" s="252">
        <f ca="1">K111+L111</f>
      </c>
      <c r="N111" s="252">
        <f>L111</f>
      </c>
      <c r="O111" s="252">
        <f ca="1">J111-M111</f>
      </c>
      <c r="P111" s="78">
        <f>#REF!</f>
      </c>
      <c r="Q111" s="608">
        <f>N111*P111</f>
      </c>
      <c r="R111" s="609"/>
    </row>
    <row r="112" spans="1:18" ht="18" customHeight="1">
      <c r="A112" s="37"/>
      <c r="B112" s="175">
        <f>#REF!</f>
      </c>
      <c r="C112" s="233"/>
      <c r="D112" s="176">
        <f>IF(#REF!&lt;&gt;"",#REF!,IF(#REF!&lt;&gt;"",#REF!,""))</f>
      </c>
      <c r="E112" s="176"/>
      <c r="F112" s="176"/>
      <c r="G112" s="176"/>
      <c r="H112" s="176"/>
      <c r="I112" s="176"/>
      <c r="J112" s="252">
        <f>#REF!</f>
      </c>
      <c r="K112" s="252">
        <f ca="1">'rincian 5'!S89</f>
      </c>
      <c r="L112" s="252">
        <f>'rincian 5'!U89</f>
      </c>
      <c r="M112" s="252">
        <f ca="1">K112+L112</f>
      </c>
      <c r="N112" s="252">
        <f>L112</f>
      </c>
      <c r="O112" s="252">
        <f ca="1">J112-M112</f>
      </c>
      <c r="P112" s="78">
        <f>#REF!</f>
      </c>
      <c r="Q112" s="608">
        <f>N112*P112</f>
      </c>
      <c r="R112" s="609"/>
    </row>
    <row r="113" spans="1:18" ht="18" customHeight="1">
      <c r="A113" s="37"/>
      <c r="B113" s="175">
        <f>#REF!</f>
      </c>
      <c r="C113" s="233"/>
      <c r="D113" s="176">
        <f>IF(#REF!&lt;&gt;"",#REF!,IF(#REF!&lt;&gt;"",#REF!,""))</f>
      </c>
      <c r="E113" s="176"/>
      <c r="F113" s="176"/>
      <c r="G113" s="176"/>
      <c r="H113" s="176"/>
      <c r="I113" s="176"/>
      <c r="J113" s="252">
        <f>#REF!</f>
      </c>
      <c r="K113" s="252">
        <f ca="1">'rincian 5'!S90</f>
      </c>
      <c r="L113" s="252">
        <f>'rincian 5'!U90</f>
      </c>
      <c r="M113" s="252">
        <f ca="1">K113+L113</f>
      </c>
      <c r="N113" s="252">
        <f>L113</f>
      </c>
      <c r="O113" s="252">
        <f ca="1">J113-M113</f>
      </c>
      <c r="P113" s="78">
        <f>#REF!</f>
      </c>
      <c r="Q113" s="608">
        <f>N113*P113</f>
      </c>
      <c r="R113" s="609"/>
    </row>
    <row r="114" spans="1:18" ht="18" customHeight="1">
      <c r="A114" s="37"/>
      <c r="B114" s="175">
        <f>#REF!</f>
      </c>
      <c r="C114" s="233"/>
      <c r="D114" s="176">
        <f>IF(#REF!&lt;&gt;"",#REF!,IF(#REF!&lt;&gt;"",#REF!,""))</f>
      </c>
      <c r="E114" s="176"/>
      <c r="F114" s="176"/>
      <c r="G114" s="176"/>
      <c r="H114" s="176"/>
      <c r="I114" s="176"/>
      <c r="J114" s="252">
        <f>#REF!</f>
      </c>
      <c r="K114" s="252">
        <f ca="1">'rincian 5'!S91</f>
      </c>
      <c r="L114" s="252">
        <f>'rincian 5'!U91</f>
      </c>
      <c r="M114" s="252">
        <f ca="1">K114+L114</f>
      </c>
      <c r="N114" s="252">
        <f>L114</f>
      </c>
      <c r="O114" s="252">
        <f ca="1">J114-M114</f>
      </c>
      <c r="P114" s="78">
        <f>#REF!</f>
      </c>
      <c r="Q114" s="608">
        <f>N114*P114</f>
      </c>
      <c r="R114" s="609"/>
    </row>
    <row r="115" spans="1:18" ht="18" customHeight="1">
      <c r="A115" s="37"/>
      <c r="B115" s="404">
        <f>#REF!</f>
      </c>
      <c r="C115" s="233"/>
      <c r="D115" s="405">
        <f>IF(#REF!&lt;&gt;"",#REF!,IF(#REF!&lt;&gt;"",#REF!,""))</f>
      </c>
      <c r="E115" s="405"/>
      <c r="F115" s="405"/>
      <c r="G115" s="405"/>
      <c r="H115" s="405"/>
      <c r="I115" s="405"/>
      <c r="J115" s="252"/>
      <c r="K115" s="252"/>
      <c r="L115" s="252"/>
      <c r="M115" s="252"/>
      <c r="N115" s="252"/>
      <c r="O115" s="252"/>
      <c r="P115" s="78"/>
      <c r="Q115" s="608"/>
      <c r="R115" s="609"/>
    </row>
    <row r="116" spans="1:18" ht="18" customHeight="1">
      <c r="A116" s="37"/>
      <c r="B116" s="175">
        <f>#REF!</f>
      </c>
      <c r="C116" s="233"/>
      <c r="D116" s="176">
        <f>IF(#REF!&lt;&gt;"",#REF!,IF(#REF!&lt;&gt;"",#REF!,""))</f>
      </c>
      <c r="E116" s="176"/>
      <c r="F116" s="176"/>
      <c r="G116" s="176"/>
      <c r="H116" s="176"/>
      <c r="I116" s="176"/>
      <c r="J116" s="252">
        <f>#REF!</f>
      </c>
      <c r="K116" s="252">
        <f ca="1">'rincian 5'!S93</f>
      </c>
      <c r="L116" s="252">
        <f>'rincian 5'!U93</f>
      </c>
      <c r="M116" s="252">
        <f t="shared" ref="M116:M121" ca="1" si="12">K116+L116</f>
      </c>
      <c r="N116" s="252">
        <f t="shared" ref="N116:N121" si="13">L116</f>
      </c>
      <c r="O116" s="252">
        <f t="shared" ref="O116:O121" ca="1" si="14">J116-M116</f>
      </c>
      <c r="P116" s="78">
        <f>#REF!</f>
      </c>
      <c r="Q116" s="608">
        <f t="shared" ref="Q116:Q121" si="15">N116*P116</f>
      </c>
      <c r="R116" s="609"/>
    </row>
    <row r="117" spans="1:18" ht="18" customHeight="1">
      <c r="A117" s="37"/>
      <c r="B117" s="404">
        <f>#REF!</f>
      </c>
      <c r="C117" s="233"/>
      <c r="D117" s="405">
        <f>IF(#REF!&lt;&gt;"",#REF!,IF(#REF!&lt;&gt;"",#REF!,""))</f>
      </c>
      <c r="E117" s="405"/>
      <c r="F117" s="405"/>
      <c r="G117" s="405"/>
      <c r="H117" s="405"/>
      <c r="I117" s="405"/>
      <c r="J117" s="252">
        <f>#REF!</f>
      </c>
      <c r="K117" s="252">
        <f>'rincian 5'!S94</f>
      </c>
      <c r="L117" s="252">
        <f>'rincian 5'!U94</f>
      </c>
      <c r="M117" s="252">
        <f t="shared" si="12"/>
      </c>
      <c r="N117" s="252">
        <f t="shared" si="13"/>
      </c>
      <c r="O117" s="252">
        <f t="shared" si="14"/>
      </c>
      <c r="P117" s="78">
        <f>#REF!</f>
      </c>
      <c r="Q117" s="608">
        <f t="shared" si="15"/>
      </c>
      <c r="R117" s="609"/>
    </row>
    <row r="118" spans="1:18" ht="18" customHeight="1">
      <c r="A118" s="37"/>
      <c r="B118" s="175">
        <f>#REF!</f>
      </c>
      <c r="C118" s="233"/>
      <c r="D118" s="176">
        <f>IF(#REF!&lt;&gt;"",#REF!,IF(#REF!&lt;&gt;"",#REF!,""))</f>
      </c>
      <c r="E118" s="176"/>
      <c r="F118" s="176"/>
      <c r="G118" s="176"/>
      <c r="H118" s="176"/>
      <c r="I118" s="176"/>
      <c r="J118" s="252">
        <f>#REF!</f>
      </c>
      <c r="K118" s="252">
        <f ca="1">'rincian 5'!S95</f>
      </c>
      <c r="L118" s="252">
        <f>'rincian 5'!U95</f>
      </c>
      <c r="M118" s="252">
        <f t="shared" ca="1" si="12"/>
      </c>
      <c r="N118" s="252">
        <f t="shared" si="13"/>
      </c>
      <c r="O118" s="252">
        <f t="shared" ca="1" si="14"/>
      </c>
      <c r="P118" s="78">
        <f>#REF!</f>
      </c>
      <c r="Q118" s="608">
        <f t="shared" si="15"/>
      </c>
      <c r="R118" s="609"/>
    </row>
    <row r="119" spans="1:18" ht="18" customHeight="1">
      <c r="A119" s="37"/>
      <c r="B119" s="175">
        <f>#REF!</f>
      </c>
      <c r="C119" s="233"/>
      <c r="D119" s="176">
        <f>IF(#REF!&lt;&gt;"",#REF!,IF(#REF!&lt;&gt;"",#REF!,""))</f>
      </c>
      <c r="E119" s="176"/>
      <c r="F119" s="176"/>
      <c r="G119" s="176"/>
      <c r="H119" s="176"/>
      <c r="I119" s="176"/>
      <c r="J119" s="252">
        <f>#REF!</f>
      </c>
      <c r="K119" s="252">
        <f ca="1">'rincian 5'!S96</f>
      </c>
      <c r="L119" s="252">
        <f>'rincian 5'!U96</f>
      </c>
      <c r="M119" s="252">
        <f t="shared" ca="1" si="12"/>
      </c>
      <c r="N119" s="252">
        <f t="shared" si="13"/>
      </c>
      <c r="O119" s="252">
        <f t="shared" ca="1" si="14"/>
      </c>
      <c r="P119" s="78">
        <f>#REF!</f>
      </c>
      <c r="Q119" s="608">
        <f t="shared" si="15"/>
      </c>
      <c r="R119" s="609"/>
    </row>
    <row r="120" spans="1:18" ht="18" customHeight="1">
      <c r="A120" s="37"/>
      <c r="B120" s="175">
        <f>#REF!</f>
      </c>
      <c r="C120" s="233"/>
      <c r="D120" s="176">
        <f>IF(#REF!&lt;&gt;"",#REF!,IF(#REF!&lt;&gt;"",#REF!,""))</f>
      </c>
      <c r="E120" s="176"/>
      <c r="F120" s="176"/>
      <c r="G120" s="176"/>
      <c r="H120" s="176"/>
      <c r="I120" s="176"/>
      <c r="J120" s="252">
        <f>#REF!</f>
      </c>
      <c r="K120" s="252">
        <f ca="1">'rincian 5'!S97</f>
      </c>
      <c r="L120" s="252">
        <f>'rincian 5'!U97</f>
      </c>
      <c r="M120" s="252">
        <f t="shared" ca="1" si="12"/>
      </c>
      <c r="N120" s="252">
        <f t="shared" si="13"/>
      </c>
      <c r="O120" s="252">
        <f t="shared" ca="1" si="14"/>
      </c>
      <c r="P120" s="78">
        <f>#REF!</f>
      </c>
      <c r="Q120" s="608">
        <f t="shared" si="15"/>
      </c>
      <c r="R120" s="609"/>
    </row>
    <row r="121" spans="1:18" ht="18" customHeight="1">
      <c r="A121" s="37"/>
      <c r="B121" s="175">
        <f>#REF!</f>
      </c>
      <c r="C121" s="233"/>
      <c r="D121" s="176">
        <f>IF(#REF!&lt;&gt;"",#REF!,IF(#REF!&lt;&gt;"",#REF!,""))</f>
      </c>
      <c r="E121" s="176"/>
      <c r="F121" s="176"/>
      <c r="G121" s="176"/>
      <c r="H121" s="176"/>
      <c r="I121" s="176"/>
      <c r="J121" s="252">
        <f>#REF!</f>
      </c>
      <c r="K121" s="252">
        <f ca="1">'rincian 5'!S98</f>
      </c>
      <c r="L121" s="252">
        <f>'rincian 5'!U98</f>
      </c>
      <c r="M121" s="252">
        <f t="shared" ca="1" si="12"/>
      </c>
      <c r="N121" s="252">
        <f t="shared" si="13"/>
      </c>
      <c r="O121" s="252">
        <f t="shared" ca="1" si="14"/>
      </c>
      <c r="P121" s="78">
        <f>#REF!</f>
      </c>
      <c r="Q121" s="608">
        <f t="shared" si="15"/>
      </c>
      <c r="R121" s="609"/>
    </row>
    <row r="122" spans="1:18" ht="18" customHeight="1">
      <c r="A122" s="37"/>
      <c r="B122" s="404">
        <f>#REF!</f>
      </c>
      <c r="C122" s="233"/>
      <c r="D122" s="405">
        <f>IF(#REF!&lt;&gt;"",#REF!,IF(#REF!&lt;&gt;"",#REF!,""))</f>
      </c>
      <c r="E122" s="405"/>
      <c r="F122" s="405"/>
      <c r="G122" s="405"/>
      <c r="H122" s="405"/>
      <c r="I122" s="405"/>
      <c r="J122" s="252"/>
      <c r="K122" s="252"/>
      <c r="L122" s="252"/>
      <c r="M122" s="252"/>
      <c r="N122" s="252"/>
      <c r="O122" s="252"/>
      <c r="P122" s="78"/>
      <c r="Q122" s="624"/>
      <c r="R122" s="625"/>
    </row>
    <row r="123" spans="1:18" ht="18" customHeight="1">
      <c r="A123" s="37"/>
      <c r="B123" s="175">
        <f>#REF!</f>
      </c>
      <c r="C123" s="233"/>
      <c r="D123" s="176">
        <f>IF(#REF!&lt;&gt;"",#REF!,IF(#REF!&lt;&gt;"",#REF!,""))</f>
      </c>
      <c r="E123" s="176"/>
      <c r="F123" s="176"/>
      <c r="G123" s="176"/>
      <c r="H123" s="176"/>
      <c r="I123" s="176"/>
      <c r="J123" s="252"/>
      <c r="K123" s="252"/>
      <c r="L123" s="252"/>
      <c r="M123" s="252"/>
      <c r="N123" s="252"/>
      <c r="O123" s="252"/>
      <c r="P123" s="78"/>
      <c r="Q123" s="624"/>
      <c r="R123" s="625"/>
    </row>
    <row r="124" spans="1:18" ht="36" customHeight="1">
      <c r="A124" s="37"/>
      <c r="B124" s="175">
        <f>#REF!</f>
      </c>
      <c r="C124" s="233"/>
      <c r="D124" s="653">
        <f>IF(#REF!&lt;&gt;"",#REF!,IF(#REF!&lt;&gt;"",#REF!,""))</f>
      </c>
      <c r="E124" s="653"/>
      <c r="F124" s="653"/>
      <c r="G124" s="653"/>
      <c r="H124" s="653"/>
      <c r="I124" s="654"/>
      <c r="J124" s="252">
        <f>#REF!</f>
      </c>
      <c r="K124" s="252">
        <f ca="1">'rincian 5'!S101</f>
      </c>
      <c r="L124" s="252">
        <f>'rincian 5'!U101</f>
      </c>
      <c r="M124" s="252">
        <f ca="1">K124+L124</f>
      </c>
      <c r="N124" s="252">
        <f>L124</f>
      </c>
      <c r="O124" s="252">
        <f ca="1">J124-M124</f>
      </c>
      <c r="P124" s="78">
        <f>#REF!</f>
      </c>
      <c r="Q124" s="608">
        <f>N124*P124</f>
      </c>
      <c r="R124" s="609"/>
    </row>
    <row r="125" spans="1:18" ht="18" customHeight="1">
      <c r="A125" s="37"/>
      <c r="B125" s="175">
        <f>#REF!</f>
      </c>
      <c r="C125" s="233"/>
      <c r="D125" s="176">
        <f>IF(#REF!&lt;&gt;"",#REF!,IF(#REF!&lt;&gt;"",#REF!,""))</f>
      </c>
      <c r="E125" s="176"/>
      <c r="F125" s="176"/>
      <c r="G125" s="176"/>
      <c r="H125" s="176"/>
      <c r="I125" s="176"/>
      <c r="J125" s="252">
        <f>#REF!</f>
      </c>
      <c r="K125" s="252">
        <f ca="1">'rincian 5'!S102</f>
      </c>
      <c r="L125" s="252">
        <f>'rincian 5'!U102</f>
      </c>
      <c r="M125" s="252">
        <f ca="1">K125+L125</f>
      </c>
      <c r="N125" s="252">
        <f>L125</f>
      </c>
      <c r="O125" s="252">
        <f ca="1">J125-M125</f>
      </c>
      <c r="P125" s="78">
        <f>#REF!</f>
      </c>
      <c r="Q125" s="608">
        <f>N125*P125</f>
      </c>
      <c r="R125" s="609"/>
    </row>
    <row r="126" spans="1:18" ht="18" customHeight="1">
      <c r="A126" s="37"/>
      <c r="B126" s="175">
        <f>#REF!</f>
      </c>
      <c r="C126" s="233"/>
      <c r="D126" s="176">
        <f>IF(#REF!&lt;&gt;"",#REF!,IF(#REF!&lt;&gt;"",#REF!,""))</f>
      </c>
      <c r="E126" s="176"/>
      <c r="F126" s="176"/>
      <c r="G126" s="176"/>
      <c r="H126" s="176"/>
      <c r="I126" s="176"/>
      <c r="J126" s="252">
        <f>#REF!</f>
      </c>
      <c r="K126" s="252">
        <f ca="1">'rincian 5'!S103</f>
      </c>
      <c r="L126" s="252">
        <f>'rincian 5'!U103</f>
      </c>
      <c r="M126" s="252">
        <f ca="1">K126+L126</f>
      </c>
      <c r="N126" s="252">
        <f>L126</f>
      </c>
      <c r="O126" s="252">
        <f ca="1">J126-M126</f>
      </c>
      <c r="P126" s="78">
        <f>#REF!</f>
      </c>
      <c r="Q126" s="608">
        <f>N126*P126</f>
      </c>
      <c r="R126" s="609"/>
    </row>
    <row r="127" spans="1:18" ht="18" customHeight="1">
      <c r="A127" s="37"/>
      <c r="B127" s="175">
        <f>#REF!</f>
      </c>
      <c r="C127" s="233"/>
      <c r="D127" s="176">
        <f>IF(#REF!&lt;&gt;"",#REF!,IF(#REF!&lt;&gt;"",#REF!,""))</f>
      </c>
      <c r="E127" s="176"/>
      <c r="F127" s="176"/>
      <c r="G127" s="176"/>
      <c r="H127" s="176"/>
      <c r="I127" s="176"/>
      <c r="J127" s="252"/>
      <c r="K127" s="252"/>
      <c r="L127" s="252"/>
      <c r="M127" s="252"/>
      <c r="N127" s="252"/>
      <c r="O127" s="252"/>
      <c r="P127" s="78"/>
      <c r="Q127" s="624"/>
      <c r="R127" s="625"/>
    </row>
    <row r="128" spans="1:18" ht="18" customHeight="1">
      <c r="A128" s="37"/>
      <c r="B128" s="175">
        <f>#REF!</f>
      </c>
      <c r="C128" s="233"/>
      <c r="D128" s="176">
        <f>IF(#REF!&lt;&gt;"",#REF!,IF(#REF!&lt;&gt;"",#REF!,""))</f>
      </c>
      <c r="E128" s="176"/>
      <c r="F128" s="176"/>
      <c r="G128" s="176"/>
      <c r="H128" s="176"/>
      <c r="I128" s="176"/>
      <c r="J128" s="252">
        <f>#REF!</f>
      </c>
      <c r="K128" s="252">
        <f ca="1">'rincian 5'!S105</f>
      </c>
      <c r="L128" s="252">
        <f>'rincian 5'!U105</f>
      </c>
      <c r="M128" s="252">
        <f ca="1">K128+L128</f>
      </c>
      <c r="N128" s="252">
        <f>L128</f>
      </c>
      <c r="O128" s="252">
        <f ca="1">J128-M128</f>
      </c>
      <c r="P128" s="78">
        <f>#REF!</f>
      </c>
      <c r="Q128" s="608">
        <f>N128*P128</f>
      </c>
      <c r="R128" s="609"/>
    </row>
    <row r="129" spans="1:18" ht="18" customHeight="1">
      <c r="A129" s="37"/>
      <c r="B129" s="175">
        <f>#REF!</f>
      </c>
      <c r="C129" s="233"/>
      <c r="D129" s="176">
        <f>IF(#REF!&lt;&gt;"",#REF!,IF(#REF!&lt;&gt;"",#REF!,""))</f>
      </c>
      <c r="E129" s="176"/>
      <c r="F129" s="176"/>
      <c r="G129" s="176"/>
      <c r="H129" s="176"/>
      <c r="I129" s="176"/>
      <c r="J129" s="252">
        <f>#REF!</f>
      </c>
      <c r="K129" s="252">
        <f ca="1">'rincian 5'!S106</f>
      </c>
      <c r="L129" s="252">
        <f>'rincian 5'!U106</f>
      </c>
      <c r="M129" s="252">
        <f ca="1">K129+L129</f>
      </c>
      <c r="N129" s="252">
        <f>L129</f>
      </c>
      <c r="O129" s="252">
        <f ca="1">J129-M129</f>
      </c>
      <c r="P129" s="78">
        <f>#REF!</f>
      </c>
      <c r="Q129" s="608">
        <f>N129*P129</f>
      </c>
      <c r="R129" s="609"/>
    </row>
    <row r="130" spans="1:18" ht="18" customHeight="1">
      <c r="A130" s="37"/>
      <c r="B130" s="404">
        <f>#REF!</f>
      </c>
      <c r="C130" s="233"/>
      <c r="D130" s="405">
        <f>IF(#REF!&lt;&gt;"",#REF!,IF(#REF!&lt;&gt;"",#REF!,""))</f>
      </c>
      <c r="E130" s="405"/>
      <c r="F130" s="405"/>
      <c r="G130" s="405"/>
      <c r="H130" s="405"/>
      <c r="I130" s="405"/>
      <c r="J130" s="252"/>
      <c r="K130" s="252"/>
      <c r="L130" s="252"/>
      <c r="M130" s="252"/>
      <c r="N130" s="252"/>
      <c r="O130" s="252"/>
      <c r="P130" s="78"/>
      <c r="Q130" s="624"/>
      <c r="R130" s="625"/>
    </row>
    <row r="131" spans="1:18" ht="18" customHeight="1">
      <c r="A131" s="37"/>
      <c r="B131" s="175">
        <f>#REF!</f>
      </c>
      <c r="C131" s="233"/>
      <c r="D131" s="176">
        <f>IF(#REF!&lt;&gt;"",#REF!,IF(#REF!&lt;&gt;"",#REF!,""))</f>
      </c>
      <c r="E131" s="176"/>
      <c r="F131" s="176"/>
      <c r="G131" s="176"/>
      <c r="H131" s="176"/>
      <c r="I131" s="176"/>
      <c r="J131" s="252">
        <f>#REF!</f>
      </c>
      <c r="K131" s="252">
        <f ca="1">'rincian 5'!S108</f>
      </c>
      <c r="L131" s="252">
        <f>'rincian 5'!U108</f>
      </c>
      <c r="M131" s="252">
        <f ca="1">K131+L131</f>
      </c>
      <c r="N131" s="252">
        <f>L131</f>
      </c>
      <c r="O131" s="252">
        <f ca="1">J131-M131</f>
      </c>
      <c r="P131" s="78">
        <f>#REF!</f>
      </c>
      <c r="Q131" s="608">
        <f>N131*P131</f>
      </c>
      <c r="R131" s="609"/>
    </row>
    <row r="132" spans="1:18" ht="18" customHeight="1">
      <c r="A132" s="37"/>
      <c r="B132" s="175">
        <f>#REF!</f>
      </c>
      <c r="C132" s="233"/>
      <c r="D132" s="176">
        <f>IF(#REF!&lt;&gt;"",#REF!,IF(#REF!&lt;&gt;"",#REF!,""))</f>
      </c>
      <c r="E132" s="176"/>
      <c r="F132" s="176"/>
      <c r="G132" s="176"/>
      <c r="H132" s="176"/>
      <c r="I132" s="176"/>
      <c r="J132" s="252">
        <f>#REF!</f>
      </c>
      <c r="K132" s="252">
        <f ca="1">'rincian 5'!S109</f>
      </c>
      <c r="L132" s="252">
        <f>'rincian 5'!U109</f>
      </c>
      <c r="M132" s="252">
        <f ca="1">K132+L132</f>
      </c>
      <c r="N132" s="252">
        <f>L132</f>
      </c>
      <c r="O132" s="252">
        <f ca="1">J132-M132</f>
      </c>
      <c r="P132" s="78">
        <f>#REF!</f>
      </c>
      <c r="Q132" s="608">
        <f>N132*P132</f>
      </c>
      <c r="R132" s="609"/>
    </row>
    <row r="133" spans="1:18" ht="18" customHeight="1">
      <c r="A133" s="37"/>
      <c r="B133" s="404">
        <f>#REF!</f>
      </c>
      <c r="C133" s="233"/>
      <c r="D133" s="405">
        <f>IF(#REF!&lt;&gt;"",#REF!,IF(#REF!&lt;&gt;"",#REF!,""))</f>
      </c>
      <c r="E133" s="405"/>
      <c r="F133" s="405"/>
      <c r="G133" s="405"/>
      <c r="H133" s="405"/>
      <c r="I133" s="405"/>
      <c r="J133" s="252"/>
      <c r="K133" s="252"/>
      <c r="L133" s="252"/>
      <c r="M133" s="252"/>
      <c r="N133" s="252"/>
      <c r="O133" s="252"/>
      <c r="P133" s="78"/>
      <c r="Q133" s="624"/>
      <c r="R133" s="625"/>
    </row>
    <row r="134" spans="1:18" ht="18" customHeight="1">
      <c r="A134" s="37"/>
      <c r="B134" s="175">
        <f>#REF!</f>
      </c>
      <c r="C134" s="233"/>
      <c r="D134" s="176">
        <f>IF(#REF!&lt;&gt;"",#REF!,IF(#REF!&lt;&gt;"",#REF!,""))</f>
      </c>
      <c r="E134" s="176"/>
      <c r="F134" s="176"/>
      <c r="G134" s="176"/>
      <c r="H134" s="176"/>
      <c r="I134" s="176"/>
      <c r="J134" s="252">
        <f>#REF!</f>
      </c>
      <c r="K134" s="252">
        <f ca="1">'rincian 5'!S111</f>
      </c>
      <c r="L134" s="252">
        <f>'rincian 5'!U111</f>
      </c>
      <c r="M134" s="252">
        <f ca="1">K134+L134</f>
      </c>
      <c r="N134" s="252">
        <f>L134</f>
      </c>
      <c r="O134" s="252">
        <f ca="1">J134-M134</f>
      </c>
      <c r="P134" s="78">
        <f>#REF!</f>
      </c>
      <c r="Q134" s="608">
        <f>N134*P134</f>
      </c>
      <c r="R134" s="609"/>
    </row>
    <row r="135" spans="1:18" ht="18" customHeight="1">
      <c r="A135" s="37"/>
      <c r="B135" s="175">
        <f>#REF!</f>
      </c>
      <c r="C135" s="233"/>
      <c r="D135" s="176">
        <f>IF(#REF!&lt;&gt;"",#REF!,IF(#REF!&lt;&gt;"",#REF!,""))</f>
      </c>
      <c r="E135" s="176"/>
      <c r="F135" s="176"/>
      <c r="G135" s="176"/>
      <c r="H135" s="176"/>
      <c r="I135" s="176"/>
      <c r="J135" s="252">
        <f>#REF!</f>
      </c>
      <c r="K135" s="252">
        <f ca="1">'rincian 5'!S112</f>
      </c>
      <c r="L135" s="252">
        <f>'rincian 5'!U112</f>
      </c>
      <c r="M135" s="252">
        <f ca="1">K135+L135</f>
      </c>
      <c r="N135" s="252">
        <f>L135</f>
      </c>
      <c r="O135" s="252">
        <f ca="1">J135-M135</f>
      </c>
      <c r="P135" s="78">
        <f>#REF!</f>
      </c>
      <c r="Q135" s="608">
        <f>N135*P135</f>
      </c>
      <c r="R135" s="609"/>
    </row>
    <row r="136" spans="1:18" ht="18" customHeight="1">
      <c r="A136" s="37"/>
      <c r="B136" s="175">
        <f>#REF!</f>
      </c>
      <c r="C136" s="233"/>
      <c r="D136" s="176">
        <f>IF(#REF!&lt;&gt;"",#REF!,IF(#REF!&lt;&gt;"",#REF!,""))</f>
      </c>
      <c r="E136" s="176"/>
      <c r="F136" s="176"/>
      <c r="G136" s="176"/>
      <c r="H136" s="176"/>
      <c r="I136" s="176"/>
      <c r="J136" s="252">
        <f>#REF!</f>
      </c>
      <c r="K136" s="252">
        <f ca="1">'rincian 5'!S113</f>
      </c>
      <c r="L136" s="252">
        <f>'rincian 5'!U113</f>
      </c>
      <c r="M136" s="252">
        <f ca="1">K136+L136</f>
      </c>
      <c r="N136" s="252">
        <f>L136</f>
      </c>
      <c r="O136" s="252">
        <f ca="1">J136-M136</f>
      </c>
      <c r="P136" s="78">
        <f>#REF!</f>
      </c>
      <c r="Q136" s="608">
        <f>N136*P136</f>
      </c>
      <c r="R136" s="609"/>
    </row>
    <row r="137" spans="1:18" ht="18" customHeight="1">
      <c r="A137" s="37"/>
      <c r="B137" s="175">
        <f>#REF!</f>
      </c>
      <c r="C137" s="233"/>
      <c r="D137" s="176">
        <f>IF(#REF!&lt;&gt;"",#REF!,IF(#REF!&lt;&gt;"",#REF!,""))</f>
      </c>
      <c r="E137" s="176"/>
      <c r="F137" s="176"/>
      <c r="G137" s="176"/>
      <c r="H137" s="176"/>
      <c r="I137" s="176"/>
      <c r="J137" s="252">
        <f>#REF!</f>
      </c>
      <c r="K137" s="252">
        <f ca="1">'rincian 5'!S114</f>
      </c>
      <c r="L137" s="252">
        <f>'rincian 5'!U114</f>
      </c>
      <c r="M137" s="252">
        <f ca="1">K137+L137</f>
      </c>
      <c r="N137" s="252">
        <f>L137</f>
      </c>
      <c r="O137" s="252">
        <f ca="1">J137-M137</f>
      </c>
      <c r="P137" s="78">
        <f>#REF!</f>
      </c>
      <c r="Q137" s="608">
        <f>N137*P137</f>
      </c>
      <c r="R137" s="609"/>
    </row>
    <row r="138" spans="1:18" ht="18" customHeight="1">
      <c r="A138" s="37"/>
      <c r="B138" s="404">
        <f>#REF!</f>
      </c>
      <c r="C138" s="233"/>
      <c r="D138" s="405">
        <f>IF(#REF!&lt;&gt;"",#REF!,IF(#REF!&lt;&gt;"",#REF!,""))</f>
      </c>
      <c r="E138" s="405"/>
      <c r="F138" s="405"/>
      <c r="G138" s="405"/>
      <c r="H138" s="405"/>
      <c r="I138" s="405"/>
      <c r="J138" s="252"/>
      <c r="K138" s="252"/>
      <c r="L138" s="252"/>
      <c r="M138" s="252"/>
      <c r="N138" s="252"/>
      <c r="O138" s="252"/>
      <c r="P138" s="78"/>
      <c r="Q138" s="624"/>
      <c r="R138" s="625"/>
    </row>
    <row r="139" spans="1:18" ht="18" customHeight="1">
      <c r="A139" s="37"/>
      <c r="B139" s="175">
        <f>#REF!</f>
      </c>
      <c r="C139" s="233"/>
      <c r="D139" s="176">
        <f>IF(#REF!&lt;&gt;"",#REF!,IF(#REF!&lt;&gt;"",#REF!,""))</f>
      </c>
      <c r="E139" s="176"/>
      <c r="F139" s="176"/>
      <c r="G139" s="176"/>
      <c r="H139" s="176"/>
      <c r="I139" s="176"/>
      <c r="J139" s="252">
        <f>#REF!</f>
      </c>
      <c r="K139" s="252">
        <f ca="1">'rincian 5'!S116</f>
      </c>
      <c r="L139" s="252">
        <f>'rincian 5'!U116</f>
      </c>
      <c r="M139" s="252">
        <f ca="1">K139+L139</f>
      </c>
      <c r="N139" s="252">
        <f>L139</f>
      </c>
      <c r="O139" s="252">
        <f ca="1">J139-M139</f>
      </c>
      <c r="P139" s="78">
        <f>#REF!</f>
      </c>
      <c r="Q139" s="608">
        <f>N139*P139</f>
      </c>
      <c r="R139" s="609"/>
    </row>
    <row r="140" spans="1:18" ht="18" customHeight="1">
      <c r="A140" s="37"/>
      <c r="B140" s="175">
        <f>#REF!</f>
      </c>
      <c r="C140" s="233"/>
      <c r="D140" s="176">
        <f>IF(#REF!&lt;&gt;"",#REF!,IF(#REF!&lt;&gt;"",#REF!,""))</f>
      </c>
      <c r="E140" s="176"/>
      <c r="F140" s="176"/>
      <c r="G140" s="176"/>
      <c r="H140" s="176"/>
      <c r="I140" s="176"/>
      <c r="J140" s="252">
        <f>#REF!</f>
      </c>
      <c r="K140" s="252">
        <f ca="1">'rincian 5'!S117</f>
      </c>
      <c r="L140" s="252">
        <f>'rincian 5'!U117</f>
      </c>
      <c r="M140" s="252">
        <f ca="1">K140+L140</f>
      </c>
      <c r="N140" s="252">
        <f>L140</f>
      </c>
      <c r="O140" s="252">
        <f ca="1">J140-M140</f>
      </c>
      <c r="P140" s="78">
        <f>#REF!</f>
      </c>
      <c r="Q140" s="608">
        <f>N140*P140</f>
      </c>
      <c r="R140" s="609"/>
    </row>
    <row r="141" spans="1:18" ht="18" customHeight="1">
      <c r="A141" s="37"/>
      <c r="B141" s="404">
        <f>#REF!</f>
      </c>
      <c r="C141" s="233"/>
      <c r="D141" s="405">
        <f>IF(#REF!&lt;&gt;"",#REF!,IF(#REF!&lt;&gt;"",#REF!,""))</f>
      </c>
      <c r="E141" s="405"/>
      <c r="F141" s="405"/>
      <c r="G141" s="405"/>
      <c r="H141" s="405"/>
      <c r="I141" s="405"/>
      <c r="J141" s="252"/>
      <c r="K141" s="252"/>
      <c r="L141" s="252"/>
      <c r="M141" s="252"/>
      <c r="N141" s="252"/>
      <c r="O141" s="252"/>
      <c r="P141" s="78"/>
      <c r="Q141" s="624"/>
      <c r="R141" s="625"/>
    </row>
    <row r="142" spans="1:18" ht="18" customHeight="1">
      <c r="A142" s="37"/>
      <c r="B142" s="175">
        <f>#REF!</f>
      </c>
      <c r="C142" s="233"/>
      <c r="D142" s="176">
        <f>IF(#REF!&lt;&gt;"",#REF!,IF(#REF!&lt;&gt;"",#REF!,""))</f>
      </c>
      <c r="E142" s="176"/>
      <c r="F142" s="176"/>
      <c r="G142" s="176"/>
      <c r="H142" s="176"/>
      <c r="I142" s="176"/>
      <c r="J142" s="252">
        <f>#REF!</f>
      </c>
      <c r="K142" s="252">
        <f ca="1">'rincian 5'!S119</f>
      </c>
      <c r="L142" s="252">
        <f>'rincian 5'!U119</f>
      </c>
      <c r="M142" s="252">
        <f ca="1">K142+L142</f>
      </c>
      <c r="N142" s="252">
        <f>L142</f>
      </c>
      <c r="O142" s="252">
        <f ca="1">J142-M142</f>
      </c>
      <c r="P142" s="78">
        <f>#REF!</f>
      </c>
      <c r="Q142" s="608">
        <f>N142*P142</f>
      </c>
      <c r="R142" s="609"/>
    </row>
    <row r="143" spans="1:18" ht="18" customHeight="1">
      <c r="A143" s="37"/>
      <c r="B143" s="175">
        <f>#REF!</f>
      </c>
      <c r="C143" s="233"/>
      <c r="D143" s="176">
        <f>IF(#REF!&lt;&gt;"",#REF!,IF(#REF!&lt;&gt;"",#REF!,""))</f>
      </c>
      <c r="E143" s="176"/>
      <c r="F143" s="176"/>
      <c r="G143" s="176"/>
      <c r="H143" s="176"/>
      <c r="I143" s="176"/>
      <c r="J143" s="252">
        <f>#REF!</f>
      </c>
      <c r="K143" s="252">
        <f ca="1">'rincian 5'!S120</f>
      </c>
      <c r="L143" s="252">
        <f>'rincian 5'!U120</f>
      </c>
      <c r="M143" s="252">
        <f ca="1">K143+L143</f>
      </c>
      <c r="N143" s="252">
        <f>L143</f>
      </c>
      <c r="O143" s="252">
        <f ca="1">J143-M143</f>
      </c>
      <c r="P143" s="78">
        <f>#REF!</f>
      </c>
      <c r="Q143" s="608">
        <f>N143*P143</f>
      </c>
      <c r="R143" s="609"/>
    </row>
    <row r="144" spans="1:18" ht="18" customHeight="1">
      <c r="A144" s="37"/>
      <c r="B144" s="175">
        <f>#REF!</f>
      </c>
      <c r="C144" s="233"/>
      <c r="D144" s="176">
        <f>IF(#REF!&lt;&gt;"",#REF!,IF(#REF!&lt;&gt;"",#REF!,""))</f>
      </c>
      <c r="E144" s="176"/>
      <c r="F144" s="176"/>
      <c r="G144" s="176"/>
      <c r="H144" s="176"/>
      <c r="I144" s="176"/>
      <c r="J144" s="252">
        <f>#REF!</f>
      </c>
      <c r="K144" s="252">
        <f ca="1">'rincian 5'!S121</f>
      </c>
      <c r="L144" s="252">
        <f>'rincian 5'!U121</f>
      </c>
      <c r="M144" s="252">
        <f ca="1">K144+L144</f>
      </c>
      <c r="N144" s="252">
        <f>L144</f>
      </c>
      <c r="O144" s="252">
        <f ca="1">J144-M144</f>
      </c>
      <c r="P144" s="78">
        <f>#REF!</f>
      </c>
      <c r="Q144" s="608">
        <f>N144*P144</f>
      </c>
      <c r="R144" s="609"/>
    </row>
    <row r="145" spans="1:18" ht="18" customHeight="1">
      <c r="A145" s="37"/>
      <c r="B145" s="175">
        <f>#REF!</f>
      </c>
      <c r="C145" s="233"/>
      <c r="D145" s="176">
        <f>IF(#REF!&lt;&gt;"",#REF!,IF(#REF!&lt;&gt;"",#REF!,""))</f>
      </c>
      <c r="E145" s="176"/>
      <c r="F145" s="176"/>
      <c r="G145" s="176"/>
      <c r="H145" s="176"/>
      <c r="I145" s="176"/>
      <c r="J145" s="252">
        <f>#REF!</f>
      </c>
      <c r="K145" s="252">
        <f ca="1">'rincian 5'!S122</f>
      </c>
      <c r="L145" s="252">
        <f>'rincian 5'!U122</f>
      </c>
      <c r="M145" s="252">
        <f ca="1">K145+L145</f>
      </c>
      <c r="N145" s="252">
        <f>L145</f>
      </c>
      <c r="O145" s="252">
        <f ca="1">J145-M145</f>
      </c>
      <c r="P145" s="78">
        <f>#REF!</f>
      </c>
      <c r="Q145" s="608">
        <f>N145*P145</f>
      </c>
      <c r="R145" s="609"/>
    </row>
    <row r="146" spans="1:18" ht="18" customHeight="1">
      <c r="A146" s="37"/>
      <c r="B146" s="175">
        <f>#REF!</f>
      </c>
      <c r="C146" s="233"/>
      <c r="D146" s="176">
        <f>IF(#REF!&lt;&gt;"",#REF!,IF(#REF!&lt;&gt;"",#REF!,""))</f>
      </c>
      <c r="E146" s="176"/>
      <c r="F146" s="176"/>
      <c r="G146" s="176"/>
      <c r="H146" s="176"/>
      <c r="I146" s="176"/>
      <c r="J146" s="252">
        <f>#REF!</f>
      </c>
      <c r="K146" s="252">
        <f ca="1">'rincian 5'!S123</f>
      </c>
      <c r="L146" s="252">
        <f>'rincian 5'!U123</f>
      </c>
      <c r="M146" s="252">
        <f ca="1">K146+L146</f>
      </c>
      <c r="N146" s="252">
        <f>L146</f>
      </c>
      <c r="O146" s="252">
        <f ca="1">J146-M146</f>
      </c>
      <c r="P146" s="78">
        <f>#REF!</f>
      </c>
      <c r="Q146" s="608">
        <f>N146*P146</f>
      </c>
      <c r="R146" s="609"/>
    </row>
    <row r="147" spans="1:18" ht="18" customHeight="1">
      <c r="A147" s="37"/>
      <c r="B147" s="404">
        <f>#REF!</f>
      </c>
      <c r="C147" s="233"/>
      <c r="D147" s="405">
        <f>IF(#REF!&lt;&gt;"",#REF!,IF(#REF!&lt;&gt;"",#REF!,""))</f>
      </c>
      <c r="E147" s="405"/>
      <c r="F147" s="405"/>
      <c r="G147" s="405"/>
      <c r="H147" s="405"/>
      <c r="I147" s="405"/>
      <c r="J147" s="252"/>
      <c r="K147" s="252"/>
      <c r="L147" s="252"/>
      <c r="M147" s="252"/>
      <c r="N147" s="252"/>
      <c r="O147" s="252"/>
      <c r="P147" s="78"/>
      <c r="Q147" s="624"/>
      <c r="R147" s="625"/>
    </row>
    <row r="148" spans="1:18" ht="18" customHeight="1">
      <c r="A148" s="37"/>
      <c r="B148" s="175">
        <f>#REF!</f>
      </c>
      <c r="C148" s="233"/>
      <c r="D148" s="176">
        <f>IF(#REF!&lt;&gt;"",#REF!,IF(#REF!&lt;&gt;"",#REF!,""))</f>
      </c>
      <c r="E148" s="176"/>
      <c r="F148" s="176"/>
      <c r="G148" s="176"/>
      <c r="H148" s="176"/>
      <c r="I148" s="176"/>
      <c r="J148" s="252">
        <f>#REF!</f>
      </c>
      <c r="K148" s="252">
        <f ca="1">'rincian 5'!S125</f>
      </c>
      <c r="L148" s="252">
        <f>'rincian 5'!U125</f>
      </c>
      <c r="M148" s="252">
        <f ca="1">K148+L148</f>
      </c>
      <c r="N148" s="252">
        <f>L148</f>
      </c>
      <c r="O148" s="252">
        <f ca="1">J148-M148</f>
      </c>
      <c r="P148" s="78">
        <f>#REF!</f>
      </c>
      <c r="Q148" s="608">
        <f>N148*P148</f>
      </c>
      <c r="R148" s="609"/>
    </row>
    <row r="149" spans="1:18" ht="18" customHeight="1">
      <c r="A149" s="37"/>
      <c r="B149" s="175">
        <f>#REF!</f>
      </c>
      <c r="C149" s="233"/>
      <c r="D149" s="176">
        <f>IF(#REF!&lt;&gt;"",#REF!,IF(#REF!&lt;&gt;"",#REF!,""))</f>
      </c>
      <c r="E149" s="176"/>
      <c r="F149" s="176"/>
      <c r="G149" s="176"/>
      <c r="H149" s="176"/>
      <c r="I149" s="176"/>
      <c r="J149" s="252">
        <f>#REF!</f>
      </c>
      <c r="K149" s="252">
        <f ca="1">'rincian 5'!S126</f>
      </c>
      <c r="L149" s="252">
        <f>'rincian 5'!U126</f>
      </c>
      <c r="M149" s="252">
        <f ca="1">K149+L149</f>
      </c>
      <c r="N149" s="252">
        <f>L149</f>
      </c>
      <c r="O149" s="252">
        <f ca="1">J149-M149</f>
      </c>
      <c r="P149" s="78">
        <f>#REF!</f>
      </c>
      <c r="Q149" s="608">
        <f>N149*P149</f>
      </c>
      <c r="R149" s="609"/>
    </row>
    <row r="150" spans="1:18" ht="18" customHeight="1">
      <c r="A150" s="37"/>
      <c r="B150" s="404">
        <f>#REF!</f>
      </c>
      <c r="C150" s="233"/>
      <c r="D150" s="405">
        <f>IF(#REF!&lt;&gt;"",#REF!,IF(#REF!&lt;&gt;"",#REF!,""))</f>
      </c>
      <c r="E150" s="405"/>
      <c r="F150" s="405"/>
      <c r="G150" s="405"/>
      <c r="H150" s="405"/>
      <c r="I150" s="405"/>
      <c r="J150" s="252"/>
      <c r="K150" s="252"/>
      <c r="L150" s="252"/>
      <c r="M150" s="252"/>
      <c r="N150" s="252"/>
      <c r="O150" s="252"/>
      <c r="P150" s="78"/>
      <c r="Q150" s="624"/>
      <c r="R150" s="625"/>
    </row>
    <row r="151" spans="1:18" ht="18" customHeight="1">
      <c r="A151" s="37"/>
      <c r="B151" s="175">
        <f>#REF!</f>
      </c>
      <c r="C151" s="233"/>
      <c r="D151" s="176">
        <f>IF(#REF!&lt;&gt;"",#REF!,IF(#REF!&lt;&gt;"",#REF!,""))</f>
      </c>
      <c r="E151" s="176"/>
      <c r="F151" s="176"/>
      <c r="G151" s="176"/>
      <c r="H151" s="176"/>
      <c r="I151" s="176"/>
      <c r="J151" s="252">
        <f>#REF!</f>
      </c>
      <c r="K151" s="252">
        <f ca="1">'rincian 5'!S128</f>
      </c>
      <c r="L151" s="252">
        <f>'rincian 5'!U128</f>
      </c>
      <c r="M151" s="252">
        <f ca="1">K151+L151</f>
      </c>
      <c r="N151" s="252">
        <f>L151</f>
      </c>
      <c r="O151" s="252">
        <f ca="1">J151-M151</f>
      </c>
      <c r="P151" s="78">
        <f>#REF!</f>
      </c>
      <c r="Q151" s="608">
        <f>N151*P151</f>
      </c>
      <c r="R151" s="609"/>
    </row>
    <row r="152" spans="1:18" ht="18" customHeight="1">
      <c r="A152" s="37"/>
      <c r="B152" s="175">
        <f>#REF!</f>
      </c>
      <c r="C152" s="233"/>
      <c r="D152" s="176">
        <f>IF(#REF!&lt;&gt;"",#REF!,IF(#REF!&lt;&gt;"",#REF!,""))</f>
      </c>
      <c r="E152" s="176"/>
      <c r="F152" s="176"/>
      <c r="G152" s="176"/>
      <c r="H152" s="176"/>
      <c r="I152" s="176"/>
      <c r="J152" s="252">
        <f>#REF!</f>
      </c>
      <c r="K152" s="252">
        <f ca="1">'rincian 5'!S129</f>
      </c>
      <c r="L152" s="252">
        <f>'rincian 5'!U129</f>
      </c>
      <c r="M152" s="252">
        <f ca="1">K152+L152</f>
      </c>
      <c r="N152" s="252">
        <f>L152</f>
      </c>
      <c r="O152" s="252">
        <f ca="1">J152-M152</f>
      </c>
      <c r="P152" s="78">
        <f>#REF!</f>
      </c>
      <c r="Q152" s="608">
        <f>N152*P152</f>
      </c>
      <c r="R152" s="609"/>
    </row>
    <row r="153" spans="1:18" ht="18" customHeight="1">
      <c r="A153" s="37"/>
      <c r="B153" s="175">
        <f>#REF!</f>
      </c>
      <c r="C153" s="233"/>
      <c r="D153" s="176">
        <f>IF(#REF!&lt;&gt;"",#REF!,IF(#REF!&lt;&gt;"",#REF!,""))</f>
      </c>
      <c r="E153" s="176"/>
      <c r="F153" s="176"/>
      <c r="G153" s="176"/>
      <c r="H153" s="176"/>
      <c r="I153" s="176"/>
      <c r="J153" s="252">
        <f>#REF!</f>
      </c>
      <c r="K153" s="252">
        <f ca="1">'rincian 5'!S130</f>
      </c>
      <c r="L153" s="252">
        <f>'rincian 5'!U130</f>
      </c>
      <c r="M153" s="252">
        <f ca="1">K153+L153</f>
      </c>
      <c r="N153" s="252">
        <f>L153</f>
      </c>
      <c r="O153" s="252">
        <f ca="1">J153-M153</f>
      </c>
      <c r="P153" s="78">
        <f>#REF!</f>
      </c>
      <c r="Q153" s="608">
        <f>N153*P153</f>
      </c>
      <c r="R153" s="609"/>
    </row>
    <row r="154" spans="1:18" ht="18" customHeight="1">
      <c r="A154" s="37"/>
      <c r="B154" s="404">
        <f>#REF!</f>
      </c>
      <c r="C154" s="233"/>
      <c r="D154" s="405">
        <f>IF(#REF!&lt;&gt;"",#REF!,IF(#REF!&lt;&gt;"",#REF!,""))</f>
      </c>
      <c r="E154" s="405"/>
      <c r="F154" s="405"/>
      <c r="G154" s="405"/>
      <c r="H154" s="405"/>
      <c r="I154" s="405"/>
      <c r="J154" s="252"/>
      <c r="K154" s="252"/>
      <c r="L154" s="252"/>
      <c r="M154" s="252"/>
      <c r="N154" s="252"/>
      <c r="O154" s="252"/>
      <c r="P154" s="78"/>
      <c r="Q154" s="624"/>
      <c r="R154" s="625"/>
    </row>
    <row r="155" spans="1:18" ht="18" customHeight="1">
      <c r="A155" s="37"/>
      <c r="B155" s="175">
        <f>#REF!</f>
      </c>
      <c r="C155" s="233"/>
      <c r="D155" s="176">
        <f>IF(#REF!&lt;&gt;"",#REF!,IF(#REF!&lt;&gt;"",#REF!,""))</f>
      </c>
      <c r="E155" s="176"/>
      <c r="F155" s="176"/>
      <c r="G155" s="176"/>
      <c r="H155" s="176"/>
      <c r="I155" s="176"/>
      <c r="J155" s="252">
        <f>#REF!</f>
      </c>
      <c r="K155" s="252">
        <f ca="1">'rincian 5'!S132</f>
      </c>
      <c r="L155" s="252">
        <f>'rincian 5'!U132</f>
      </c>
      <c r="M155" s="252">
        <f ca="1">K155+L155</f>
      </c>
      <c r="N155" s="252">
        <f>L155</f>
      </c>
      <c r="O155" s="252">
        <f ca="1">J155-M155</f>
      </c>
      <c r="P155" s="78">
        <f>#REF!</f>
      </c>
      <c r="Q155" s="608">
        <f>N155*P155</f>
      </c>
      <c r="R155" s="609"/>
    </row>
    <row r="156" spans="1:18" ht="18" customHeight="1">
      <c r="A156" s="37"/>
      <c r="B156" s="175">
        <f>#REF!</f>
      </c>
      <c r="C156" s="233"/>
      <c r="D156" s="176">
        <f>IF(#REF!&lt;&gt;"",#REF!,IF(#REF!&lt;&gt;"",#REF!,""))</f>
      </c>
      <c r="E156" s="176"/>
      <c r="F156" s="176"/>
      <c r="G156" s="176"/>
      <c r="H156" s="176"/>
      <c r="I156" s="176"/>
      <c r="J156" s="252">
        <f>#REF!</f>
      </c>
      <c r="K156" s="252">
        <f ca="1">'rincian 5'!S133</f>
      </c>
      <c r="L156" s="252">
        <f>'rincian 5'!U133</f>
      </c>
      <c r="M156" s="252">
        <f ca="1">K156+L156</f>
      </c>
      <c r="N156" s="252">
        <f>L156</f>
      </c>
      <c r="O156" s="252">
        <f ca="1">J156-M156</f>
      </c>
      <c r="P156" s="78">
        <f>#REF!</f>
      </c>
      <c r="Q156" s="608">
        <f>N156*P156</f>
      </c>
      <c r="R156" s="609"/>
    </row>
    <row r="157" spans="1:18" ht="18" customHeight="1">
      <c r="A157" s="37"/>
      <c r="B157" s="404">
        <f>#REF!</f>
      </c>
      <c r="C157" s="233"/>
      <c r="D157" s="405">
        <f>IF(#REF!&lt;&gt;"",#REF!,IF(#REF!&lt;&gt;"",#REF!,""))</f>
      </c>
      <c r="E157" s="405"/>
      <c r="F157" s="405"/>
      <c r="G157" s="405"/>
      <c r="H157" s="405"/>
      <c r="I157" s="405"/>
      <c r="J157" s="252"/>
      <c r="K157" s="252"/>
      <c r="L157" s="252"/>
      <c r="M157" s="252"/>
      <c r="N157" s="252"/>
      <c r="O157" s="252"/>
      <c r="P157" s="78"/>
      <c r="Q157" s="624"/>
      <c r="R157" s="625"/>
    </row>
    <row r="158" spans="1:18" ht="18" customHeight="1">
      <c r="A158" s="37"/>
      <c r="B158" s="175">
        <f>#REF!</f>
      </c>
      <c r="C158" s="233"/>
      <c r="D158" s="176">
        <f>IF(#REF!&lt;&gt;"",#REF!,IF(#REF!&lt;&gt;"",#REF!,""))</f>
      </c>
      <c r="E158" s="176"/>
      <c r="F158" s="176"/>
      <c r="G158" s="176"/>
      <c r="H158" s="176"/>
      <c r="I158" s="176"/>
      <c r="J158" s="252">
        <f>#REF!</f>
      </c>
      <c r="K158" s="252">
        <f ca="1">'rincian 5'!S135</f>
      </c>
      <c r="L158" s="252">
        <f>'rincian 5'!U135</f>
      </c>
      <c r="M158" s="252">
        <f ca="1">K158+L158</f>
      </c>
      <c r="N158" s="252">
        <f>L158</f>
      </c>
      <c r="O158" s="252">
        <f ca="1">J158-M158</f>
      </c>
      <c r="P158" s="78">
        <f>#REF!</f>
      </c>
      <c r="Q158" s="608">
        <f>N158*P158</f>
      </c>
      <c r="R158" s="609"/>
    </row>
    <row r="159" spans="1:18" ht="18" customHeight="1">
      <c r="A159" s="37"/>
      <c r="B159" s="175">
        <f>#REF!</f>
      </c>
      <c r="C159" s="233"/>
      <c r="D159" s="176">
        <f>IF(#REF!&lt;&gt;"",#REF!,IF(#REF!&lt;&gt;"",#REF!,""))</f>
      </c>
      <c r="E159" s="176"/>
      <c r="F159" s="176"/>
      <c r="G159" s="176"/>
      <c r="H159" s="176"/>
      <c r="I159" s="176"/>
      <c r="J159" s="252">
        <f>#REF!</f>
      </c>
      <c r="K159" s="252">
        <f ca="1">'rincian 5'!S136</f>
      </c>
      <c r="L159" s="252">
        <f>'rincian 5'!U136</f>
      </c>
      <c r="M159" s="252">
        <f ca="1">K159+L159</f>
      </c>
      <c r="N159" s="252">
        <f>L159</f>
      </c>
      <c r="O159" s="252">
        <f ca="1">J159-M159</f>
      </c>
      <c r="P159" s="78">
        <f>#REF!</f>
      </c>
      <c r="Q159" s="608">
        <f>N159*P159</f>
      </c>
      <c r="R159" s="609"/>
    </row>
    <row r="160" spans="1:18" ht="18" customHeight="1">
      <c r="A160" s="37"/>
      <c r="B160" s="175">
        <f>#REF!</f>
      </c>
      <c r="C160" s="233"/>
      <c r="D160" s="176">
        <f>IF(#REF!&lt;&gt;"",#REF!,IF(#REF!&lt;&gt;"",#REF!,""))</f>
      </c>
      <c r="E160" s="176"/>
      <c r="F160" s="176"/>
      <c r="G160" s="176"/>
      <c r="H160" s="176"/>
      <c r="I160" s="176"/>
      <c r="J160" s="252">
        <f>#REF!</f>
      </c>
      <c r="K160" s="252">
        <f ca="1">'rincian 5'!S137</f>
      </c>
      <c r="L160" s="252">
        <f>'rincian 5'!U137</f>
      </c>
      <c r="M160" s="252">
        <f ca="1">K160+L160</f>
      </c>
      <c r="N160" s="252">
        <f>L160</f>
      </c>
      <c r="O160" s="252">
        <f ca="1">J160-M160</f>
      </c>
      <c r="P160" s="78">
        <f>#REF!</f>
      </c>
      <c r="Q160" s="608">
        <f>N160*P160</f>
      </c>
      <c r="R160" s="609"/>
    </row>
    <row r="161" spans="1:18" ht="18" customHeight="1">
      <c r="A161" s="37"/>
      <c r="B161" s="406">
        <f>#REF!</f>
      </c>
      <c r="C161" s="407"/>
      <c r="D161" s="408">
        <f>IF(#REF!&lt;&gt;"",#REF!,IF(#REF!&lt;&gt;"",#REF!,""))</f>
      </c>
      <c r="E161" s="408"/>
      <c r="F161" s="408"/>
      <c r="G161" s="408"/>
      <c r="H161" s="408"/>
      <c r="I161" s="408"/>
      <c r="J161" s="409"/>
      <c r="K161" s="409"/>
      <c r="L161" s="409"/>
      <c r="M161" s="409"/>
      <c r="N161" s="409"/>
      <c r="O161" s="409"/>
      <c r="P161" s="410"/>
      <c r="Q161" s="624"/>
      <c r="R161" s="625"/>
    </row>
    <row r="162" spans="1:18" ht="18" customHeight="1">
      <c r="A162" s="37"/>
      <c r="B162" s="404">
        <f>#REF!</f>
      </c>
      <c r="C162" s="233"/>
      <c r="D162" s="405">
        <f>IF(#REF!&lt;&gt;"",#REF!,IF(#REF!&lt;&gt;"",#REF!,""))</f>
      </c>
      <c r="E162" s="405"/>
      <c r="F162" s="405"/>
      <c r="G162" s="405"/>
      <c r="H162" s="405"/>
      <c r="I162" s="405"/>
      <c r="J162" s="252"/>
      <c r="K162" s="252"/>
      <c r="L162" s="252"/>
      <c r="M162" s="252"/>
      <c r="N162" s="252"/>
      <c r="O162" s="252"/>
      <c r="P162" s="78"/>
      <c r="Q162" s="624"/>
      <c r="R162" s="625"/>
    </row>
    <row r="163" spans="1:18" ht="18" customHeight="1">
      <c r="A163" s="37"/>
      <c r="B163" s="175">
        <f>#REF!</f>
      </c>
      <c r="C163" s="233"/>
      <c r="D163" s="176">
        <f>IF(#REF!&lt;&gt;"",#REF!,IF(#REF!&lt;&gt;"",#REF!,""))</f>
      </c>
      <c r="E163" s="176"/>
      <c r="F163" s="176"/>
      <c r="G163" s="176"/>
      <c r="H163" s="176"/>
      <c r="I163" s="176"/>
      <c r="J163" s="252">
        <f>#REF!</f>
      </c>
      <c r="K163" s="252">
        <f ca="1">'rincian 5'!S140</f>
      </c>
      <c r="L163" s="252">
        <f>'rincian 5'!U140</f>
      </c>
      <c r="M163" s="252">
        <f ca="1">K163+L163</f>
      </c>
      <c r="N163" s="252">
        <f>L163</f>
      </c>
      <c r="O163" s="252">
        <f ca="1">J163-M163</f>
      </c>
      <c r="P163" s="78">
        <f>#REF!</f>
      </c>
      <c r="Q163" s="608">
        <f>N163*P163</f>
      </c>
      <c r="R163" s="609"/>
    </row>
    <row r="164" spans="1:18" ht="18" customHeight="1">
      <c r="A164" s="37"/>
      <c r="B164" s="175">
        <f>#REF!</f>
      </c>
      <c r="C164" s="233"/>
      <c r="D164" s="176">
        <f>IF(#REF!&lt;&gt;"",#REF!,IF(#REF!&lt;&gt;"",#REF!,""))</f>
      </c>
      <c r="E164" s="176"/>
      <c r="F164" s="176"/>
      <c r="G164" s="176"/>
      <c r="H164" s="176"/>
      <c r="I164" s="176"/>
      <c r="J164" s="252">
        <f>#REF!</f>
      </c>
      <c r="K164" s="252">
        <f ca="1">'rincian 5'!S141</f>
      </c>
      <c r="L164" s="252">
        <f>'rincian 5'!U141</f>
      </c>
      <c r="M164" s="252">
        <f ca="1">K164+L164</f>
      </c>
      <c r="N164" s="252">
        <f>L164</f>
      </c>
      <c r="O164" s="252">
        <f ca="1">J164-M164</f>
      </c>
      <c r="P164" s="78">
        <f>#REF!</f>
      </c>
      <c r="Q164" s="608">
        <f>N164*P164</f>
      </c>
      <c r="R164" s="609"/>
    </row>
    <row r="165" spans="1:18" ht="18" customHeight="1">
      <c r="A165" s="37"/>
      <c r="B165" s="175">
        <f>#REF!</f>
      </c>
      <c r="C165" s="233"/>
      <c r="D165" s="176">
        <f>IF(#REF!&lt;&gt;"",#REF!,IF(#REF!&lt;&gt;"",#REF!,""))</f>
      </c>
      <c r="E165" s="176"/>
      <c r="F165" s="176"/>
      <c r="G165" s="176"/>
      <c r="H165" s="176"/>
      <c r="I165" s="176"/>
      <c r="J165" s="252">
        <f>#REF!</f>
      </c>
      <c r="K165" s="252">
        <f ca="1">'rincian 5'!S142</f>
      </c>
      <c r="L165" s="252">
        <f>'rincian 5'!U142</f>
      </c>
      <c r="M165" s="252">
        <f ca="1">K165+L165</f>
      </c>
      <c r="N165" s="252">
        <f>L165</f>
      </c>
      <c r="O165" s="252">
        <f ca="1">J165-M165</f>
      </c>
      <c r="P165" s="78">
        <f>#REF!</f>
      </c>
      <c r="Q165" s="608">
        <f>N165*P165</f>
      </c>
      <c r="R165" s="609"/>
    </row>
    <row r="166" spans="1:18" ht="18" customHeight="1">
      <c r="A166" s="37"/>
      <c r="B166" s="175">
        <f>#REF!</f>
      </c>
      <c r="C166" s="233"/>
      <c r="D166" s="176">
        <f>IF(#REF!&lt;&gt;"",#REF!,IF(#REF!&lt;&gt;"",#REF!,""))</f>
      </c>
      <c r="E166" s="176"/>
      <c r="F166" s="176"/>
      <c r="G166" s="176"/>
      <c r="H166" s="176"/>
      <c r="I166" s="176"/>
      <c r="J166" s="252">
        <f>#REF!</f>
      </c>
      <c r="K166" s="252">
        <f ca="1">'rincian 5'!S143</f>
      </c>
      <c r="L166" s="252">
        <f>'rincian 5'!U143</f>
      </c>
      <c r="M166" s="252">
        <f ca="1">K166+L166</f>
      </c>
      <c r="N166" s="252">
        <f>L166</f>
      </c>
      <c r="O166" s="252">
        <f ca="1">J166-M166</f>
      </c>
      <c r="P166" s="78">
        <f>#REF!</f>
      </c>
      <c r="Q166" s="608">
        <f>N166*P166</f>
      </c>
      <c r="R166" s="609"/>
    </row>
    <row r="167" spans="1:18" ht="18" customHeight="1">
      <c r="A167" s="37"/>
      <c r="B167" s="175">
        <f>#REF!</f>
      </c>
      <c r="C167" s="233"/>
      <c r="D167" s="176">
        <f>IF(#REF!&lt;&gt;"",#REF!,IF(#REF!&lt;&gt;"",#REF!,""))</f>
      </c>
      <c r="E167" s="176"/>
      <c r="F167" s="176"/>
      <c r="G167" s="176"/>
      <c r="H167" s="176"/>
      <c r="I167" s="176"/>
      <c r="J167" s="252"/>
      <c r="K167" s="252"/>
      <c r="L167" s="252"/>
      <c r="M167" s="252"/>
      <c r="N167" s="252"/>
      <c r="O167" s="252"/>
      <c r="P167" s="78"/>
      <c r="Q167" s="624"/>
      <c r="R167" s="625"/>
    </row>
    <row r="168" spans="1:18" ht="18" customHeight="1">
      <c r="A168" s="37"/>
      <c r="B168" s="175">
        <f>#REF!</f>
      </c>
      <c r="C168" s="233"/>
      <c r="D168" s="176">
        <f>IF(#REF!&lt;&gt;"",#REF!,IF(#REF!&lt;&gt;"",#REF!,""))</f>
      </c>
      <c r="E168" s="176"/>
      <c r="F168" s="176"/>
      <c r="G168" s="176"/>
      <c r="H168" s="176"/>
      <c r="I168" s="176"/>
      <c r="J168" s="252"/>
      <c r="K168" s="252"/>
      <c r="L168" s="252"/>
      <c r="M168" s="252"/>
      <c r="N168" s="252"/>
      <c r="O168" s="252"/>
      <c r="P168" s="78"/>
      <c r="Q168" s="624"/>
      <c r="R168" s="625"/>
    </row>
    <row r="169" spans="1:18" ht="36" customHeight="1">
      <c r="A169" s="37"/>
      <c r="B169" s="175">
        <f>#REF!</f>
      </c>
      <c r="C169" s="233"/>
      <c r="D169" s="653">
        <f>IF(#REF!&lt;&gt;"",#REF!,IF(#REF!&lt;&gt;"",#REF!,""))</f>
      </c>
      <c r="E169" s="653"/>
      <c r="F169" s="653"/>
      <c r="G169" s="653"/>
      <c r="H169" s="653"/>
      <c r="I169" s="654"/>
      <c r="J169" s="252"/>
      <c r="K169" s="252"/>
      <c r="L169" s="252"/>
      <c r="M169" s="252"/>
      <c r="N169" s="252"/>
      <c r="O169" s="252"/>
      <c r="P169" s="78"/>
      <c r="Q169" s="624"/>
      <c r="R169" s="625"/>
    </row>
    <row r="170" spans="1:18" ht="18" customHeight="1">
      <c r="A170" s="37"/>
      <c r="B170" s="175">
        <f>#REF!</f>
      </c>
      <c r="C170" s="233"/>
      <c r="D170" s="176">
        <f>IF(#REF!&lt;&gt;"",#REF!,IF(#REF!&lt;&gt;"",#REF!,""))</f>
      </c>
      <c r="E170" s="176"/>
      <c r="F170" s="176"/>
      <c r="G170" s="176"/>
      <c r="H170" s="176"/>
      <c r="I170" s="176"/>
      <c r="J170" s="252">
        <f>#REF!</f>
      </c>
      <c r="K170" s="252">
        <f ca="1">'rincian 5'!S147</f>
      </c>
      <c r="L170" s="252">
        <f>'rincian 5'!U147</f>
      </c>
      <c r="M170" s="252">
        <f ca="1">K170+L170</f>
      </c>
      <c r="N170" s="252">
        <f>L170</f>
      </c>
      <c r="O170" s="252">
        <f ca="1">J170-M170</f>
      </c>
      <c r="P170" s="78">
        <f>#REF!</f>
      </c>
      <c r="Q170" s="608">
        <f>N170*P170</f>
      </c>
      <c r="R170" s="609"/>
    </row>
    <row r="171" spans="1:18" ht="18" customHeight="1">
      <c r="A171" s="37"/>
      <c r="B171" s="175">
        <f>#REF!</f>
      </c>
      <c r="C171" s="233"/>
      <c r="D171" s="176">
        <f>IF(#REF!&lt;&gt;"",#REF!,IF(#REF!&lt;&gt;"",#REF!,""))</f>
      </c>
      <c r="E171" s="176"/>
      <c r="F171" s="176"/>
      <c r="G171" s="176"/>
      <c r="H171" s="176"/>
      <c r="I171" s="176"/>
      <c r="J171" s="252"/>
      <c r="K171" s="252"/>
      <c r="L171" s="252"/>
      <c r="M171" s="252"/>
      <c r="N171" s="252"/>
      <c r="O171" s="252"/>
      <c r="P171" s="78"/>
      <c r="Q171" s="624"/>
      <c r="R171" s="625"/>
    </row>
    <row r="172" spans="1:18" ht="18" customHeight="1">
      <c r="A172" s="37"/>
      <c r="B172" s="175">
        <f>#REF!</f>
      </c>
      <c r="C172" s="233"/>
      <c r="D172" s="176">
        <f>IF(#REF!&lt;&gt;"",#REF!,IF(#REF!&lt;&gt;"",#REF!,""))</f>
      </c>
      <c r="E172" s="176"/>
      <c r="F172" s="176"/>
      <c r="G172" s="176"/>
      <c r="H172" s="176"/>
      <c r="I172" s="176"/>
      <c r="J172" s="252"/>
      <c r="K172" s="252"/>
      <c r="L172" s="252"/>
      <c r="M172" s="252"/>
      <c r="N172" s="252"/>
      <c r="O172" s="252"/>
      <c r="P172" s="78"/>
      <c r="Q172" s="624"/>
      <c r="R172" s="625"/>
    </row>
    <row r="173" spans="1:18" ht="18" customHeight="1">
      <c r="A173" s="37"/>
      <c r="B173" s="175">
        <f>#REF!</f>
      </c>
      <c r="C173" s="233"/>
      <c r="D173" s="176">
        <f>IF(#REF!&lt;&gt;"",#REF!,IF(#REF!&lt;&gt;"",#REF!,""))</f>
      </c>
      <c r="E173" s="176"/>
      <c r="F173" s="176"/>
      <c r="G173" s="176"/>
      <c r="H173" s="176"/>
      <c r="I173" s="176"/>
      <c r="J173" s="252"/>
      <c r="K173" s="252"/>
      <c r="L173" s="252"/>
      <c r="M173" s="252"/>
      <c r="N173" s="252"/>
      <c r="O173" s="252"/>
      <c r="P173" s="78"/>
      <c r="Q173" s="624"/>
      <c r="R173" s="625"/>
    </row>
    <row r="174" spans="1:18" ht="18" customHeight="1">
      <c r="A174" s="37"/>
      <c r="B174" s="175">
        <f>#REF!</f>
      </c>
      <c r="C174" s="233"/>
      <c r="D174" s="176">
        <f>IF(#REF!&lt;&gt;"",#REF!,IF(#REF!&lt;&gt;"",#REF!,""))</f>
      </c>
      <c r="E174" s="176"/>
      <c r="F174" s="176"/>
      <c r="G174" s="176"/>
      <c r="H174" s="176"/>
      <c r="I174" s="176"/>
      <c r="J174" s="252"/>
      <c r="K174" s="252"/>
      <c r="L174" s="252"/>
      <c r="M174" s="252"/>
      <c r="N174" s="252"/>
      <c r="O174" s="252"/>
      <c r="P174" s="78"/>
      <c r="Q174" s="624"/>
      <c r="R174" s="625"/>
    </row>
    <row r="175" spans="1:18" ht="18" customHeight="1">
      <c r="A175" s="37"/>
      <c r="B175" s="175">
        <f>#REF!</f>
      </c>
      <c r="C175" s="233"/>
      <c r="D175" s="176">
        <f>IF(#REF!&lt;&gt;"",#REF!,IF(#REF!&lt;&gt;"",#REF!,""))</f>
      </c>
      <c r="E175" s="176"/>
      <c r="F175" s="176"/>
      <c r="G175" s="176"/>
      <c r="H175" s="176"/>
      <c r="I175" s="176"/>
      <c r="J175" s="252">
        <f>#REF!</f>
      </c>
      <c r="K175" s="252">
        <f ca="1">'rincian 5'!S152</f>
      </c>
      <c r="L175" s="252">
        <f>'rincian 5'!U152</f>
      </c>
      <c r="M175" s="252">
        <f ca="1">K175+L175</f>
      </c>
      <c r="N175" s="252">
        <f>L175</f>
      </c>
      <c r="O175" s="252">
        <f ca="1">J175-M175</f>
      </c>
      <c r="P175" s="78">
        <f>#REF!</f>
      </c>
      <c r="Q175" s="608">
        <f>N175*P175</f>
      </c>
      <c r="R175" s="609"/>
    </row>
    <row r="176" spans="1:18" ht="18" customHeight="1">
      <c r="A176" s="37"/>
      <c r="B176" s="404">
        <f>#REF!</f>
      </c>
      <c r="C176" s="233"/>
      <c r="D176" s="405">
        <f>IF(#REF!&lt;&gt;"",#REF!,IF(#REF!&lt;&gt;"",#REF!,""))</f>
      </c>
      <c r="E176" s="405"/>
      <c r="F176" s="405"/>
      <c r="G176" s="405"/>
      <c r="H176" s="405"/>
      <c r="I176" s="405"/>
      <c r="J176" s="252"/>
      <c r="K176" s="252"/>
      <c r="L176" s="252"/>
      <c r="M176" s="252"/>
      <c r="N176" s="252"/>
      <c r="O176" s="252"/>
      <c r="P176" s="78"/>
      <c r="Q176" s="624"/>
      <c r="R176" s="625"/>
    </row>
    <row r="177" spans="1:18" ht="18" customHeight="1">
      <c r="A177" s="37"/>
      <c r="B177" s="175">
        <f>#REF!</f>
      </c>
      <c r="C177" s="233"/>
      <c r="D177" s="176">
        <f>IF(#REF!&lt;&gt;"",#REF!,IF(#REF!&lt;&gt;"",#REF!,""))</f>
      </c>
      <c r="E177" s="176"/>
      <c r="F177" s="176"/>
      <c r="G177" s="176"/>
      <c r="H177" s="176"/>
      <c r="I177" s="176"/>
      <c r="J177" s="252">
        <f>#REF!</f>
      </c>
      <c r="K177" s="252">
        <f ca="1">'rincian 5'!S154</f>
      </c>
      <c r="L177" s="252">
        <f>'rincian 5'!U154</f>
      </c>
      <c r="M177" s="252">
        <f ca="1">K177+L177</f>
      </c>
      <c r="N177" s="252">
        <f>L177</f>
      </c>
      <c r="O177" s="252">
        <f ca="1">J177-M177</f>
      </c>
      <c r="P177" s="78">
        <f>#REF!</f>
      </c>
      <c r="Q177" s="608">
        <f>N177*P177</f>
      </c>
      <c r="R177" s="609"/>
    </row>
    <row r="178" spans="1:18" ht="18" customHeight="1">
      <c r="A178" s="37"/>
      <c r="B178" s="175">
        <f>#REF!</f>
      </c>
      <c r="C178" s="233"/>
      <c r="D178" s="176">
        <f>IF(#REF!&lt;&gt;"",#REF!,IF(#REF!&lt;&gt;"",#REF!,""))</f>
      </c>
      <c r="E178" s="176"/>
      <c r="F178" s="176"/>
      <c r="G178" s="176"/>
      <c r="H178" s="176"/>
      <c r="I178" s="176"/>
      <c r="J178" s="252">
        <f>#REF!</f>
      </c>
      <c r="K178" s="252">
        <f ca="1">'rincian 5'!S155</f>
      </c>
      <c r="L178" s="252">
        <f>'rincian 5'!U155</f>
      </c>
      <c r="M178" s="252">
        <f ca="1">K178+L178</f>
      </c>
      <c r="N178" s="252">
        <f>L178</f>
      </c>
      <c r="O178" s="252">
        <f ca="1">J178-M178</f>
      </c>
      <c r="P178" s="78">
        <f>#REF!</f>
      </c>
      <c r="Q178" s="608">
        <f>N178*P178</f>
      </c>
      <c r="R178" s="609"/>
    </row>
    <row r="179" spans="1:18" ht="18" customHeight="1">
      <c r="A179" s="37"/>
      <c r="B179" s="175">
        <f>#REF!</f>
      </c>
      <c r="C179" s="233"/>
      <c r="D179" s="176">
        <f>IF(#REF!&lt;&gt;"",#REF!,IF(#REF!&lt;&gt;"",#REF!,""))</f>
      </c>
      <c r="E179" s="176"/>
      <c r="F179" s="176"/>
      <c r="G179" s="176"/>
      <c r="H179" s="176"/>
      <c r="I179" s="176"/>
      <c r="J179" s="252"/>
      <c r="K179" s="252"/>
      <c r="L179" s="252"/>
      <c r="M179" s="252"/>
      <c r="N179" s="252"/>
      <c r="O179" s="252"/>
      <c r="P179" s="78"/>
      <c r="Q179" s="624"/>
      <c r="R179" s="625"/>
    </row>
    <row r="180" spans="1:18" ht="18" customHeight="1">
      <c r="A180" s="37"/>
      <c r="B180" s="175">
        <f>#REF!</f>
      </c>
      <c r="C180" s="233"/>
      <c r="D180" s="176">
        <f>IF(#REF!&lt;&gt;"",#REF!,IF(#REF!&lt;&gt;"",#REF!,""))</f>
      </c>
      <c r="E180" s="176"/>
      <c r="F180" s="176"/>
      <c r="G180" s="176"/>
      <c r="H180" s="176"/>
      <c r="I180" s="176"/>
      <c r="J180" s="252"/>
      <c r="K180" s="252"/>
      <c r="L180" s="252"/>
      <c r="M180" s="252"/>
      <c r="N180" s="252"/>
      <c r="O180" s="252"/>
      <c r="P180" s="78"/>
      <c r="Q180" s="624"/>
      <c r="R180" s="625"/>
    </row>
    <row r="181" spans="1:18" ht="18" customHeight="1">
      <c r="A181" s="37"/>
      <c r="B181" s="175">
        <f>#REF!</f>
      </c>
      <c r="C181" s="233"/>
      <c r="D181" s="176">
        <f>IF(#REF!&lt;&gt;"",#REF!,IF(#REF!&lt;&gt;"",#REF!,""))</f>
      </c>
      <c r="E181" s="176"/>
      <c r="F181" s="176"/>
      <c r="G181" s="176"/>
      <c r="H181" s="176"/>
      <c r="I181" s="176"/>
      <c r="J181" s="252"/>
      <c r="K181" s="252"/>
      <c r="L181" s="252"/>
      <c r="M181" s="252"/>
      <c r="N181" s="252"/>
      <c r="O181" s="252"/>
      <c r="P181" s="78"/>
      <c r="Q181" s="624"/>
      <c r="R181" s="625"/>
    </row>
    <row r="182" spans="1:18" ht="18" customHeight="1">
      <c r="A182" s="37"/>
      <c r="B182" s="175">
        <f>#REF!</f>
      </c>
      <c r="C182" s="233"/>
      <c r="D182" s="176">
        <f>IF(#REF!&lt;&gt;"",#REF!,IF(#REF!&lt;&gt;"",#REF!,""))</f>
      </c>
      <c r="E182" s="176"/>
      <c r="F182" s="176"/>
      <c r="G182" s="176"/>
      <c r="H182" s="176"/>
      <c r="I182" s="176"/>
      <c r="J182" s="252">
        <f>#REF!</f>
      </c>
      <c r="K182" s="252">
        <f ca="1">'rincian 5'!S159</f>
      </c>
      <c r="L182" s="252">
        <f>'rincian 5'!U159</f>
      </c>
      <c r="M182" s="252">
        <f ca="1">K182+L182</f>
      </c>
      <c r="N182" s="252">
        <f>L182</f>
      </c>
      <c r="O182" s="252">
        <f ca="1">J182-M182</f>
      </c>
      <c r="P182" s="78">
        <f>#REF!</f>
      </c>
      <c r="Q182" s="608">
        <f>N182*P182</f>
      </c>
      <c r="R182" s="609"/>
    </row>
    <row r="183" spans="1:18" ht="18" customHeight="1">
      <c r="A183" s="37"/>
      <c r="B183" s="175">
        <f>#REF!</f>
      </c>
      <c r="C183" s="233"/>
      <c r="D183" s="176">
        <f>IF(#REF!&lt;&gt;"",#REF!,IF(#REF!&lt;&gt;"",#REF!,""))</f>
      </c>
      <c r="E183" s="176"/>
      <c r="F183" s="176"/>
      <c r="G183" s="176"/>
      <c r="H183" s="176"/>
      <c r="I183" s="176"/>
      <c r="J183" s="252"/>
      <c r="K183" s="252"/>
      <c r="L183" s="252"/>
      <c r="M183" s="252"/>
      <c r="N183" s="252"/>
      <c r="O183" s="252"/>
      <c r="P183" s="78"/>
      <c r="Q183" s="624"/>
      <c r="R183" s="625"/>
    </row>
    <row r="184" spans="1:18" ht="18" customHeight="1">
      <c r="A184" s="37"/>
      <c r="B184" s="175">
        <f>#REF!</f>
      </c>
      <c r="C184" s="233"/>
      <c r="D184" s="176">
        <f>IF(#REF!&lt;&gt;"",#REF!,IF(#REF!&lt;&gt;"",#REF!,""))</f>
      </c>
      <c r="E184" s="176"/>
      <c r="F184" s="176"/>
      <c r="G184" s="176"/>
      <c r="H184" s="176"/>
      <c r="I184" s="176"/>
      <c r="J184" s="252"/>
      <c r="K184" s="252"/>
      <c r="L184" s="252"/>
      <c r="M184" s="252"/>
      <c r="N184" s="252"/>
      <c r="O184" s="252"/>
      <c r="P184" s="78"/>
      <c r="Q184" s="624"/>
      <c r="R184" s="625"/>
    </row>
    <row r="185" spans="1:18" ht="18" customHeight="1">
      <c r="A185" s="37"/>
      <c r="B185" s="175">
        <f>#REF!</f>
      </c>
      <c r="C185" s="233"/>
      <c r="D185" s="176">
        <f>IF(#REF!&lt;&gt;"",#REF!,IF(#REF!&lt;&gt;"",#REF!,""))</f>
      </c>
      <c r="E185" s="176"/>
      <c r="F185" s="176"/>
      <c r="G185" s="176"/>
      <c r="H185" s="176"/>
      <c r="I185" s="176"/>
      <c r="J185" s="252">
        <f>#REF!</f>
      </c>
      <c r="K185" s="252">
        <f ca="1">'rincian 5'!S162</f>
      </c>
      <c r="L185" s="252">
        <f>'rincian 5'!U162</f>
      </c>
      <c r="M185" s="252">
        <f ca="1">K185+L185</f>
      </c>
      <c r="N185" s="252">
        <f>L185</f>
      </c>
      <c r="O185" s="252">
        <f ca="1">J185-M185</f>
      </c>
      <c r="P185" s="78">
        <f>#REF!</f>
      </c>
      <c r="Q185" s="608">
        <f>N185*P185</f>
      </c>
      <c r="R185" s="609"/>
    </row>
    <row r="186" spans="1:18" ht="18" customHeight="1">
      <c r="A186" s="37"/>
      <c r="B186" s="175">
        <f>#REF!</f>
      </c>
      <c r="C186" s="233"/>
      <c r="D186" s="176">
        <f>IF(#REF!&lt;&gt;"",#REF!,IF(#REF!&lt;&gt;"",#REF!,""))</f>
      </c>
      <c r="E186" s="176"/>
      <c r="F186" s="176"/>
      <c r="G186" s="176"/>
      <c r="H186" s="176"/>
      <c r="I186" s="176"/>
      <c r="J186" s="252">
        <f>#REF!</f>
      </c>
      <c r="K186" s="252">
        <f ca="1">'rincian 5'!S163</f>
      </c>
      <c r="L186" s="252">
        <f>'rincian 5'!U163</f>
      </c>
      <c r="M186" s="252">
        <f ca="1">K186+L186</f>
      </c>
      <c r="N186" s="252">
        <f>L186</f>
      </c>
      <c r="O186" s="252">
        <f ca="1">J186-M186</f>
      </c>
      <c r="P186" s="78">
        <f>#REF!</f>
      </c>
      <c r="Q186" s="608">
        <f>N186*P186</f>
      </c>
      <c r="R186" s="609"/>
    </row>
    <row r="187" spans="1:18" ht="18" customHeight="1">
      <c r="A187" s="37"/>
      <c r="B187" s="175">
        <f>#REF!</f>
      </c>
      <c r="C187" s="233"/>
      <c r="D187" s="176">
        <f>IF(#REF!&lt;&gt;"",#REF!,IF(#REF!&lt;&gt;"",#REF!,""))</f>
      </c>
      <c r="E187" s="176"/>
      <c r="F187" s="176"/>
      <c r="G187" s="176"/>
      <c r="H187" s="176"/>
      <c r="I187" s="176"/>
      <c r="J187" s="252">
        <f>#REF!</f>
      </c>
      <c r="K187" s="252">
        <f ca="1">'rincian 5'!S164</f>
      </c>
      <c r="L187" s="252">
        <f>'rincian 5'!U164</f>
      </c>
      <c r="M187" s="252">
        <f ca="1">K187+L187</f>
      </c>
      <c r="N187" s="252">
        <f>L187</f>
      </c>
      <c r="O187" s="252">
        <f ca="1">J187-M187</f>
      </c>
      <c r="P187" s="78">
        <f>#REF!</f>
      </c>
      <c r="Q187" s="608">
        <f>N187*P187</f>
      </c>
      <c r="R187" s="609"/>
    </row>
    <row r="188" spans="1:18">
      <c r="B188" s="178"/>
      <c r="C188" s="177"/>
      <c r="D188" s="176"/>
      <c r="E188" s="176"/>
      <c r="F188" s="176"/>
      <c r="G188" s="176"/>
      <c r="H188" s="176"/>
      <c r="I188" s="176"/>
      <c r="J188" s="78"/>
      <c r="K188" s="78"/>
      <c r="L188" s="78"/>
      <c r="M188" s="78"/>
      <c r="N188" s="78"/>
      <c r="O188" s="78"/>
      <c r="P188" s="78"/>
      <c r="Q188" s="626"/>
      <c r="R188" s="627"/>
    </row>
    <row r="189" spans="1:18">
      <c r="B189" s="179"/>
      <c r="C189" s="65"/>
      <c r="D189" s="180" t="s">
        <v>123</v>
      </c>
      <c r="E189" s="180"/>
      <c r="F189" s="180"/>
      <c r="G189" s="180"/>
      <c r="H189" s="180"/>
      <c r="I189" s="180"/>
      <c r="J189" s="65"/>
      <c r="K189" s="65"/>
      <c r="L189" s="65"/>
      <c r="M189" s="65"/>
      <c r="N189" s="65"/>
      <c r="O189" s="65"/>
      <c r="P189" s="65"/>
      <c r="Q189" s="628">
        <f>SUM(Q35:Q187)</f>
      </c>
      <c r="R189" s="629"/>
    </row>
    <row r="190" spans="1:18" ht="7.5" customHeight="1">
      <c r="B190" s="181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2"/>
    </row>
    <row r="191" spans="1:18">
      <c r="B191" s="183"/>
      <c r="C191" s="184" t="s">
        <v>124</v>
      </c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2"/>
    </row>
    <row r="192" spans="1:18" ht="17.399999999999999">
      <c r="B192" s="183"/>
      <c r="C192" s="184">
        <v>1</v>
      </c>
      <c r="D192" s="184" t="s">
        <v>125</v>
      </c>
      <c r="E192" s="184"/>
      <c r="F192" s="184"/>
      <c r="G192" s="184"/>
      <c r="H192" s="184"/>
      <c r="I192" s="184"/>
      <c r="J192" s="184" t="s">
        <v>2</v>
      </c>
      <c r="K192" s="185">
        <f ca="1">'rincian 5'!X166</f>
      </c>
      <c r="L192" s="184"/>
      <c r="M192" s="186" t="s">
        <v>126</v>
      </c>
      <c r="N192" s="612">
        <f ca="1">K192*$I$24</f>
      </c>
      <c r="O192" s="612"/>
      <c r="P192" s="187" t="s">
        <v>127</v>
      </c>
      <c r="Q192" s="184"/>
      <c r="R192" s="182"/>
    </row>
    <row r="193" spans="2:21" ht="17.399999999999999">
      <c r="B193" s="183"/>
      <c r="C193" s="184">
        <v>2</v>
      </c>
      <c r="D193" s="184" t="s">
        <v>128</v>
      </c>
      <c r="E193" s="184"/>
      <c r="F193" s="184"/>
      <c r="G193" s="184"/>
      <c r="H193" s="184"/>
      <c r="I193" s="184"/>
      <c r="J193" s="184" t="s">
        <v>2</v>
      </c>
      <c r="K193" s="185">
        <f ca="1">'rincian 5'!T166</f>
      </c>
      <c r="L193" s="184"/>
      <c r="M193" s="186" t="s">
        <v>126</v>
      </c>
      <c r="N193" s="612">
        <f ca="1">K193*$I$24</f>
      </c>
      <c r="O193" s="612"/>
      <c r="P193" s="187" t="s">
        <v>129</v>
      </c>
      <c r="Q193" s="184"/>
      <c r="R193" s="182"/>
    </row>
    <row r="194" spans="2:21">
      <c r="B194" s="183"/>
      <c r="C194" s="184">
        <v>3</v>
      </c>
      <c r="D194" s="184" t="s">
        <v>130</v>
      </c>
      <c r="E194" s="184"/>
      <c r="F194" s="184"/>
      <c r="G194" s="184"/>
      <c r="H194" s="184"/>
      <c r="I194" s="184"/>
      <c r="J194" s="184" t="s">
        <v>2</v>
      </c>
      <c r="K194" s="185">
        <f t="shared" ref="K194:K197" ca="1" si="16">N194/$I$24</f>
      </c>
      <c r="L194" s="184"/>
      <c r="M194" s="188" t="s">
        <v>126</v>
      </c>
      <c r="N194" s="610">
        <f ca="1">N192-N193</f>
      </c>
      <c r="O194" s="610"/>
      <c r="P194" s="184"/>
      <c r="Q194" s="184"/>
      <c r="R194" s="182"/>
    </row>
    <row r="195" spans="2:21">
      <c r="B195" s="183"/>
      <c r="C195" s="184">
        <v>4</v>
      </c>
      <c r="D195" s="184" t="s">
        <v>131</v>
      </c>
      <c r="E195" s="184"/>
      <c r="F195" s="184"/>
      <c r="G195" s="184"/>
      <c r="H195" s="184"/>
      <c r="I195" s="184"/>
      <c r="J195" s="184"/>
      <c r="K195" s="223">
        <f ca="1">K192*100</f>
      </c>
      <c r="L195" s="184"/>
      <c r="M195" s="184"/>
      <c r="N195" s="184"/>
      <c r="O195" s="184"/>
      <c r="P195" s="184"/>
      <c r="Q195" s="184"/>
      <c r="R195" s="182"/>
    </row>
    <row r="196" spans="2:21" ht="17.399999999999999">
      <c r="B196" s="183"/>
      <c r="C196" s="184"/>
      <c r="D196" s="184" t="s">
        <v>132</v>
      </c>
      <c r="E196" s="184"/>
      <c r="F196" s="184"/>
      <c r="G196" s="184"/>
      <c r="H196" s="184"/>
      <c r="I196" s="184"/>
      <c r="J196" s="184" t="s">
        <v>2</v>
      </c>
      <c r="K196" s="185">
        <f t="shared" si="16"/>
      </c>
      <c r="L196" s="184"/>
      <c r="M196" s="186" t="s">
        <v>126</v>
      </c>
      <c r="N196" s="611">
        <v>0</v>
      </c>
      <c r="O196" s="611"/>
      <c r="P196" s="187" t="s">
        <v>129</v>
      </c>
      <c r="Q196" s="184"/>
      <c r="R196" s="182"/>
    </row>
    <row r="197" spans="2:21" ht="17.399999999999999">
      <c r="B197" s="183"/>
      <c r="C197" s="184"/>
      <c r="D197" s="184" t="s">
        <v>136</v>
      </c>
      <c r="E197" s="184"/>
      <c r="F197" s="184"/>
      <c r="G197" s="184"/>
      <c r="H197" s="184"/>
      <c r="I197" s="184"/>
      <c r="J197" s="184" t="s">
        <v>2</v>
      </c>
      <c r="K197" s="185">
        <f t="shared" si="16"/>
      </c>
      <c r="L197" s="184"/>
      <c r="M197" s="186" t="s">
        <v>126</v>
      </c>
      <c r="N197" s="613">
        <v>0</v>
      </c>
      <c r="O197" s="613"/>
      <c r="P197" s="187" t="s">
        <v>129</v>
      </c>
      <c r="Q197" s="184"/>
      <c r="R197" s="182"/>
    </row>
    <row r="198" spans="2:21" ht="15.6" thickBot="1">
      <c r="B198" s="183"/>
      <c r="C198" s="184">
        <v>5</v>
      </c>
      <c r="D198" s="184" t="s">
        <v>134</v>
      </c>
      <c r="E198" s="184"/>
      <c r="F198" s="184"/>
      <c r="G198" s="184"/>
      <c r="H198" s="184"/>
      <c r="I198" s="184"/>
      <c r="J198" s="184" t="s">
        <v>2</v>
      </c>
      <c r="K198" s="184"/>
      <c r="L198" s="184"/>
      <c r="M198" s="188" t="s">
        <v>126</v>
      </c>
      <c r="N198" s="607">
        <f ca="1">N194-N196-N197</f>
      </c>
      <c r="O198" s="607"/>
      <c r="P198" s="184"/>
      <c r="Q198" s="184"/>
      <c r="R198" s="182"/>
    </row>
    <row r="199" spans="2:21" ht="15.6" thickTop="1">
      <c r="B199" s="183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9"/>
      <c r="N199" s="189"/>
      <c r="O199" s="189"/>
      <c r="P199" s="184"/>
      <c r="Q199" s="184"/>
      <c r="R199" s="182"/>
    </row>
    <row r="200" spans="2:21">
      <c r="B200" s="183"/>
      <c r="C200" s="184" t="s">
        <v>135</v>
      </c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2"/>
    </row>
    <row r="201" spans="2:21">
      <c r="B201" s="183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2"/>
    </row>
    <row r="202" spans="2:21">
      <c r="B202" s="183"/>
      <c r="D202" s="634" t="s">
        <v>39</v>
      </c>
      <c r="E202" s="634"/>
      <c r="F202" s="634"/>
      <c r="G202" s="634"/>
      <c r="H202" s="634"/>
      <c r="K202" s="184"/>
      <c r="L202" s="184"/>
      <c r="M202" s="184"/>
      <c r="N202" s="640" t="s">
        <v>40</v>
      </c>
      <c r="O202" s="640"/>
      <c r="P202" s="640"/>
      <c r="Q202" s="640"/>
      <c r="R202" s="182"/>
    </row>
    <row r="203" spans="2:21">
      <c r="B203" s="183"/>
      <c r="D203" s="634">
        <f>UPPER(DATA!$B$24)</f>
      </c>
      <c r="E203" s="634"/>
      <c r="F203" s="634"/>
      <c r="G203" s="634"/>
      <c r="H203" s="634"/>
      <c r="I203" s="184"/>
      <c r="M203" s="184"/>
      <c r="N203" s="640">
        <f>UPPER(DATA!$B$17)</f>
      </c>
      <c r="O203" s="640"/>
      <c r="P203" s="640"/>
      <c r="Q203" s="640"/>
      <c r="R203" s="182"/>
      <c r="U203" s="253"/>
    </row>
    <row r="204" spans="2:21">
      <c r="B204" s="183"/>
      <c r="C204" s="79"/>
      <c r="D204" s="79"/>
      <c r="E204" s="184"/>
      <c r="F204" s="184"/>
      <c r="G204" s="184"/>
      <c r="H204" s="184"/>
      <c r="I204" s="184"/>
      <c r="J204" s="184"/>
      <c r="K204" s="184"/>
      <c r="L204" s="184"/>
      <c r="M204" s="184"/>
      <c r="N204" s="640"/>
      <c r="O204" s="640"/>
      <c r="P204" s="640"/>
      <c r="Q204" s="640"/>
      <c r="R204" s="182"/>
    </row>
    <row r="205" spans="2:21">
      <c r="B205" s="183"/>
      <c r="C205" s="79"/>
      <c r="D205" s="79"/>
      <c r="E205" s="184"/>
      <c r="F205" s="184"/>
      <c r="G205" s="184"/>
      <c r="H205" s="184"/>
      <c r="I205" s="184"/>
      <c r="J205" s="184"/>
      <c r="K205" s="184"/>
      <c r="L205" s="184"/>
      <c r="M205" s="184"/>
      <c r="N205" s="224"/>
      <c r="O205" s="224"/>
      <c r="P205" s="224"/>
      <c r="Q205" s="224"/>
      <c r="R205" s="182"/>
    </row>
    <row r="206" spans="2:21">
      <c r="B206" s="183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234"/>
      <c r="O206" s="234"/>
      <c r="P206" s="234"/>
      <c r="Q206" s="234"/>
      <c r="R206" s="182"/>
    </row>
    <row r="207" spans="2:21">
      <c r="B207" s="183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234"/>
      <c r="O207" s="234"/>
      <c r="Q207" s="234"/>
      <c r="R207" s="182"/>
    </row>
    <row r="208" spans="2:21">
      <c r="B208" s="183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234"/>
      <c r="O208" s="234"/>
      <c r="P208" s="234"/>
      <c r="Q208" s="234"/>
      <c r="R208" s="182"/>
    </row>
    <row r="209" spans="2:18">
      <c r="B209" s="183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234"/>
      <c r="O209" s="234"/>
      <c r="P209" s="234"/>
      <c r="Q209" s="234"/>
      <c r="R209" s="182"/>
    </row>
    <row r="210" spans="2:18">
      <c r="B210" s="183"/>
      <c r="D210" s="636">
        <f>DATA!$B$22</f>
      </c>
      <c r="E210" s="636"/>
      <c r="F210" s="636"/>
      <c r="G210" s="636"/>
      <c r="H210" s="636"/>
      <c r="I210" s="190"/>
      <c r="L210" s="190"/>
      <c r="M210" s="190"/>
      <c r="N210" s="641">
        <f>D14</f>
      </c>
      <c r="O210" s="641"/>
      <c r="P210" s="641"/>
      <c r="Q210" s="641"/>
      <c r="R210" s="182"/>
    </row>
    <row r="211" spans="2:18">
      <c r="B211" s="183"/>
      <c r="D211" s="634">
        <f>DATA!$B$23</f>
      </c>
      <c r="E211" s="634"/>
      <c r="F211" s="634"/>
      <c r="G211" s="634"/>
      <c r="H211" s="634"/>
      <c r="I211" s="184"/>
      <c r="J211" s="184"/>
      <c r="K211" s="184"/>
      <c r="L211" s="190"/>
      <c r="M211" s="190"/>
      <c r="N211" s="640">
        <f>DATA!$B$16</f>
      </c>
      <c r="O211" s="640"/>
      <c r="P211" s="640"/>
      <c r="Q211" s="640"/>
      <c r="R211" s="182"/>
    </row>
    <row r="212" spans="2:18" ht="15.6" thickBot="1">
      <c r="B212" s="191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3"/>
    </row>
    <row r="213" spans="2:18" ht="15.6" thickTop="1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</row>
    <row r="214" spans="2:18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spans="2:18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spans="2:18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spans="2:18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spans="2:18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spans="2:18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spans="2:18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spans="2:18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spans="2:18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spans="2:18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spans="2:18"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</row>
    <row r="225" spans="2:18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</row>
    <row r="226" spans="2:18"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</row>
    <row r="227" spans="2:18"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</row>
    <row r="228" spans="2:18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</row>
    <row r="229" spans="2:18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</row>
    <row r="230" spans="2:18"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</row>
    <row r="231" spans="2:18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</row>
    <row r="232" spans="2:18"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</row>
    <row r="233" spans="2:18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</row>
    <row r="234" spans="2:18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</row>
    <row r="235" spans="2:18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</row>
    <row r="236" spans="2:18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</row>
    <row r="237" spans="2:18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</row>
    <row r="238" spans="2:18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</row>
    <row r="239" spans="2:18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</row>
    <row r="240" spans="2:18"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</row>
    <row r="241" spans="2:18"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</row>
    <row r="242" spans="2:18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</row>
    <row r="243" spans="2:18"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</row>
    <row r="244" spans="2:18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</row>
    <row r="245" spans="2:18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</row>
    <row r="246" spans="2:18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</row>
    <row r="247" spans="2:18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</row>
    <row r="248" spans="2:18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</row>
    <row r="249" spans="2:18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</row>
    <row r="250" spans="2:18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</row>
    <row r="251" spans="2:18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</row>
    <row r="252" spans="2:18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</row>
    <row r="253" spans="2:18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</row>
    <row r="254" spans="2:18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</row>
    <row r="255" spans="2:18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</row>
    <row r="256" spans="2:18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</row>
    <row r="257" spans="2:18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2:18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2:18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2:18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2:18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2:18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</sheetData>
  <mergeCells count="198">
    <mergeCell ref="N204:Q204"/>
    <mergeCell ref="D210:H210"/>
    <mergeCell ref="N210:Q210"/>
    <mergeCell ref="D211:H211"/>
    <mergeCell ref="N211:Q211"/>
    <mergeCell ref="N197:O197"/>
    <mergeCell ref="N198:O198"/>
    <mergeCell ref="D202:H202"/>
    <mergeCell ref="N202:Q202"/>
    <mergeCell ref="D203:H203"/>
    <mergeCell ref="N203:Q203"/>
    <mergeCell ref="Q188:R188"/>
    <mergeCell ref="Q189:R189"/>
    <mergeCell ref="N192:O192"/>
    <mergeCell ref="N193:O193"/>
    <mergeCell ref="N194:O194"/>
    <mergeCell ref="N196:O196"/>
    <mergeCell ref="Q182:R182"/>
    <mergeCell ref="Q183:R183"/>
    <mergeCell ref="Q184:R184"/>
    <mergeCell ref="Q185:R185"/>
    <mergeCell ref="Q186:R186"/>
    <mergeCell ref="Q187:R187"/>
    <mergeCell ref="Q176:R176"/>
    <mergeCell ref="Q177:R177"/>
    <mergeCell ref="Q178:R178"/>
    <mergeCell ref="Q179:R179"/>
    <mergeCell ref="Q180:R180"/>
    <mergeCell ref="Q181:R181"/>
    <mergeCell ref="Q170:R170"/>
    <mergeCell ref="Q171:R171"/>
    <mergeCell ref="Q172:R172"/>
    <mergeCell ref="Q173:R173"/>
    <mergeCell ref="Q174:R174"/>
    <mergeCell ref="Q175:R175"/>
    <mergeCell ref="Q165:R165"/>
    <mergeCell ref="Q166:R166"/>
    <mergeCell ref="Q167:R167"/>
    <mergeCell ref="Q168:R168"/>
    <mergeCell ref="D169:I169"/>
    <mergeCell ref="Q169:R169"/>
    <mergeCell ref="Q159:R159"/>
    <mergeCell ref="Q160:R160"/>
    <mergeCell ref="Q161:R161"/>
    <mergeCell ref="Q162:R162"/>
    <mergeCell ref="Q163:R163"/>
    <mergeCell ref="Q164:R164"/>
    <mergeCell ref="Q153:R153"/>
    <mergeCell ref="Q154:R154"/>
    <mergeCell ref="Q155:R155"/>
    <mergeCell ref="Q156:R156"/>
    <mergeCell ref="Q157:R157"/>
    <mergeCell ref="Q158:R158"/>
    <mergeCell ref="Q147:R147"/>
    <mergeCell ref="Q148:R148"/>
    <mergeCell ref="Q149:R149"/>
    <mergeCell ref="Q150:R150"/>
    <mergeCell ref="Q151:R151"/>
    <mergeCell ref="Q152:R152"/>
    <mergeCell ref="Q141:R141"/>
    <mergeCell ref="Q142:R142"/>
    <mergeCell ref="Q143:R143"/>
    <mergeCell ref="Q144:R144"/>
    <mergeCell ref="Q145:R145"/>
    <mergeCell ref="Q146:R146"/>
    <mergeCell ref="Q135:R135"/>
    <mergeCell ref="Q136:R136"/>
    <mergeCell ref="Q137:R137"/>
    <mergeCell ref="Q138:R138"/>
    <mergeCell ref="Q139:R139"/>
    <mergeCell ref="Q140:R140"/>
    <mergeCell ref="Q129:R129"/>
    <mergeCell ref="Q130:R130"/>
    <mergeCell ref="Q131:R131"/>
    <mergeCell ref="Q132:R132"/>
    <mergeCell ref="Q133:R133"/>
    <mergeCell ref="Q134:R134"/>
    <mergeCell ref="D124:I124"/>
    <mergeCell ref="Q124:R124"/>
    <mergeCell ref="Q125:R125"/>
    <mergeCell ref="Q126:R126"/>
    <mergeCell ref="Q127:R127"/>
    <mergeCell ref="Q128:R128"/>
    <mergeCell ref="Q118:R118"/>
    <mergeCell ref="Q119:R119"/>
    <mergeCell ref="Q120:R120"/>
    <mergeCell ref="Q121:R121"/>
    <mergeCell ref="Q122:R122"/>
    <mergeCell ref="Q123:R123"/>
    <mergeCell ref="Q112:R112"/>
    <mergeCell ref="Q113:R113"/>
    <mergeCell ref="Q114:R114"/>
    <mergeCell ref="Q115:R115"/>
    <mergeCell ref="Q116:R116"/>
    <mergeCell ref="Q117:R117"/>
    <mergeCell ref="Q106:R106"/>
    <mergeCell ref="Q107:R107"/>
    <mergeCell ref="Q108:R108"/>
    <mergeCell ref="Q109:R109"/>
    <mergeCell ref="Q110:R110"/>
    <mergeCell ref="Q111:R111"/>
    <mergeCell ref="Q100:R100"/>
    <mergeCell ref="Q101:R101"/>
    <mergeCell ref="Q102:R102"/>
    <mergeCell ref="Q103:R103"/>
    <mergeCell ref="Q104:R104"/>
    <mergeCell ref="Q105:R105"/>
    <mergeCell ref="Q94:R94"/>
    <mergeCell ref="Q95:R95"/>
    <mergeCell ref="Q96:R96"/>
    <mergeCell ref="Q97:R97"/>
    <mergeCell ref="Q98:R98"/>
    <mergeCell ref="Q99:R99"/>
    <mergeCell ref="Q88:R88"/>
    <mergeCell ref="Q89:R89"/>
    <mergeCell ref="Q90:R90"/>
    <mergeCell ref="Q91:R91"/>
    <mergeCell ref="Q92:R92"/>
    <mergeCell ref="Q93:R93"/>
    <mergeCell ref="D83:I83"/>
    <mergeCell ref="Q83:R83"/>
    <mergeCell ref="Q84:R84"/>
    <mergeCell ref="Q85:R85"/>
    <mergeCell ref="Q86:R86"/>
    <mergeCell ref="Q87:R87"/>
    <mergeCell ref="D80:I80"/>
    <mergeCell ref="Q80:R80"/>
    <mergeCell ref="D81:I81"/>
    <mergeCell ref="Q81:R81"/>
    <mergeCell ref="D82:I82"/>
    <mergeCell ref="Q82:R82"/>
    <mergeCell ref="Q74:R74"/>
    <mergeCell ref="Q75:R75"/>
    <mergeCell ref="Q76:R76"/>
    <mergeCell ref="Q77:R77"/>
    <mergeCell ref="Q78:R78"/>
    <mergeCell ref="Q79:R79"/>
    <mergeCell ref="Q68:R68"/>
    <mergeCell ref="Q69:R69"/>
    <mergeCell ref="Q70:R70"/>
    <mergeCell ref="Q71:R71"/>
    <mergeCell ref="Q72:R72"/>
    <mergeCell ref="Q73:R73"/>
    <mergeCell ref="D63:I63"/>
    <mergeCell ref="Q63:R63"/>
    <mergeCell ref="Q64:R64"/>
    <mergeCell ref="Q65:R65"/>
    <mergeCell ref="Q66:R66"/>
    <mergeCell ref="Q67:R67"/>
    <mergeCell ref="Q57:R57"/>
    <mergeCell ref="Q58:R58"/>
    <mergeCell ref="Q59:R59"/>
    <mergeCell ref="Q60:R60"/>
    <mergeCell ref="Q61:R61"/>
    <mergeCell ref="Q62:R62"/>
    <mergeCell ref="Q51:R51"/>
    <mergeCell ref="Q52:R52"/>
    <mergeCell ref="Q53:R53"/>
    <mergeCell ref="Q54:R54"/>
    <mergeCell ref="Q55:R55"/>
    <mergeCell ref="Q56:R56"/>
    <mergeCell ref="Q45:R45"/>
    <mergeCell ref="Q46:R46"/>
    <mergeCell ref="Q47:R47"/>
    <mergeCell ref="Q48:R48"/>
    <mergeCell ref="Q49:R49"/>
    <mergeCell ref="Q50:R50"/>
    <mergeCell ref="D40:I40"/>
    <mergeCell ref="Q40:R40"/>
    <mergeCell ref="Q41:R41"/>
    <mergeCell ref="Q42:R42"/>
    <mergeCell ref="Q43:R43"/>
    <mergeCell ref="Q44:R44"/>
    <mergeCell ref="D37:I37"/>
    <mergeCell ref="Q37:R37"/>
    <mergeCell ref="D38:I38"/>
    <mergeCell ref="Q38:R38"/>
    <mergeCell ref="D39:I39"/>
    <mergeCell ref="Q39:R39"/>
    <mergeCell ref="Q35:R35"/>
    <mergeCell ref="Q36:R36"/>
    <mergeCell ref="F18:R18"/>
    <mergeCell ref="C21:R22"/>
    <mergeCell ref="M23:N23"/>
    <mergeCell ref="I24:J24"/>
    <mergeCell ref="K24:L24"/>
    <mergeCell ref="H25:I25"/>
    <mergeCell ref="K25:L25"/>
    <mergeCell ref="B6:R6"/>
    <mergeCell ref="B7:R7"/>
    <mergeCell ref="B9:R9"/>
    <mergeCell ref="B10:R10"/>
    <mergeCell ref="C12:Q12"/>
    <mergeCell ref="F14:R15"/>
    <mergeCell ref="L29:L31"/>
    <mergeCell ref="Q33:R33"/>
    <mergeCell ref="C34:I34"/>
    <mergeCell ref="Q34:R34"/>
  </mergeCells>
  <printOptions horizontalCentered="1"/>
  <pageMargins left="0.32" right="0.27" top="0.75" bottom="0.75" header="0.3" footer="0.3"/>
  <pageSetup paperSize="9" scale="55" fitToHeight="0" orientation="portrait" r:id="rId1"/>
  <rowBreaks count="1" manualBreakCount="1">
    <brk id="139" min="1" max="17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3D78-FBFA-47D2-9B94-7D0CC0B4E597}">
  <sheetPr>
    <tabColor rgb="FF00B0F0"/>
  </sheetPr>
  <dimension ref="A1:Z262"/>
  <sheetViews>
    <sheetView showOutlineSymbols="0" view="pageBreakPreview" topLeftCell="A190" zoomScale="70" zoomScaleNormal="87" zoomScaleSheetLayoutView="70" workbookViewId="0">
      <selection activeCell="K37" sqref="K37"/>
    </sheetView>
  </sheetViews>
  <sheetFormatPr defaultColWidth="11.1796875" defaultRowHeight="15"/>
  <cols>
    <col min="1" max="1" width="1" style="28" customWidth="1"/>
    <col min="2" max="2" width="2.81640625" style="28" customWidth="1"/>
    <col min="3" max="3" width="2.54296875" style="28" customWidth="1"/>
    <col min="4" max="4" width="23.453125" style="28" customWidth="1"/>
    <col min="5" max="6" width="2.08984375" style="28" customWidth="1"/>
    <col min="7" max="7" width="1.453125" style="28" customWidth="1"/>
    <col min="8" max="8" width="12.08984375" style="28" customWidth="1"/>
    <col min="9" max="9" width="5.81640625" style="28" customWidth="1"/>
    <col min="10" max="10" width="10.453125" style="28" customWidth="1"/>
    <col min="11" max="14" width="9.54296875" style="28" customWidth="1"/>
    <col min="15" max="15" width="10" style="28" customWidth="1"/>
    <col min="16" max="16" width="14.08984375" style="28" customWidth="1"/>
    <col min="17" max="17" width="8" style="28" customWidth="1"/>
    <col min="18" max="18" width="8.81640625" style="28" customWidth="1"/>
    <col min="19" max="19" width="1" style="28" customWidth="1"/>
    <col min="20" max="20" width="11.1796875" style="28"/>
    <col min="21" max="22" width="14" style="28" bestFit="1" customWidth="1"/>
    <col min="23" max="252" width="11.1796875" style="28"/>
    <col min="253" max="253" width="1.81640625" style="28" customWidth="1"/>
    <col min="254" max="255" width="3.81640625" style="28" customWidth="1"/>
    <col min="256" max="256" width="11.81640625" style="28" customWidth="1"/>
    <col min="257" max="258" width="7.81640625" style="28" customWidth="1"/>
    <col min="259" max="260" width="8.81640625" style="28" customWidth="1"/>
    <col min="261" max="261" width="10.81640625" style="28" customWidth="1"/>
    <col min="262" max="262" width="8.81640625" style="28" customWidth="1"/>
    <col min="263" max="263" width="7.81640625" style="28" customWidth="1"/>
    <col min="264" max="264" width="8.81640625" style="28" customWidth="1"/>
    <col min="265" max="265" width="2.81640625" style="28" customWidth="1"/>
    <col min="266" max="266" width="1.81640625" style="28" customWidth="1"/>
    <col min="267" max="508" width="11.1796875" style="28"/>
    <col min="509" max="509" width="1.81640625" style="28" customWidth="1"/>
    <col min="510" max="511" width="3.81640625" style="28" customWidth="1"/>
    <col min="512" max="512" width="11.81640625" style="28" customWidth="1"/>
    <col min="513" max="514" width="7.81640625" style="28" customWidth="1"/>
    <col min="515" max="516" width="8.81640625" style="28" customWidth="1"/>
    <col min="517" max="517" width="10.81640625" style="28" customWidth="1"/>
    <col min="518" max="518" width="8.81640625" style="28" customWidth="1"/>
    <col min="519" max="519" width="7.81640625" style="28" customWidth="1"/>
    <col min="520" max="520" width="8.81640625" style="28" customWidth="1"/>
    <col min="521" max="521" width="2.81640625" style="28" customWidth="1"/>
    <col min="522" max="522" width="1.81640625" style="28" customWidth="1"/>
    <col min="523" max="764" width="11.1796875" style="28"/>
    <col min="765" max="765" width="1.81640625" style="28" customWidth="1"/>
    <col min="766" max="767" width="3.81640625" style="28" customWidth="1"/>
    <col min="768" max="768" width="11.81640625" style="28" customWidth="1"/>
    <col min="769" max="770" width="7.81640625" style="28" customWidth="1"/>
    <col min="771" max="772" width="8.81640625" style="28" customWidth="1"/>
    <col min="773" max="773" width="10.81640625" style="28" customWidth="1"/>
    <col min="774" max="774" width="8.81640625" style="28" customWidth="1"/>
    <col min="775" max="775" width="7.81640625" style="28" customWidth="1"/>
    <col min="776" max="776" width="8.81640625" style="28" customWidth="1"/>
    <col min="777" max="777" width="2.81640625" style="28" customWidth="1"/>
    <col min="778" max="778" width="1.81640625" style="28" customWidth="1"/>
    <col min="779" max="1020" width="11.1796875" style="28"/>
    <col min="1021" max="1021" width="1.81640625" style="28" customWidth="1"/>
    <col min="1022" max="1023" width="3.81640625" style="28" customWidth="1"/>
    <col min="1024" max="1024" width="11.81640625" style="28" customWidth="1"/>
    <col min="1025" max="1026" width="7.81640625" style="28" customWidth="1"/>
    <col min="1027" max="1028" width="8.81640625" style="28" customWidth="1"/>
    <col min="1029" max="1029" width="10.81640625" style="28" customWidth="1"/>
    <col min="1030" max="1030" width="8.81640625" style="28" customWidth="1"/>
    <col min="1031" max="1031" width="7.81640625" style="28" customWidth="1"/>
    <col min="1032" max="1032" width="8.81640625" style="28" customWidth="1"/>
    <col min="1033" max="1033" width="2.81640625" style="28" customWidth="1"/>
    <col min="1034" max="1034" width="1.81640625" style="28" customWidth="1"/>
    <col min="1035" max="1276" width="11.1796875" style="28"/>
    <col min="1277" max="1277" width="1.81640625" style="28" customWidth="1"/>
    <col min="1278" max="1279" width="3.81640625" style="28" customWidth="1"/>
    <col min="1280" max="1280" width="11.81640625" style="28" customWidth="1"/>
    <col min="1281" max="1282" width="7.81640625" style="28" customWidth="1"/>
    <col min="1283" max="1284" width="8.81640625" style="28" customWidth="1"/>
    <col min="1285" max="1285" width="10.81640625" style="28" customWidth="1"/>
    <col min="1286" max="1286" width="8.81640625" style="28" customWidth="1"/>
    <col min="1287" max="1287" width="7.81640625" style="28" customWidth="1"/>
    <col min="1288" max="1288" width="8.81640625" style="28" customWidth="1"/>
    <col min="1289" max="1289" width="2.81640625" style="28" customWidth="1"/>
    <col min="1290" max="1290" width="1.81640625" style="28" customWidth="1"/>
    <col min="1291" max="1532" width="11.1796875" style="28"/>
    <col min="1533" max="1533" width="1.81640625" style="28" customWidth="1"/>
    <col min="1534" max="1535" width="3.81640625" style="28" customWidth="1"/>
    <col min="1536" max="1536" width="11.81640625" style="28" customWidth="1"/>
    <col min="1537" max="1538" width="7.81640625" style="28" customWidth="1"/>
    <col min="1539" max="1540" width="8.81640625" style="28" customWidth="1"/>
    <col min="1541" max="1541" width="10.81640625" style="28" customWidth="1"/>
    <col min="1542" max="1542" width="8.81640625" style="28" customWidth="1"/>
    <col min="1543" max="1543" width="7.81640625" style="28" customWidth="1"/>
    <col min="1544" max="1544" width="8.81640625" style="28" customWidth="1"/>
    <col min="1545" max="1545" width="2.81640625" style="28" customWidth="1"/>
    <col min="1546" max="1546" width="1.81640625" style="28" customWidth="1"/>
    <col min="1547" max="1788" width="11.1796875" style="28"/>
    <col min="1789" max="1789" width="1.81640625" style="28" customWidth="1"/>
    <col min="1790" max="1791" width="3.81640625" style="28" customWidth="1"/>
    <col min="1792" max="1792" width="11.81640625" style="28" customWidth="1"/>
    <col min="1793" max="1794" width="7.81640625" style="28" customWidth="1"/>
    <col min="1795" max="1796" width="8.81640625" style="28" customWidth="1"/>
    <col min="1797" max="1797" width="10.81640625" style="28" customWidth="1"/>
    <col min="1798" max="1798" width="8.81640625" style="28" customWidth="1"/>
    <col min="1799" max="1799" width="7.81640625" style="28" customWidth="1"/>
    <col min="1800" max="1800" width="8.81640625" style="28" customWidth="1"/>
    <col min="1801" max="1801" width="2.81640625" style="28" customWidth="1"/>
    <col min="1802" max="1802" width="1.81640625" style="28" customWidth="1"/>
    <col min="1803" max="2044" width="11.1796875" style="28"/>
    <col min="2045" max="2045" width="1.81640625" style="28" customWidth="1"/>
    <col min="2046" max="2047" width="3.81640625" style="28" customWidth="1"/>
    <col min="2048" max="2048" width="11.81640625" style="28" customWidth="1"/>
    <col min="2049" max="2050" width="7.81640625" style="28" customWidth="1"/>
    <col min="2051" max="2052" width="8.81640625" style="28" customWidth="1"/>
    <col min="2053" max="2053" width="10.81640625" style="28" customWidth="1"/>
    <col min="2054" max="2054" width="8.81640625" style="28" customWidth="1"/>
    <col min="2055" max="2055" width="7.81640625" style="28" customWidth="1"/>
    <col min="2056" max="2056" width="8.81640625" style="28" customWidth="1"/>
    <col min="2057" max="2057" width="2.81640625" style="28" customWidth="1"/>
    <col min="2058" max="2058" width="1.81640625" style="28" customWidth="1"/>
    <col min="2059" max="2300" width="11.1796875" style="28"/>
    <col min="2301" max="2301" width="1.81640625" style="28" customWidth="1"/>
    <col min="2302" max="2303" width="3.81640625" style="28" customWidth="1"/>
    <col min="2304" max="2304" width="11.81640625" style="28" customWidth="1"/>
    <col min="2305" max="2306" width="7.81640625" style="28" customWidth="1"/>
    <col min="2307" max="2308" width="8.81640625" style="28" customWidth="1"/>
    <col min="2309" max="2309" width="10.81640625" style="28" customWidth="1"/>
    <col min="2310" max="2310" width="8.81640625" style="28" customWidth="1"/>
    <col min="2311" max="2311" width="7.81640625" style="28" customWidth="1"/>
    <col min="2312" max="2312" width="8.81640625" style="28" customWidth="1"/>
    <col min="2313" max="2313" width="2.81640625" style="28" customWidth="1"/>
    <col min="2314" max="2314" width="1.81640625" style="28" customWidth="1"/>
    <col min="2315" max="2556" width="11.1796875" style="28"/>
    <col min="2557" max="2557" width="1.81640625" style="28" customWidth="1"/>
    <col min="2558" max="2559" width="3.81640625" style="28" customWidth="1"/>
    <col min="2560" max="2560" width="11.81640625" style="28" customWidth="1"/>
    <col min="2561" max="2562" width="7.81640625" style="28" customWidth="1"/>
    <col min="2563" max="2564" width="8.81640625" style="28" customWidth="1"/>
    <col min="2565" max="2565" width="10.81640625" style="28" customWidth="1"/>
    <col min="2566" max="2566" width="8.81640625" style="28" customWidth="1"/>
    <col min="2567" max="2567" width="7.81640625" style="28" customWidth="1"/>
    <col min="2568" max="2568" width="8.81640625" style="28" customWidth="1"/>
    <col min="2569" max="2569" width="2.81640625" style="28" customWidth="1"/>
    <col min="2570" max="2570" width="1.81640625" style="28" customWidth="1"/>
    <col min="2571" max="2812" width="11.1796875" style="28"/>
    <col min="2813" max="2813" width="1.81640625" style="28" customWidth="1"/>
    <col min="2814" max="2815" width="3.81640625" style="28" customWidth="1"/>
    <col min="2816" max="2816" width="11.81640625" style="28" customWidth="1"/>
    <col min="2817" max="2818" width="7.81640625" style="28" customWidth="1"/>
    <col min="2819" max="2820" width="8.81640625" style="28" customWidth="1"/>
    <col min="2821" max="2821" width="10.81640625" style="28" customWidth="1"/>
    <col min="2822" max="2822" width="8.81640625" style="28" customWidth="1"/>
    <col min="2823" max="2823" width="7.81640625" style="28" customWidth="1"/>
    <col min="2824" max="2824" width="8.81640625" style="28" customWidth="1"/>
    <col min="2825" max="2825" width="2.81640625" style="28" customWidth="1"/>
    <col min="2826" max="2826" width="1.81640625" style="28" customWidth="1"/>
    <col min="2827" max="3068" width="11.1796875" style="28"/>
    <col min="3069" max="3069" width="1.81640625" style="28" customWidth="1"/>
    <col min="3070" max="3071" width="3.81640625" style="28" customWidth="1"/>
    <col min="3072" max="3072" width="11.81640625" style="28" customWidth="1"/>
    <col min="3073" max="3074" width="7.81640625" style="28" customWidth="1"/>
    <col min="3075" max="3076" width="8.81640625" style="28" customWidth="1"/>
    <col min="3077" max="3077" width="10.81640625" style="28" customWidth="1"/>
    <col min="3078" max="3078" width="8.81640625" style="28" customWidth="1"/>
    <col min="3079" max="3079" width="7.81640625" style="28" customWidth="1"/>
    <col min="3080" max="3080" width="8.81640625" style="28" customWidth="1"/>
    <col min="3081" max="3081" width="2.81640625" style="28" customWidth="1"/>
    <col min="3082" max="3082" width="1.81640625" style="28" customWidth="1"/>
    <col min="3083" max="3324" width="11.1796875" style="28"/>
    <col min="3325" max="3325" width="1.81640625" style="28" customWidth="1"/>
    <col min="3326" max="3327" width="3.81640625" style="28" customWidth="1"/>
    <col min="3328" max="3328" width="11.81640625" style="28" customWidth="1"/>
    <col min="3329" max="3330" width="7.81640625" style="28" customWidth="1"/>
    <col min="3331" max="3332" width="8.81640625" style="28" customWidth="1"/>
    <col min="3333" max="3333" width="10.81640625" style="28" customWidth="1"/>
    <col min="3334" max="3334" width="8.81640625" style="28" customWidth="1"/>
    <col min="3335" max="3335" width="7.81640625" style="28" customWidth="1"/>
    <col min="3336" max="3336" width="8.81640625" style="28" customWidth="1"/>
    <col min="3337" max="3337" width="2.81640625" style="28" customWidth="1"/>
    <col min="3338" max="3338" width="1.81640625" style="28" customWidth="1"/>
    <col min="3339" max="3580" width="11.1796875" style="28"/>
    <col min="3581" max="3581" width="1.81640625" style="28" customWidth="1"/>
    <col min="3582" max="3583" width="3.81640625" style="28" customWidth="1"/>
    <col min="3584" max="3584" width="11.81640625" style="28" customWidth="1"/>
    <col min="3585" max="3586" width="7.81640625" style="28" customWidth="1"/>
    <col min="3587" max="3588" width="8.81640625" style="28" customWidth="1"/>
    <col min="3589" max="3589" width="10.81640625" style="28" customWidth="1"/>
    <col min="3590" max="3590" width="8.81640625" style="28" customWidth="1"/>
    <col min="3591" max="3591" width="7.81640625" style="28" customWidth="1"/>
    <col min="3592" max="3592" width="8.81640625" style="28" customWidth="1"/>
    <col min="3593" max="3593" width="2.81640625" style="28" customWidth="1"/>
    <col min="3594" max="3594" width="1.81640625" style="28" customWidth="1"/>
    <col min="3595" max="3836" width="11.1796875" style="28"/>
    <col min="3837" max="3837" width="1.81640625" style="28" customWidth="1"/>
    <col min="3838" max="3839" width="3.81640625" style="28" customWidth="1"/>
    <col min="3840" max="3840" width="11.81640625" style="28" customWidth="1"/>
    <col min="3841" max="3842" width="7.81640625" style="28" customWidth="1"/>
    <col min="3843" max="3844" width="8.81640625" style="28" customWidth="1"/>
    <col min="3845" max="3845" width="10.81640625" style="28" customWidth="1"/>
    <col min="3846" max="3846" width="8.81640625" style="28" customWidth="1"/>
    <col min="3847" max="3847" width="7.81640625" style="28" customWidth="1"/>
    <col min="3848" max="3848" width="8.81640625" style="28" customWidth="1"/>
    <col min="3849" max="3849" width="2.81640625" style="28" customWidth="1"/>
    <col min="3850" max="3850" width="1.81640625" style="28" customWidth="1"/>
    <col min="3851" max="4092" width="11.1796875" style="28"/>
    <col min="4093" max="4093" width="1.81640625" style="28" customWidth="1"/>
    <col min="4094" max="4095" width="3.81640625" style="28" customWidth="1"/>
    <col min="4096" max="4096" width="11.81640625" style="28" customWidth="1"/>
    <col min="4097" max="4098" width="7.81640625" style="28" customWidth="1"/>
    <col min="4099" max="4100" width="8.81640625" style="28" customWidth="1"/>
    <col min="4101" max="4101" width="10.81640625" style="28" customWidth="1"/>
    <col min="4102" max="4102" width="8.81640625" style="28" customWidth="1"/>
    <col min="4103" max="4103" width="7.81640625" style="28" customWidth="1"/>
    <col min="4104" max="4104" width="8.81640625" style="28" customWidth="1"/>
    <col min="4105" max="4105" width="2.81640625" style="28" customWidth="1"/>
    <col min="4106" max="4106" width="1.81640625" style="28" customWidth="1"/>
    <col min="4107" max="4348" width="11.1796875" style="28"/>
    <col min="4349" max="4349" width="1.81640625" style="28" customWidth="1"/>
    <col min="4350" max="4351" width="3.81640625" style="28" customWidth="1"/>
    <col min="4352" max="4352" width="11.81640625" style="28" customWidth="1"/>
    <col min="4353" max="4354" width="7.81640625" style="28" customWidth="1"/>
    <col min="4355" max="4356" width="8.81640625" style="28" customWidth="1"/>
    <col min="4357" max="4357" width="10.81640625" style="28" customWidth="1"/>
    <col min="4358" max="4358" width="8.81640625" style="28" customWidth="1"/>
    <col min="4359" max="4359" width="7.81640625" style="28" customWidth="1"/>
    <col min="4360" max="4360" width="8.81640625" style="28" customWidth="1"/>
    <col min="4361" max="4361" width="2.81640625" style="28" customWidth="1"/>
    <col min="4362" max="4362" width="1.81640625" style="28" customWidth="1"/>
    <col min="4363" max="4604" width="11.1796875" style="28"/>
    <col min="4605" max="4605" width="1.81640625" style="28" customWidth="1"/>
    <col min="4606" max="4607" width="3.81640625" style="28" customWidth="1"/>
    <col min="4608" max="4608" width="11.81640625" style="28" customWidth="1"/>
    <col min="4609" max="4610" width="7.81640625" style="28" customWidth="1"/>
    <col min="4611" max="4612" width="8.81640625" style="28" customWidth="1"/>
    <col min="4613" max="4613" width="10.81640625" style="28" customWidth="1"/>
    <col min="4614" max="4614" width="8.81640625" style="28" customWidth="1"/>
    <col min="4615" max="4615" width="7.81640625" style="28" customWidth="1"/>
    <col min="4616" max="4616" width="8.81640625" style="28" customWidth="1"/>
    <col min="4617" max="4617" width="2.81640625" style="28" customWidth="1"/>
    <col min="4618" max="4618" width="1.81640625" style="28" customWidth="1"/>
    <col min="4619" max="4860" width="11.1796875" style="28"/>
    <col min="4861" max="4861" width="1.81640625" style="28" customWidth="1"/>
    <col min="4862" max="4863" width="3.81640625" style="28" customWidth="1"/>
    <col min="4864" max="4864" width="11.81640625" style="28" customWidth="1"/>
    <col min="4865" max="4866" width="7.81640625" style="28" customWidth="1"/>
    <col min="4867" max="4868" width="8.81640625" style="28" customWidth="1"/>
    <col min="4869" max="4869" width="10.81640625" style="28" customWidth="1"/>
    <col min="4870" max="4870" width="8.81640625" style="28" customWidth="1"/>
    <col min="4871" max="4871" width="7.81640625" style="28" customWidth="1"/>
    <col min="4872" max="4872" width="8.81640625" style="28" customWidth="1"/>
    <col min="4873" max="4873" width="2.81640625" style="28" customWidth="1"/>
    <col min="4874" max="4874" width="1.81640625" style="28" customWidth="1"/>
    <col min="4875" max="5116" width="11.1796875" style="28"/>
    <col min="5117" max="5117" width="1.81640625" style="28" customWidth="1"/>
    <col min="5118" max="5119" width="3.81640625" style="28" customWidth="1"/>
    <col min="5120" max="5120" width="11.81640625" style="28" customWidth="1"/>
    <col min="5121" max="5122" width="7.81640625" style="28" customWidth="1"/>
    <col min="5123" max="5124" width="8.81640625" style="28" customWidth="1"/>
    <col min="5125" max="5125" width="10.81640625" style="28" customWidth="1"/>
    <col min="5126" max="5126" width="8.81640625" style="28" customWidth="1"/>
    <col min="5127" max="5127" width="7.81640625" style="28" customWidth="1"/>
    <col min="5128" max="5128" width="8.81640625" style="28" customWidth="1"/>
    <col min="5129" max="5129" width="2.81640625" style="28" customWidth="1"/>
    <col min="5130" max="5130" width="1.81640625" style="28" customWidth="1"/>
    <col min="5131" max="5372" width="11.1796875" style="28"/>
    <col min="5373" max="5373" width="1.81640625" style="28" customWidth="1"/>
    <col min="5374" max="5375" width="3.81640625" style="28" customWidth="1"/>
    <col min="5376" max="5376" width="11.81640625" style="28" customWidth="1"/>
    <col min="5377" max="5378" width="7.81640625" style="28" customWidth="1"/>
    <col min="5379" max="5380" width="8.81640625" style="28" customWidth="1"/>
    <col min="5381" max="5381" width="10.81640625" style="28" customWidth="1"/>
    <col min="5382" max="5382" width="8.81640625" style="28" customWidth="1"/>
    <col min="5383" max="5383" width="7.81640625" style="28" customWidth="1"/>
    <col min="5384" max="5384" width="8.81640625" style="28" customWidth="1"/>
    <col min="5385" max="5385" width="2.81640625" style="28" customWidth="1"/>
    <col min="5386" max="5386" width="1.81640625" style="28" customWidth="1"/>
    <col min="5387" max="5628" width="11.1796875" style="28"/>
    <col min="5629" max="5629" width="1.81640625" style="28" customWidth="1"/>
    <col min="5630" max="5631" width="3.81640625" style="28" customWidth="1"/>
    <col min="5632" max="5632" width="11.81640625" style="28" customWidth="1"/>
    <col min="5633" max="5634" width="7.81640625" style="28" customWidth="1"/>
    <col min="5635" max="5636" width="8.81640625" style="28" customWidth="1"/>
    <col min="5637" max="5637" width="10.81640625" style="28" customWidth="1"/>
    <col min="5638" max="5638" width="8.81640625" style="28" customWidth="1"/>
    <col min="5639" max="5639" width="7.81640625" style="28" customWidth="1"/>
    <col min="5640" max="5640" width="8.81640625" style="28" customWidth="1"/>
    <col min="5641" max="5641" width="2.81640625" style="28" customWidth="1"/>
    <col min="5642" max="5642" width="1.81640625" style="28" customWidth="1"/>
    <col min="5643" max="5884" width="11.1796875" style="28"/>
    <col min="5885" max="5885" width="1.81640625" style="28" customWidth="1"/>
    <col min="5886" max="5887" width="3.81640625" style="28" customWidth="1"/>
    <col min="5888" max="5888" width="11.81640625" style="28" customWidth="1"/>
    <col min="5889" max="5890" width="7.81640625" style="28" customWidth="1"/>
    <col min="5891" max="5892" width="8.81640625" style="28" customWidth="1"/>
    <col min="5893" max="5893" width="10.81640625" style="28" customWidth="1"/>
    <col min="5894" max="5894" width="8.81640625" style="28" customWidth="1"/>
    <col min="5895" max="5895" width="7.81640625" style="28" customWidth="1"/>
    <col min="5896" max="5896" width="8.81640625" style="28" customWidth="1"/>
    <col min="5897" max="5897" width="2.81640625" style="28" customWidth="1"/>
    <col min="5898" max="5898" width="1.81640625" style="28" customWidth="1"/>
    <col min="5899" max="6140" width="11.1796875" style="28"/>
    <col min="6141" max="6141" width="1.81640625" style="28" customWidth="1"/>
    <col min="6142" max="6143" width="3.81640625" style="28" customWidth="1"/>
    <col min="6144" max="6144" width="11.81640625" style="28" customWidth="1"/>
    <col min="6145" max="6146" width="7.81640625" style="28" customWidth="1"/>
    <col min="6147" max="6148" width="8.81640625" style="28" customWidth="1"/>
    <col min="6149" max="6149" width="10.81640625" style="28" customWidth="1"/>
    <col min="6150" max="6150" width="8.81640625" style="28" customWidth="1"/>
    <col min="6151" max="6151" width="7.81640625" style="28" customWidth="1"/>
    <col min="6152" max="6152" width="8.81640625" style="28" customWidth="1"/>
    <col min="6153" max="6153" width="2.81640625" style="28" customWidth="1"/>
    <col min="6154" max="6154" width="1.81640625" style="28" customWidth="1"/>
    <col min="6155" max="6396" width="11.1796875" style="28"/>
    <col min="6397" max="6397" width="1.81640625" style="28" customWidth="1"/>
    <col min="6398" max="6399" width="3.81640625" style="28" customWidth="1"/>
    <col min="6400" max="6400" width="11.81640625" style="28" customWidth="1"/>
    <col min="6401" max="6402" width="7.81640625" style="28" customWidth="1"/>
    <col min="6403" max="6404" width="8.81640625" style="28" customWidth="1"/>
    <col min="6405" max="6405" width="10.81640625" style="28" customWidth="1"/>
    <col min="6406" max="6406" width="8.81640625" style="28" customWidth="1"/>
    <col min="6407" max="6407" width="7.81640625" style="28" customWidth="1"/>
    <col min="6408" max="6408" width="8.81640625" style="28" customWidth="1"/>
    <col min="6409" max="6409" width="2.81640625" style="28" customWidth="1"/>
    <col min="6410" max="6410" width="1.81640625" style="28" customWidth="1"/>
    <col min="6411" max="6652" width="11.1796875" style="28"/>
    <col min="6653" max="6653" width="1.81640625" style="28" customWidth="1"/>
    <col min="6654" max="6655" width="3.81640625" style="28" customWidth="1"/>
    <col min="6656" max="6656" width="11.81640625" style="28" customWidth="1"/>
    <col min="6657" max="6658" width="7.81640625" style="28" customWidth="1"/>
    <col min="6659" max="6660" width="8.81640625" style="28" customWidth="1"/>
    <col min="6661" max="6661" width="10.81640625" style="28" customWidth="1"/>
    <col min="6662" max="6662" width="8.81640625" style="28" customWidth="1"/>
    <col min="6663" max="6663" width="7.81640625" style="28" customWidth="1"/>
    <col min="6664" max="6664" width="8.81640625" style="28" customWidth="1"/>
    <col min="6665" max="6665" width="2.81640625" style="28" customWidth="1"/>
    <col min="6666" max="6666" width="1.81640625" style="28" customWidth="1"/>
    <col min="6667" max="6908" width="11.1796875" style="28"/>
    <col min="6909" max="6909" width="1.81640625" style="28" customWidth="1"/>
    <col min="6910" max="6911" width="3.81640625" style="28" customWidth="1"/>
    <col min="6912" max="6912" width="11.81640625" style="28" customWidth="1"/>
    <col min="6913" max="6914" width="7.81640625" style="28" customWidth="1"/>
    <col min="6915" max="6916" width="8.81640625" style="28" customWidth="1"/>
    <col min="6917" max="6917" width="10.81640625" style="28" customWidth="1"/>
    <col min="6918" max="6918" width="8.81640625" style="28" customWidth="1"/>
    <col min="6919" max="6919" width="7.81640625" style="28" customWidth="1"/>
    <col min="6920" max="6920" width="8.81640625" style="28" customWidth="1"/>
    <col min="6921" max="6921" width="2.81640625" style="28" customWidth="1"/>
    <col min="6922" max="6922" width="1.81640625" style="28" customWidth="1"/>
    <col min="6923" max="7164" width="11.1796875" style="28"/>
    <col min="7165" max="7165" width="1.81640625" style="28" customWidth="1"/>
    <col min="7166" max="7167" width="3.81640625" style="28" customWidth="1"/>
    <col min="7168" max="7168" width="11.81640625" style="28" customWidth="1"/>
    <col min="7169" max="7170" width="7.81640625" style="28" customWidth="1"/>
    <col min="7171" max="7172" width="8.81640625" style="28" customWidth="1"/>
    <col min="7173" max="7173" width="10.81640625" style="28" customWidth="1"/>
    <col min="7174" max="7174" width="8.81640625" style="28" customWidth="1"/>
    <col min="7175" max="7175" width="7.81640625" style="28" customWidth="1"/>
    <col min="7176" max="7176" width="8.81640625" style="28" customWidth="1"/>
    <col min="7177" max="7177" width="2.81640625" style="28" customWidth="1"/>
    <col min="7178" max="7178" width="1.81640625" style="28" customWidth="1"/>
    <col min="7179" max="7420" width="11.1796875" style="28"/>
    <col min="7421" max="7421" width="1.81640625" style="28" customWidth="1"/>
    <col min="7422" max="7423" width="3.81640625" style="28" customWidth="1"/>
    <col min="7424" max="7424" width="11.81640625" style="28" customWidth="1"/>
    <col min="7425" max="7426" width="7.81640625" style="28" customWidth="1"/>
    <col min="7427" max="7428" width="8.81640625" style="28" customWidth="1"/>
    <col min="7429" max="7429" width="10.81640625" style="28" customWidth="1"/>
    <col min="7430" max="7430" width="8.81640625" style="28" customWidth="1"/>
    <col min="7431" max="7431" width="7.81640625" style="28" customWidth="1"/>
    <col min="7432" max="7432" width="8.81640625" style="28" customWidth="1"/>
    <col min="7433" max="7433" width="2.81640625" style="28" customWidth="1"/>
    <col min="7434" max="7434" width="1.81640625" style="28" customWidth="1"/>
    <col min="7435" max="7676" width="11.1796875" style="28"/>
    <col min="7677" max="7677" width="1.81640625" style="28" customWidth="1"/>
    <col min="7678" max="7679" width="3.81640625" style="28" customWidth="1"/>
    <col min="7680" max="7680" width="11.81640625" style="28" customWidth="1"/>
    <col min="7681" max="7682" width="7.81640625" style="28" customWidth="1"/>
    <col min="7683" max="7684" width="8.81640625" style="28" customWidth="1"/>
    <col min="7685" max="7685" width="10.81640625" style="28" customWidth="1"/>
    <col min="7686" max="7686" width="8.81640625" style="28" customWidth="1"/>
    <col min="7687" max="7687" width="7.81640625" style="28" customWidth="1"/>
    <col min="7688" max="7688" width="8.81640625" style="28" customWidth="1"/>
    <col min="7689" max="7689" width="2.81640625" style="28" customWidth="1"/>
    <col min="7690" max="7690" width="1.81640625" style="28" customWidth="1"/>
    <col min="7691" max="7932" width="11.1796875" style="28"/>
    <col min="7933" max="7933" width="1.81640625" style="28" customWidth="1"/>
    <col min="7934" max="7935" width="3.81640625" style="28" customWidth="1"/>
    <col min="7936" max="7936" width="11.81640625" style="28" customWidth="1"/>
    <col min="7937" max="7938" width="7.81640625" style="28" customWidth="1"/>
    <col min="7939" max="7940" width="8.81640625" style="28" customWidth="1"/>
    <col min="7941" max="7941" width="10.81640625" style="28" customWidth="1"/>
    <col min="7942" max="7942" width="8.81640625" style="28" customWidth="1"/>
    <col min="7943" max="7943" width="7.81640625" style="28" customWidth="1"/>
    <col min="7944" max="7944" width="8.81640625" style="28" customWidth="1"/>
    <col min="7945" max="7945" width="2.81640625" style="28" customWidth="1"/>
    <col min="7946" max="7946" width="1.81640625" style="28" customWidth="1"/>
    <col min="7947" max="8188" width="11.1796875" style="28"/>
    <col min="8189" max="8189" width="1.81640625" style="28" customWidth="1"/>
    <col min="8190" max="8191" width="3.81640625" style="28" customWidth="1"/>
    <col min="8192" max="8192" width="11.81640625" style="28" customWidth="1"/>
    <col min="8193" max="8194" width="7.81640625" style="28" customWidth="1"/>
    <col min="8195" max="8196" width="8.81640625" style="28" customWidth="1"/>
    <col min="8197" max="8197" width="10.81640625" style="28" customWidth="1"/>
    <col min="8198" max="8198" width="8.81640625" style="28" customWidth="1"/>
    <col min="8199" max="8199" width="7.81640625" style="28" customWidth="1"/>
    <col min="8200" max="8200" width="8.81640625" style="28" customWidth="1"/>
    <col min="8201" max="8201" width="2.81640625" style="28" customWidth="1"/>
    <col min="8202" max="8202" width="1.81640625" style="28" customWidth="1"/>
    <col min="8203" max="8444" width="11.1796875" style="28"/>
    <col min="8445" max="8445" width="1.81640625" style="28" customWidth="1"/>
    <col min="8446" max="8447" width="3.81640625" style="28" customWidth="1"/>
    <col min="8448" max="8448" width="11.81640625" style="28" customWidth="1"/>
    <col min="8449" max="8450" width="7.81640625" style="28" customWidth="1"/>
    <col min="8451" max="8452" width="8.81640625" style="28" customWidth="1"/>
    <col min="8453" max="8453" width="10.81640625" style="28" customWidth="1"/>
    <col min="8454" max="8454" width="8.81640625" style="28" customWidth="1"/>
    <col min="8455" max="8455" width="7.81640625" style="28" customWidth="1"/>
    <col min="8456" max="8456" width="8.81640625" style="28" customWidth="1"/>
    <col min="8457" max="8457" width="2.81640625" style="28" customWidth="1"/>
    <col min="8458" max="8458" width="1.81640625" style="28" customWidth="1"/>
    <col min="8459" max="8700" width="11.1796875" style="28"/>
    <col min="8701" max="8701" width="1.81640625" style="28" customWidth="1"/>
    <col min="8702" max="8703" width="3.81640625" style="28" customWidth="1"/>
    <col min="8704" max="8704" width="11.81640625" style="28" customWidth="1"/>
    <col min="8705" max="8706" width="7.81640625" style="28" customWidth="1"/>
    <col min="8707" max="8708" width="8.81640625" style="28" customWidth="1"/>
    <col min="8709" max="8709" width="10.81640625" style="28" customWidth="1"/>
    <col min="8710" max="8710" width="8.81640625" style="28" customWidth="1"/>
    <col min="8711" max="8711" width="7.81640625" style="28" customWidth="1"/>
    <col min="8712" max="8712" width="8.81640625" style="28" customWidth="1"/>
    <col min="8713" max="8713" width="2.81640625" style="28" customWidth="1"/>
    <col min="8714" max="8714" width="1.81640625" style="28" customWidth="1"/>
    <col min="8715" max="8956" width="11.1796875" style="28"/>
    <col min="8957" max="8957" width="1.81640625" style="28" customWidth="1"/>
    <col min="8958" max="8959" width="3.81640625" style="28" customWidth="1"/>
    <col min="8960" max="8960" width="11.81640625" style="28" customWidth="1"/>
    <col min="8961" max="8962" width="7.81640625" style="28" customWidth="1"/>
    <col min="8963" max="8964" width="8.81640625" style="28" customWidth="1"/>
    <col min="8965" max="8965" width="10.81640625" style="28" customWidth="1"/>
    <col min="8966" max="8966" width="8.81640625" style="28" customWidth="1"/>
    <col min="8967" max="8967" width="7.81640625" style="28" customWidth="1"/>
    <col min="8968" max="8968" width="8.81640625" style="28" customWidth="1"/>
    <col min="8969" max="8969" width="2.81640625" style="28" customWidth="1"/>
    <col min="8970" max="8970" width="1.81640625" style="28" customWidth="1"/>
    <col min="8971" max="9212" width="11.1796875" style="28"/>
    <col min="9213" max="9213" width="1.81640625" style="28" customWidth="1"/>
    <col min="9214" max="9215" width="3.81640625" style="28" customWidth="1"/>
    <col min="9216" max="9216" width="11.81640625" style="28" customWidth="1"/>
    <col min="9217" max="9218" width="7.81640625" style="28" customWidth="1"/>
    <col min="9219" max="9220" width="8.81640625" style="28" customWidth="1"/>
    <col min="9221" max="9221" width="10.81640625" style="28" customWidth="1"/>
    <col min="9222" max="9222" width="8.81640625" style="28" customWidth="1"/>
    <col min="9223" max="9223" width="7.81640625" style="28" customWidth="1"/>
    <col min="9224" max="9224" width="8.81640625" style="28" customWidth="1"/>
    <col min="9225" max="9225" width="2.81640625" style="28" customWidth="1"/>
    <col min="9226" max="9226" width="1.81640625" style="28" customWidth="1"/>
    <col min="9227" max="9468" width="11.1796875" style="28"/>
    <col min="9469" max="9469" width="1.81640625" style="28" customWidth="1"/>
    <col min="9470" max="9471" width="3.81640625" style="28" customWidth="1"/>
    <col min="9472" max="9472" width="11.81640625" style="28" customWidth="1"/>
    <col min="9473" max="9474" width="7.81640625" style="28" customWidth="1"/>
    <col min="9475" max="9476" width="8.81640625" style="28" customWidth="1"/>
    <col min="9477" max="9477" width="10.81640625" style="28" customWidth="1"/>
    <col min="9478" max="9478" width="8.81640625" style="28" customWidth="1"/>
    <col min="9479" max="9479" width="7.81640625" style="28" customWidth="1"/>
    <col min="9480" max="9480" width="8.81640625" style="28" customWidth="1"/>
    <col min="9481" max="9481" width="2.81640625" style="28" customWidth="1"/>
    <col min="9482" max="9482" width="1.81640625" style="28" customWidth="1"/>
    <col min="9483" max="9724" width="11.1796875" style="28"/>
    <col min="9725" max="9725" width="1.81640625" style="28" customWidth="1"/>
    <col min="9726" max="9727" width="3.81640625" style="28" customWidth="1"/>
    <col min="9728" max="9728" width="11.81640625" style="28" customWidth="1"/>
    <col min="9729" max="9730" width="7.81640625" style="28" customWidth="1"/>
    <col min="9731" max="9732" width="8.81640625" style="28" customWidth="1"/>
    <col min="9733" max="9733" width="10.81640625" style="28" customWidth="1"/>
    <col min="9734" max="9734" width="8.81640625" style="28" customWidth="1"/>
    <col min="9735" max="9735" width="7.81640625" style="28" customWidth="1"/>
    <col min="9736" max="9736" width="8.81640625" style="28" customWidth="1"/>
    <col min="9737" max="9737" width="2.81640625" style="28" customWidth="1"/>
    <col min="9738" max="9738" width="1.81640625" style="28" customWidth="1"/>
    <col min="9739" max="9980" width="11.1796875" style="28"/>
    <col min="9981" max="9981" width="1.81640625" style="28" customWidth="1"/>
    <col min="9982" max="9983" width="3.81640625" style="28" customWidth="1"/>
    <col min="9984" max="9984" width="11.81640625" style="28" customWidth="1"/>
    <col min="9985" max="9986" width="7.81640625" style="28" customWidth="1"/>
    <col min="9987" max="9988" width="8.81640625" style="28" customWidth="1"/>
    <col min="9989" max="9989" width="10.81640625" style="28" customWidth="1"/>
    <col min="9990" max="9990" width="8.81640625" style="28" customWidth="1"/>
    <col min="9991" max="9991" width="7.81640625" style="28" customWidth="1"/>
    <col min="9992" max="9992" width="8.81640625" style="28" customWidth="1"/>
    <col min="9993" max="9993" width="2.81640625" style="28" customWidth="1"/>
    <col min="9994" max="9994" width="1.81640625" style="28" customWidth="1"/>
    <col min="9995" max="10236" width="11.1796875" style="28"/>
    <col min="10237" max="10237" width="1.81640625" style="28" customWidth="1"/>
    <col min="10238" max="10239" width="3.81640625" style="28" customWidth="1"/>
    <col min="10240" max="10240" width="11.81640625" style="28" customWidth="1"/>
    <col min="10241" max="10242" width="7.81640625" style="28" customWidth="1"/>
    <col min="10243" max="10244" width="8.81640625" style="28" customWidth="1"/>
    <col min="10245" max="10245" width="10.81640625" style="28" customWidth="1"/>
    <col min="10246" max="10246" width="8.81640625" style="28" customWidth="1"/>
    <col min="10247" max="10247" width="7.81640625" style="28" customWidth="1"/>
    <col min="10248" max="10248" width="8.81640625" style="28" customWidth="1"/>
    <col min="10249" max="10249" width="2.81640625" style="28" customWidth="1"/>
    <col min="10250" max="10250" width="1.81640625" style="28" customWidth="1"/>
    <col min="10251" max="10492" width="11.1796875" style="28"/>
    <col min="10493" max="10493" width="1.81640625" style="28" customWidth="1"/>
    <col min="10494" max="10495" width="3.81640625" style="28" customWidth="1"/>
    <col min="10496" max="10496" width="11.81640625" style="28" customWidth="1"/>
    <col min="10497" max="10498" width="7.81640625" style="28" customWidth="1"/>
    <col min="10499" max="10500" width="8.81640625" style="28" customWidth="1"/>
    <col min="10501" max="10501" width="10.81640625" style="28" customWidth="1"/>
    <col min="10502" max="10502" width="8.81640625" style="28" customWidth="1"/>
    <col min="10503" max="10503" width="7.81640625" style="28" customWidth="1"/>
    <col min="10504" max="10504" width="8.81640625" style="28" customWidth="1"/>
    <col min="10505" max="10505" width="2.81640625" style="28" customWidth="1"/>
    <col min="10506" max="10506" width="1.81640625" style="28" customWidth="1"/>
    <col min="10507" max="10748" width="11.1796875" style="28"/>
    <col min="10749" max="10749" width="1.81640625" style="28" customWidth="1"/>
    <col min="10750" max="10751" width="3.81640625" style="28" customWidth="1"/>
    <col min="10752" max="10752" width="11.81640625" style="28" customWidth="1"/>
    <col min="10753" max="10754" width="7.81640625" style="28" customWidth="1"/>
    <col min="10755" max="10756" width="8.81640625" style="28" customWidth="1"/>
    <col min="10757" max="10757" width="10.81640625" style="28" customWidth="1"/>
    <col min="10758" max="10758" width="8.81640625" style="28" customWidth="1"/>
    <col min="10759" max="10759" width="7.81640625" style="28" customWidth="1"/>
    <col min="10760" max="10760" width="8.81640625" style="28" customWidth="1"/>
    <col min="10761" max="10761" width="2.81640625" style="28" customWidth="1"/>
    <col min="10762" max="10762" width="1.81640625" style="28" customWidth="1"/>
    <col min="10763" max="11004" width="11.1796875" style="28"/>
    <col min="11005" max="11005" width="1.81640625" style="28" customWidth="1"/>
    <col min="11006" max="11007" width="3.81640625" style="28" customWidth="1"/>
    <col min="11008" max="11008" width="11.81640625" style="28" customWidth="1"/>
    <col min="11009" max="11010" width="7.81640625" style="28" customWidth="1"/>
    <col min="11011" max="11012" width="8.81640625" style="28" customWidth="1"/>
    <col min="11013" max="11013" width="10.81640625" style="28" customWidth="1"/>
    <col min="11014" max="11014" width="8.81640625" style="28" customWidth="1"/>
    <col min="11015" max="11015" width="7.81640625" style="28" customWidth="1"/>
    <col min="11016" max="11016" width="8.81640625" style="28" customWidth="1"/>
    <col min="11017" max="11017" width="2.81640625" style="28" customWidth="1"/>
    <col min="11018" max="11018" width="1.81640625" style="28" customWidth="1"/>
    <col min="11019" max="11260" width="11.1796875" style="28"/>
    <col min="11261" max="11261" width="1.81640625" style="28" customWidth="1"/>
    <col min="11262" max="11263" width="3.81640625" style="28" customWidth="1"/>
    <col min="11264" max="11264" width="11.81640625" style="28" customWidth="1"/>
    <col min="11265" max="11266" width="7.81640625" style="28" customWidth="1"/>
    <col min="11267" max="11268" width="8.81640625" style="28" customWidth="1"/>
    <col min="11269" max="11269" width="10.81640625" style="28" customWidth="1"/>
    <col min="11270" max="11270" width="8.81640625" style="28" customWidth="1"/>
    <col min="11271" max="11271" width="7.81640625" style="28" customWidth="1"/>
    <col min="11272" max="11272" width="8.81640625" style="28" customWidth="1"/>
    <col min="11273" max="11273" width="2.81640625" style="28" customWidth="1"/>
    <col min="11274" max="11274" width="1.81640625" style="28" customWidth="1"/>
    <col min="11275" max="11516" width="11.1796875" style="28"/>
    <col min="11517" max="11517" width="1.81640625" style="28" customWidth="1"/>
    <col min="11518" max="11519" width="3.81640625" style="28" customWidth="1"/>
    <col min="11520" max="11520" width="11.81640625" style="28" customWidth="1"/>
    <col min="11521" max="11522" width="7.81640625" style="28" customWidth="1"/>
    <col min="11523" max="11524" width="8.81640625" style="28" customWidth="1"/>
    <col min="11525" max="11525" width="10.81640625" style="28" customWidth="1"/>
    <col min="11526" max="11526" width="8.81640625" style="28" customWidth="1"/>
    <col min="11527" max="11527" width="7.81640625" style="28" customWidth="1"/>
    <col min="11528" max="11528" width="8.81640625" style="28" customWidth="1"/>
    <col min="11529" max="11529" width="2.81640625" style="28" customWidth="1"/>
    <col min="11530" max="11530" width="1.81640625" style="28" customWidth="1"/>
    <col min="11531" max="11772" width="11.1796875" style="28"/>
    <col min="11773" max="11773" width="1.81640625" style="28" customWidth="1"/>
    <col min="11774" max="11775" width="3.81640625" style="28" customWidth="1"/>
    <col min="11776" max="11776" width="11.81640625" style="28" customWidth="1"/>
    <col min="11777" max="11778" width="7.81640625" style="28" customWidth="1"/>
    <col min="11779" max="11780" width="8.81640625" style="28" customWidth="1"/>
    <col min="11781" max="11781" width="10.81640625" style="28" customWidth="1"/>
    <col min="11782" max="11782" width="8.81640625" style="28" customWidth="1"/>
    <col min="11783" max="11783" width="7.81640625" style="28" customWidth="1"/>
    <col min="11784" max="11784" width="8.81640625" style="28" customWidth="1"/>
    <col min="11785" max="11785" width="2.81640625" style="28" customWidth="1"/>
    <col min="11786" max="11786" width="1.81640625" style="28" customWidth="1"/>
    <col min="11787" max="12028" width="11.1796875" style="28"/>
    <col min="12029" max="12029" width="1.81640625" style="28" customWidth="1"/>
    <col min="12030" max="12031" width="3.81640625" style="28" customWidth="1"/>
    <col min="12032" max="12032" width="11.81640625" style="28" customWidth="1"/>
    <col min="12033" max="12034" width="7.81640625" style="28" customWidth="1"/>
    <col min="12035" max="12036" width="8.81640625" style="28" customWidth="1"/>
    <col min="12037" max="12037" width="10.81640625" style="28" customWidth="1"/>
    <col min="12038" max="12038" width="8.81640625" style="28" customWidth="1"/>
    <col min="12039" max="12039" width="7.81640625" style="28" customWidth="1"/>
    <col min="12040" max="12040" width="8.81640625" style="28" customWidth="1"/>
    <col min="12041" max="12041" width="2.81640625" style="28" customWidth="1"/>
    <col min="12042" max="12042" width="1.81640625" style="28" customWidth="1"/>
    <col min="12043" max="12284" width="11.1796875" style="28"/>
    <col min="12285" max="12285" width="1.81640625" style="28" customWidth="1"/>
    <col min="12286" max="12287" width="3.81640625" style="28" customWidth="1"/>
    <col min="12288" max="12288" width="11.81640625" style="28" customWidth="1"/>
    <col min="12289" max="12290" width="7.81640625" style="28" customWidth="1"/>
    <col min="12291" max="12292" width="8.81640625" style="28" customWidth="1"/>
    <col min="12293" max="12293" width="10.81640625" style="28" customWidth="1"/>
    <col min="12294" max="12294" width="8.81640625" style="28" customWidth="1"/>
    <col min="12295" max="12295" width="7.81640625" style="28" customWidth="1"/>
    <col min="12296" max="12296" width="8.81640625" style="28" customWidth="1"/>
    <col min="12297" max="12297" width="2.81640625" style="28" customWidth="1"/>
    <col min="12298" max="12298" width="1.81640625" style="28" customWidth="1"/>
    <col min="12299" max="12540" width="11.1796875" style="28"/>
    <col min="12541" max="12541" width="1.81640625" style="28" customWidth="1"/>
    <col min="12542" max="12543" width="3.81640625" style="28" customWidth="1"/>
    <col min="12544" max="12544" width="11.81640625" style="28" customWidth="1"/>
    <col min="12545" max="12546" width="7.81640625" style="28" customWidth="1"/>
    <col min="12547" max="12548" width="8.81640625" style="28" customWidth="1"/>
    <col min="12549" max="12549" width="10.81640625" style="28" customWidth="1"/>
    <col min="12550" max="12550" width="8.81640625" style="28" customWidth="1"/>
    <col min="12551" max="12551" width="7.81640625" style="28" customWidth="1"/>
    <col min="12552" max="12552" width="8.81640625" style="28" customWidth="1"/>
    <col min="12553" max="12553" width="2.81640625" style="28" customWidth="1"/>
    <col min="12554" max="12554" width="1.81640625" style="28" customWidth="1"/>
    <col min="12555" max="12796" width="11.1796875" style="28"/>
    <col min="12797" max="12797" width="1.81640625" style="28" customWidth="1"/>
    <col min="12798" max="12799" width="3.81640625" style="28" customWidth="1"/>
    <col min="12800" max="12800" width="11.81640625" style="28" customWidth="1"/>
    <col min="12801" max="12802" width="7.81640625" style="28" customWidth="1"/>
    <col min="12803" max="12804" width="8.81640625" style="28" customWidth="1"/>
    <col min="12805" max="12805" width="10.81640625" style="28" customWidth="1"/>
    <col min="12806" max="12806" width="8.81640625" style="28" customWidth="1"/>
    <col min="12807" max="12807" width="7.81640625" style="28" customWidth="1"/>
    <col min="12808" max="12808" width="8.81640625" style="28" customWidth="1"/>
    <col min="12809" max="12809" width="2.81640625" style="28" customWidth="1"/>
    <col min="12810" max="12810" width="1.81640625" style="28" customWidth="1"/>
    <col min="12811" max="13052" width="11.1796875" style="28"/>
    <col min="13053" max="13053" width="1.81640625" style="28" customWidth="1"/>
    <col min="13054" max="13055" width="3.81640625" style="28" customWidth="1"/>
    <col min="13056" max="13056" width="11.81640625" style="28" customWidth="1"/>
    <col min="13057" max="13058" width="7.81640625" style="28" customWidth="1"/>
    <col min="13059" max="13060" width="8.81640625" style="28" customWidth="1"/>
    <col min="13061" max="13061" width="10.81640625" style="28" customWidth="1"/>
    <col min="13062" max="13062" width="8.81640625" style="28" customWidth="1"/>
    <col min="13063" max="13063" width="7.81640625" style="28" customWidth="1"/>
    <col min="13064" max="13064" width="8.81640625" style="28" customWidth="1"/>
    <col min="13065" max="13065" width="2.81640625" style="28" customWidth="1"/>
    <col min="13066" max="13066" width="1.81640625" style="28" customWidth="1"/>
    <col min="13067" max="13308" width="11.1796875" style="28"/>
    <col min="13309" max="13309" width="1.81640625" style="28" customWidth="1"/>
    <col min="13310" max="13311" width="3.81640625" style="28" customWidth="1"/>
    <col min="13312" max="13312" width="11.81640625" style="28" customWidth="1"/>
    <col min="13313" max="13314" width="7.81640625" style="28" customWidth="1"/>
    <col min="13315" max="13316" width="8.81640625" style="28" customWidth="1"/>
    <col min="13317" max="13317" width="10.81640625" style="28" customWidth="1"/>
    <col min="13318" max="13318" width="8.81640625" style="28" customWidth="1"/>
    <col min="13319" max="13319" width="7.81640625" style="28" customWidth="1"/>
    <col min="13320" max="13320" width="8.81640625" style="28" customWidth="1"/>
    <col min="13321" max="13321" width="2.81640625" style="28" customWidth="1"/>
    <col min="13322" max="13322" width="1.81640625" style="28" customWidth="1"/>
    <col min="13323" max="13564" width="11.1796875" style="28"/>
    <col min="13565" max="13565" width="1.81640625" style="28" customWidth="1"/>
    <col min="13566" max="13567" width="3.81640625" style="28" customWidth="1"/>
    <col min="13568" max="13568" width="11.81640625" style="28" customWidth="1"/>
    <col min="13569" max="13570" width="7.81640625" style="28" customWidth="1"/>
    <col min="13571" max="13572" width="8.81640625" style="28" customWidth="1"/>
    <col min="13573" max="13573" width="10.81640625" style="28" customWidth="1"/>
    <col min="13574" max="13574" width="8.81640625" style="28" customWidth="1"/>
    <col min="13575" max="13575" width="7.81640625" style="28" customWidth="1"/>
    <col min="13576" max="13576" width="8.81640625" style="28" customWidth="1"/>
    <col min="13577" max="13577" width="2.81640625" style="28" customWidth="1"/>
    <col min="13578" max="13578" width="1.81640625" style="28" customWidth="1"/>
    <col min="13579" max="13820" width="11.1796875" style="28"/>
    <col min="13821" max="13821" width="1.81640625" style="28" customWidth="1"/>
    <col min="13822" max="13823" width="3.81640625" style="28" customWidth="1"/>
    <col min="13824" max="13824" width="11.81640625" style="28" customWidth="1"/>
    <col min="13825" max="13826" width="7.81640625" style="28" customWidth="1"/>
    <col min="13827" max="13828" width="8.81640625" style="28" customWidth="1"/>
    <col min="13829" max="13829" width="10.81640625" style="28" customWidth="1"/>
    <col min="13830" max="13830" width="8.81640625" style="28" customWidth="1"/>
    <col min="13831" max="13831" width="7.81640625" style="28" customWidth="1"/>
    <col min="13832" max="13832" width="8.81640625" style="28" customWidth="1"/>
    <col min="13833" max="13833" width="2.81640625" style="28" customWidth="1"/>
    <col min="13834" max="13834" width="1.81640625" style="28" customWidth="1"/>
    <col min="13835" max="14076" width="11.1796875" style="28"/>
    <col min="14077" max="14077" width="1.81640625" style="28" customWidth="1"/>
    <col min="14078" max="14079" width="3.81640625" style="28" customWidth="1"/>
    <col min="14080" max="14080" width="11.81640625" style="28" customWidth="1"/>
    <col min="14081" max="14082" width="7.81640625" style="28" customWidth="1"/>
    <col min="14083" max="14084" width="8.81640625" style="28" customWidth="1"/>
    <col min="14085" max="14085" width="10.81640625" style="28" customWidth="1"/>
    <col min="14086" max="14086" width="8.81640625" style="28" customWidth="1"/>
    <col min="14087" max="14087" width="7.81640625" style="28" customWidth="1"/>
    <col min="14088" max="14088" width="8.81640625" style="28" customWidth="1"/>
    <col min="14089" max="14089" width="2.81640625" style="28" customWidth="1"/>
    <col min="14090" max="14090" width="1.81640625" style="28" customWidth="1"/>
    <col min="14091" max="14332" width="11.1796875" style="28"/>
    <col min="14333" max="14333" width="1.81640625" style="28" customWidth="1"/>
    <col min="14334" max="14335" width="3.81640625" style="28" customWidth="1"/>
    <col min="14336" max="14336" width="11.81640625" style="28" customWidth="1"/>
    <col min="14337" max="14338" width="7.81640625" style="28" customWidth="1"/>
    <col min="14339" max="14340" width="8.81640625" style="28" customWidth="1"/>
    <col min="14341" max="14341" width="10.81640625" style="28" customWidth="1"/>
    <col min="14342" max="14342" width="8.81640625" style="28" customWidth="1"/>
    <col min="14343" max="14343" width="7.81640625" style="28" customWidth="1"/>
    <col min="14344" max="14344" width="8.81640625" style="28" customWidth="1"/>
    <col min="14345" max="14345" width="2.81640625" style="28" customWidth="1"/>
    <col min="14346" max="14346" width="1.81640625" style="28" customWidth="1"/>
    <col min="14347" max="14588" width="11.1796875" style="28"/>
    <col min="14589" max="14589" width="1.81640625" style="28" customWidth="1"/>
    <col min="14590" max="14591" width="3.81640625" style="28" customWidth="1"/>
    <col min="14592" max="14592" width="11.81640625" style="28" customWidth="1"/>
    <col min="14593" max="14594" width="7.81640625" style="28" customWidth="1"/>
    <col min="14595" max="14596" width="8.81640625" style="28" customWidth="1"/>
    <col min="14597" max="14597" width="10.81640625" style="28" customWidth="1"/>
    <col min="14598" max="14598" width="8.81640625" style="28" customWidth="1"/>
    <col min="14599" max="14599" width="7.81640625" style="28" customWidth="1"/>
    <col min="14600" max="14600" width="8.81640625" style="28" customWidth="1"/>
    <col min="14601" max="14601" width="2.81640625" style="28" customWidth="1"/>
    <col min="14602" max="14602" width="1.81640625" style="28" customWidth="1"/>
    <col min="14603" max="14844" width="11.1796875" style="28"/>
    <col min="14845" max="14845" width="1.81640625" style="28" customWidth="1"/>
    <col min="14846" max="14847" width="3.81640625" style="28" customWidth="1"/>
    <col min="14848" max="14848" width="11.81640625" style="28" customWidth="1"/>
    <col min="14849" max="14850" width="7.81640625" style="28" customWidth="1"/>
    <col min="14851" max="14852" width="8.81640625" style="28" customWidth="1"/>
    <col min="14853" max="14853" width="10.81640625" style="28" customWidth="1"/>
    <col min="14854" max="14854" width="8.81640625" style="28" customWidth="1"/>
    <col min="14855" max="14855" width="7.81640625" style="28" customWidth="1"/>
    <col min="14856" max="14856" width="8.81640625" style="28" customWidth="1"/>
    <col min="14857" max="14857" width="2.81640625" style="28" customWidth="1"/>
    <col min="14858" max="14858" width="1.81640625" style="28" customWidth="1"/>
    <col min="14859" max="15100" width="11.1796875" style="28"/>
    <col min="15101" max="15101" width="1.81640625" style="28" customWidth="1"/>
    <col min="15102" max="15103" width="3.81640625" style="28" customWidth="1"/>
    <col min="15104" max="15104" width="11.81640625" style="28" customWidth="1"/>
    <col min="15105" max="15106" width="7.81640625" style="28" customWidth="1"/>
    <col min="15107" max="15108" width="8.81640625" style="28" customWidth="1"/>
    <col min="15109" max="15109" width="10.81640625" style="28" customWidth="1"/>
    <col min="15110" max="15110" width="8.81640625" style="28" customWidth="1"/>
    <col min="15111" max="15111" width="7.81640625" style="28" customWidth="1"/>
    <col min="15112" max="15112" width="8.81640625" style="28" customWidth="1"/>
    <col min="15113" max="15113" width="2.81640625" style="28" customWidth="1"/>
    <col min="15114" max="15114" width="1.81640625" style="28" customWidth="1"/>
    <col min="15115" max="15356" width="11.1796875" style="28"/>
    <col min="15357" max="15357" width="1.81640625" style="28" customWidth="1"/>
    <col min="15358" max="15359" width="3.81640625" style="28" customWidth="1"/>
    <col min="15360" max="15360" width="11.81640625" style="28" customWidth="1"/>
    <col min="15361" max="15362" width="7.81640625" style="28" customWidth="1"/>
    <col min="15363" max="15364" width="8.81640625" style="28" customWidth="1"/>
    <col min="15365" max="15365" width="10.81640625" style="28" customWidth="1"/>
    <col min="15366" max="15366" width="8.81640625" style="28" customWidth="1"/>
    <col min="15367" max="15367" width="7.81640625" style="28" customWidth="1"/>
    <col min="15368" max="15368" width="8.81640625" style="28" customWidth="1"/>
    <col min="15369" max="15369" width="2.81640625" style="28" customWidth="1"/>
    <col min="15370" max="15370" width="1.81640625" style="28" customWidth="1"/>
    <col min="15371" max="15612" width="11.1796875" style="28"/>
    <col min="15613" max="15613" width="1.81640625" style="28" customWidth="1"/>
    <col min="15614" max="15615" width="3.81640625" style="28" customWidth="1"/>
    <col min="15616" max="15616" width="11.81640625" style="28" customWidth="1"/>
    <col min="15617" max="15618" width="7.81640625" style="28" customWidth="1"/>
    <col min="15619" max="15620" width="8.81640625" style="28" customWidth="1"/>
    <col min="15621" max="15621" width="10.81640625" style="28" customWidth="1"/>
    <col min="15622" max="15622" width="8.81640625" style="28" customWidth="1"/>
    <col min="15623" max="15623" width="7.81640625" style="28" customWidth="1"/>
    <col min="15624" max="15624" width="8.81640625" style="28" customWidth="1"/>
    <col min="15625" max="15625" width="2.81640625" style="28" customWidth="1"/>
    <col min="15626" max="15626" width="1.81640625" style="28" customWidth="1"/>
    <col min="15627" max="15868" width="11.1796875" style="28"/>
    <col min="15869" max="15869" width="1.81640625" style="28" customWidth="1"/>
    <col min="15870" max="15871" width="3.81640625" style="28" customWidth="1"/>
    <col min="15872" max="15872" width="11.81640625" style="28" customWidth="1"/>
    <col min="15873" max="15874" width="7.81640625" style="28" customWidth="1"/>
    <col min="15875" max="15876" width="8.81640625" style="28" customWidth="1"/>
    <col min="15877" max="15877" width="10.81640625" style="28" customWidth="1"/>
    <col min="15878" max="15878" width="8.81640625" style="28" customWidth="1"/>
    <col min="15879" max="15879" width="7.81640625" style="28" customWidth="1"/>
    <col min="15880" max="15880" width="8.81640625" style="28" customWidth="1"/>
    <col min="15881" max="15881" width="2.81640625" style="28" customWidth="1"/>
    <col min="15882" max="15882" width="1.81640625" style="28" customWidth="1"/>
    <col min="15883" max="16124" width="11.1796875" style="28"/>
    <col min="16125" max="16125" width="1.81640625" style="28" customWidth="1"/>
    <col min="16126" max="16127" width="3.81640625" style="28" customWidth="1"/>
    <col min="16128" max="16128" width="11.81640625" style="28" customWidth="1"/>
    <col min="16129" max="16130" width="7.81640625" style="28" customWidth="1"/>
    <col min="16131" max="16132" width="8.81640625" style="28" customWidth="1"/>
    <col min="16133" max="16133" width="10.81640625" style="28" customWidth="1"/>
    <col min="16134" max="16134" width="8.81640625" style="28" customWidth="1"/>
    <col min="16135" max="16135" width="7.81640625" style="28" customWidth="1"/>
    <col min="16136" max="16136" width="8.81640625" style="28" customWidth="1"/>
    <col min="16137" max="16137" width="2.81640625" style="28" customWidth="1"/>
    <col min="16138" max="16138" width="1.81640625" style="28" customWidth="1"/>
    <col min="16139" max="16384" width="11.1796875" style="28"/>
  </cols>
  <sheetData>
    <row r="1" spans="1:26" ht="15.6" thickBot="1"/>
    <row r="2" spans="1:26" ht="21" customHeight="1" thickTop="1">
      <c r="B2" s="29"/>
      <c r="C2" s="30"/>
      <c r="D2" s="31"/>
      <c r="E2" s="31"/>
      <c r="F2" s="31"/>
      <c r="G2" s="31"/>
      <c r="H2" s="31"/>
      <c r="I2" s="31"/>
      <c r="J2" s="30"/>
      <c r="K2" s="30"/>
      <c r="L2" s="30"/>
      <c r="M2" s="30"/>
      <c r="N2" s="30"/>
      <c r="O2" s="30"/>
      <c r="P2" s="30"/>
      <c r="Q2" s="30"/>
      <c r="R2" s="32"/>
      <c r="T2" s="246" cm="1">
        <f t="array" ref="T2">INDEX(DATA!$B$99:$B$104,$T$8)</f>
      </c>
      <c r="U2" s="246"/>
      <c r="V2" s="246">
        <f>TEXT($T$2,"[$-21]dd mmmm yyyy")</f>
      </c>
      <c r="W2" s="261">
        <f>TEXT(T2,"[$-21]dd mmmm yyyy")</f>
      </c>
    </row>
    <row r="3" spans="1:26" ht="17.399999999999999">
      <c r="B3" s="33"/>
      <c r="C3" s="34"/>
      <c r="D3" s="53"/>
      <c r="E3" s="53"/>
      <c r="F3" s="53"/>
      <c r="G3" s="53"/>
      <c r="H3" s="53"/>
      <c r="I3" s="53"/>
      <c r="J3" s="34"/>
      <c r="K3" s="34"/>
      <c r="L3" s="35"/>
      <c r="M3" s="35"/>
      <c r="N3" s="35"/>
      <c r="O3" s="35"/>
      <c r="P3" s="35"/>
      <c r="Q3" s="35"/>
      <c r="R3" s="36"/>
      <c r="T3" s="246">
        <f>TEXT($T$2,"[$-21]dddd")</f>
      </c>
      <c r="U3" s="61"/>
      <c r="V3" s="246"/>
      <c r="W3" s="61"/>
      <c r="X3" s="61"/>
      <c r="Y3" s="61"/>
      <c r="Z3" s="61"/>
    </row>
    <row r="4" spans="1:26">
      <c r="A4" s="37"/>
      <c r="B4" s="38"/>
      <c r="C4" s="39"/>
      <c r="D4" s="40"/>
      <c r="E4" s="40"/>
      <c r="F4" s="40"/>
      <c r="G4" s="40"/>
      <c r="H4" s="40"/>
      <c r="I4" s="40"/>
      <c r="J4" s="40"/>
      <c r="K4" s="37"/>
      <c r="L4" s="37"/>
      <c r="M4" s="37"/>
      <c r="N4" s="37"/>
      <c r="O4" s="37"/>
      <c r="P4" s="37"/>
      <c r="Q4" s="37"/>
      <c r="R4" s="41"/>
      <c r="S4" s="37"/>
      <c r="T4" s="246">
        <f>VLOOKUP(DAY($T$2),HELPER!$A$2:$B$100,2,0)</f>
      </c>
      <c r="U4" s="61"/>
      <c r="V4" s="246"/>
      <c r="W4" s="61"/>
      <c r="X4" s="61"/>
      <c r="Y4" s="61"/>
      <c r="Z4" s="61"/>
    </row>
    <row r="5" spans="1:26">
      <c r="A5" s="37"/>
      <c r="B5" s="38"/>
      <c r="C5" s="39"/>
      <c r="D5" s="40"/>
      <c r="E5" s="40"/>
      <c r="F5" s="40"/>
      <c r="G5" s="40"/>
      <c r="H5" s="40"/>
      <c r="I5" s="40"/>
      <c r="J5" s="40"/>
      <c r="K5" s="37"/>
      <c r="L5" s="37"/>
      <c r="M5" s="37"/>
      <c r="N5" s="37"/>
      <c r="O5" s="37"/>
      <c r="P5" s="37"/>
      <c r="Q5" s="37"/>
      <c r="R5" s="41"/>
      <c r="S5" s="37"/>
      <c r="T5" s="246">
        <f>TEXT($T$2,"[$-21]mmmm")</f>
      </c>
      <c r="U5" s="61"/>
      <c r="V5" s="61"/>
      <c r="W5" s="61"/>
      <c r="X5" s="61"/>
      <c r="Y5" s="61"/>
      <c r="Z5" s="61"/>
    </row>
    <row r="6" spans="1:26" ht="9" customHeight="1">
      <c r="A6" s="37"/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4"/>
      <c r="S6" s="37"/>
      <c r="T6" s="246">
        <f>"Dua Ribu"&amp;IF(MOD(YEAR($T$2),100)=0,""," "&amp;VLOOKUP(MOD(YEAR($T$2),100),HELPER!$A$2:$B$100,2,0))</f>
      </c>
      <c r="U6" s="61"/>
      <c r="V6" s="61"/>
      <c r="W6" s="61"/>
      <c r="X6" s="61"/>
      <c r="Y6" s="61"/>
      <c r="Z6" s="61"/>
    </row>
    <row r="7" spans="1:26" ht="15.6">
      <c r="A7" s="37"/>
      <c r="B7" s="645"/>
      <c r="C7" s="646"/>
      <c r="D7" s="646"/>
      <c r="E7" s="646"/>
      <c r="F7" s="646"/>
      <c r="G7" s="646"/>
      <c r="H7" s="646"/>
      <c r="I7" s="646"/>
      <c r="J7" s="646"/>
      <c r="K7" s="646"/>
      <c r="L7" s="646"/>
      <c r="M7" s="646"/>
      <c r="N7" s="646"/>
      <c r="O7" s="646"/>
      <c r="P7" s="646"/>
      <c r="Q7" s="646"/>
      <c r="R7" s="647"/>
      <c r="S7" s="37"/>
      <c r="T7" s="468" t="s">
        <v>51</v>
      </c>
      <c r="U7" s="61"/>
      <c r="V7" s="61"/>
      <c r="W7" s="61"/>
      <c r="X7" s="61"/>
      <c r="Y7" s="61"/>
      <c r="Z7" s="61"/>
    </row>
    <row r="8" spans="1:26">
      <c r="A8" s="37"/>
      <c r="B8" s="429"/>
      <c r="C8" s="430"/>
      <c r="D8" s="430"/>
      <c r="E8" s="430"/>
      <c r="F8" s="430"/>
      <c r="G8" s="430"/>
      <c r="H8" s="430"/>
      <c r="I8" s="430"/>
      <c r="J8" s="430"/>
      <c r="K8" s="430"/>
      <c r="L8" s="430"/>
      <c r="M8" s="430"/>
      <c r="N8" s="430"/>
      <c r="O8" s="430"/>
      <c r="P8" s="430"/>
      <c r="Q8" s="430"/>
      <c r="R8" s="431"/>
      <c r="S8" s="37"/>
      <c r="T8" s="469">
        <v>6</v>
      </c>
      <c r="U8" s="61"/>
      <c r="V8" s="61"/>
      <c r="W8" s="61"/>
      <c r="X8" s="61"/>
      <c r="Y8" s="61"/>
      <c r="Z8" s="61"/>
    </row>
    <row r="9" spans="1:26" ht="21">
      <c r="A9" s="37"/>
      <c r="B9" s="642" t="s">
        <v>87</v>
      </c>
      <c r="C9" s="643"/>
      <c r="D9" s="643"/>
      <c r="E9" s="643"/>
      <c r="F9" s="643"/>
      <c r="G9" s="643"/>
      <c r="H9" s="643"/>
      <c r="I9" s="643"/>
      <c r="J9" s="643"/>
      <c r="K9" s="643"/>
      <c r="L9" s="643"/>
      <c r="M9" s="643"/>
      <c r="N9" s="643"/>
      <c r="O9" s="643"/>
      <c r="P9" s="643"/>
      <c r="Q9" s="643"/>
      <c r="R9" s="644"/>
      <c r="S9" s="37"/>
      <c r="T9" s="246"/>
      <c r="U9" s="62"/>
      <c r="V9" s="62"/>
      <c r="W9" s="62"/>
      <c r="X9" s="62"/>
      <c r="Y9" s="62"/>
      <c r="Z9" s="62"/>
    </row>
    <row r="10" spans="1:26">
      <c r="A10" s="37"/>
      <c r="B10" s="645">
        <f>TEXT($T$8,"00")&amp;"/BAPP/"&amp;DATA!$B$4</f>
      </c>
      <c r="C10" s="646"/>
      <c r="D10" s="646"/>
      <c r="E10" s="646"/>
      <c r="F10" s="646"/>
      <c r="G10" s="646"/>
      <c r="H10" s="646"/>
      <c r="I10" s="646"/>
      <c r="J10" s="646"/>
      <c r="K10" s="646"/>
      <c r="L10" s="646"/>
      <c r="M10" s="646"/>
      <c r="N10" s="646"/>
      <c r="O10" s="646"/>
      <c r="P10" s="646"/>
      <c r="Q10" s="646"/>
      <c r="R10" s="647"/>
      <c r="S10" s="37"/>
      <c r="T10" s="246"/>
      <c r="U10" s="62"/>
      <c r="V10" s="62"/>
      <c r="W10" s="62"/>
      <c r="X10" s="62"/>
      <c r="Y10" s="62"/>
      <c r="Z10" s="62"/>
    </row>
    <row r="11" spans="1:26">
      <c r="A11" s="37"/>
      <c r="B11" s="429"/>
      <c r="C11" s="430"/>
      <c r="D11" s="430"/>
      <c r="E11" s="430"/>
      <c r="F11" s="430"/>
      <c r="G11" s="430"/>
      <c r="H11" s="430"/>
      <c r="I11" s="430"/>
      <c r="J11" s="430"/>
      <c r="K11" s="430"/>
      <c r="L11" s="430"/>
      <c r="M11" s="430"/>
      <c r="N11" s="430"/>
      <c r="O11" s="430"/>
      <c r="P11" s="430"/>
      <c r="Q11" s="430"/>
      <c r="R11" s="431"/>
      <c r="S11" s="37"/>
      <c r="T11" s="246"/>
      <c r="U11" s="62"/>
      <c r="V11" s="62"/>
      <c r="W11" s="62"/>
      <c r="X11" s="62"/>
      <c r="Y11" s="62"/>
      <c r="Z11" s="62"/>
    </row>
    <row r="12" spans="1:26" ht="21" customHeight="1">
      <c r="A12" s="37"/>
      <c r="B12" s="38"/>
      <c r="C12" s="648">
        <f>"Pada hari ini "&amp;T3&amp;" tanggal "&amp;T4&amp;" bulan "&amp;T5&amp;" tahun "&amp;T6&amp;" ("&amp;V2&amp;"), kami yang bertandatangan di bawah ini:"</f>
      </c>
      <c r="D12" s="648"/>
      <c r="E12" s="648"/>
      <c r="F12" s="648"/>
      <c r="G12" s="648"/>
      <c r="H12" s="648"/>
      <c r="I12" s="648"/>
      <c r="J12" s="648"/>
      <c r="K12" s="648"/>
      <c r="L12" s="648"/>
      <c r="M12" s="648"/>
      <c r="N12" s="648"/>
      <c r="O12" s="648"/>
      <c r="P12" s="648"/>
      <c r="Q12" s="648"/>
      <c r="R12" s="46"/>
      <c r="S12" s="37"/>
      <c r="T12" s="62"/>
      <c r="U12" s="62"/>
      <c r="V12" s="62"/>
      <c r="W12" s="62"/>
      <c r="X12" s="62"/>
      <c r="Y12" s="62"/>
      <c r="Z12" s="62"/>
    </row>
    <row r="13" spans="1:26" ht="5.25" customHeight="1">
      <c r="A13" s="37"/>
      <c r="B13" s="38"/>
      <c r="C13" s="43"/>
      <c r="D13" s="60"/>
      <c r="E13" s="60"/>
      <c r="F13" s="60"/>
      <c r="G13" s="60"/>
      <c r="H13" s="60"/>
      <c r="I13" s="60"/>
      <c r="J13" s="43"/>
      <c r="K13" s="43"/>
      <c r="L13" s="43"/>
      <c r="M13" s="43"/>
      <c r="N13" s="43"/>
      <c r="O13" s="43"/>
      <c r="P13" s="43"/>
      <c r="Q13" s="43"/>
      <c r="R13" s="46"/>
      <c r="S13" s="37"/>
      <c r="T13" s="62"/>
      <c r="U13" s="62"/>
      <c r="V13" s="62"/>
      <c r="W13" s="62"/>
      <c r="X13" s="62"/>
      <c r="Y13" s="62"/>
      <c r="Z13" s="62"/>
    </row>
    <row r="14" spans="1:26" ht="18" customHeight="1">
      <c r="A14" s="37"/>
      <c r="B14" s="38"/>
      <c r="C14" s="221" t="s">
        <v>88</v>
      </c>
      <c r="D14" s="222">
        <f>DATA!$B$14</f>
      </c>
      <c r="E14" s="222" t="s">
        <v>2</v>
      </c>
      <c r="F14" s="630">
        <f>"Selaku "&amp;DATA!$B$16&amp;", Proyek "&amp;DATA!$B$7&amp;", dalam hal ini bertindak untuk dan atas nama "&amp;DATA!$B$17&amp;", yang berkedudukan di "&amp;DATA!$B$18</f>
      </c>
      <c r="G14" s="630"/>
      <c r="H14" s="630"/>
      <c r="I14" s="630"/>
      <c r="J14" s="630"/>
      <c r="K14" s="630"/>
      <c r="L14" s="630"/>
      <c r="M14" s="630"/>
      <c r="N14" s="630"/>
      <c r="O14" s="630"/>
      <c r="P14" s="630"/>
      <c r="Q14" s="630"/>
      <c r="R14" s="631"/>
      <c r="S14" s="37" t="s">
        <v>89</v>
      </c>
    </row>
    <row r="15" spans="1:26" ht="12.45" customHeight="1">
      <c r="A15" s="37"/>
      <c r="B15" s="38"/>
      <c r="C15" s="43"/>
      <c r="D15" s="60"/>
      <c r="E15" s="60"/>
      <c r="F15" s="630"/>
      <c r="G15" s="630"/>
      <c r="H15" s="630"/>
      <c r="I15" s="630"/>
      <c r="J15" s="630"/>
      <c r="K15" s="630"/>
      <c r="L15" s="630"/>
      <c r="M15" s="630"/>
      <c r="N15" s="630"/>
      <c r="O15" s="630"/>
      <c r="P15" s="630"/>
      <c r="Q15" s="630"/>
      <c r="R15" s="631"/>
      <c r="S15" s="37"/>
      <c r="U15" s="253" t="s">
        <v>90</v>
      </c>
    </row>
    <row r="16" spans="1:26">
      <c r="A16" s="37"/>
      <c r="B16" s="38"/>
      <c r="C16" s="43"/>
      <c r="D16" s="60"/>
      <c r="E16" s="60"/>
      <c r="F16" s="44" t="s">
        <v>91</v>
      </c>
      <c r="G16" s="44"/>
      <c r="H16" s="44"/>
      <c r="I16" s="44"/>
      <c r="J16" s="43"/>
      <c r="M16" s="45"/>
      <c r="N16" s="45"/>
      <c r="O16" s="45"/>
      <c r="P16" s="45"/>
      <c r="Q16" s="45"/>
      <c r="R16" s="46"/>
      <c r="S16" s="37"/>
    </row>
    <row r="17" spans="1:19" ht="7.5" customHeight="1">
      <c r="A17" s="37"/>
      <c r="B17" s="38"/>
      <c r="C17" s="43"/>
      <c r="D17" s="60"/>
      <c r="E17" s="60"/>
      <c r="F17" s="60"/>
      <c r="G17" s="60"/>
      <c r="H17" s="60"/>
      <c r="I17" s="60"/>
      <c r="J17" s="43"/>
      <c r="K17" s="43"/>
      <c r="L17" s="45"/>
      <c r="M17" s="45"/>
      <c r="N17" s="45"/>
      <c r="O17" s="45"/>
      <c r="P17" s="45"/>
      <c r="Q17" s="45"/>
      <c r="R17" s="46"/>
      <c r="S17" s="37"/>
    </row>
    <row r="18" spans="1:19" ht="30.45" customHeight="1">
      <c r="A18" s="37"/>
      <c r="B18" s="38"/>
      <c r="C18" s="221" t="s">
        <v>92</v>
      </c>
      <c r="D18" s="222">
        <f>DATA!$B$22</f>
      </c>
      <c r="E18" s="222" t="s">
        <v>2</v>
      </c>
      <c r="F18" s="630">
        <f>"Selaku "&amp;DATA!$B$23&amp;" "&amp;DATA!$B$24&amp;", dalam hal ini bertindak untuk dan atas nama "&amp;DATA!$B$24&amp;" yang berkedudukan di "&amp;DATA!$B$25</f>
      </c>
      <c r="G18" s="630"/>
      <c r="H18" s="630"/>
      <c r="I18" s="630"/>
      <c r="J18" s="630"/>
      <c r="K18" s="630"/>
      <c r="L18" s="630"/>
      <c r="M18" s="630"/>
      <c r="N18" s="630"/>
      <c r="O18" s="630"/>
      <c r="P18" s="630"/>
      <c r="Q18" s="630"/>
      <c r="R18" s="631"/>
      <c r="S18" s="37" t="s">
        <v>89</v>
      </c>
    </row>
    <row r="19" spans="1:19">
      <c r="A19" s="37"/>
      <c r="B19" s="38"/>
      <c r="C19" s="43"/>
      <c r="D19" s="60"/>
      <c r="E19" s="60"/>
      <c r="F19" s="44" t="s">
        <v>93</v>
      </c>
      <c r="G19" s="44"/>
      <c r="H19" s="44"/>
      <c r="I19" s="44"/>
      <c r="J19" s="43"/>
      <c r="M19" s="45"/>
      <c r="N19" s="45"/>
      <c r="O19" s="45"/>
      <c r="P19" s="45"/>
      <c r="Q19" s="45"/>
      <c r="R19" s="46"/>
      <c r="S19" s="37"/>
    </row>
    <row r="20" spans="1:19" ht="8.4" customHeight="1">
      <c r="A20" s="37"/>
      <c r="B20" s="38"/>
      <c r="C20" s="43"/>
      <c r="D20" s="60"/>
      <c r="E20" s="60"/>
      <c r="F20" s="60"/>
      <c r="G20" s="60"/>
      <c r="H20" s="60"/>
      <c r="I20" s="60"/>
      <c r="J20" s="43"/>
      <c r="K20" s="43"/>
      <c r="L20" s="45"/>
      <c r="M20" s="45"/>
      <c r="N20" s="45"/>
      <c r="O20" s="45"/>
      <c r="P20" s="45"/>
      <c r="Q20" s="45"/>
      <c r="R20" s="46"/>
      <c r="S20" s="37"/>
    </row>
    <row r="21" spans="1:19">
      <c r="A21" s="37"/>
      <c r="B21" s="38"/>
      <c r="C21" s="632">
        <f>"Menerangkan bahwa kedua belah pihak telah setuju dan sepakat melakukan pemeriksaan pekerjaan sesuai dengan lampiran SPKP Nomor "&amp;DATA!$B$4&amp;", dan menyetujui prestasi pekerjaan berdasakan :"</f>
      </c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3"/>
      <c r="S21" s="37"/>
    </row>
    <row r="22" spans="1:19" ht="17.25" customHeight="1">
      <c r="A22" s="37"/>
      <c r="B22" s="38"/>
      <c r="C22" s="632"/>
      <c r="D22" s="632"/>
      <c r="E22" s="632"/>
      <c r="F22" s="632"/>
      <c r="G22" s="63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3"/>
      <c r="S22" s="37"/>
    </row>
    <row r="23" spans="1:19">
      <c r="A23" s="37"/>
      <c r="B23" s="38"/>
      <c r="C23" s="204">
        <v>1</v>
      </c>
      <c r="D23" s="205" t="s">
        <v>53</v>
      </c>
      <c r="E23" s="205"/>
      <c r="F23" s="205"/>
      <c r="G23" s="205" t="s">
        <v>2</v>
      </c>
      <c r="H23" s="206">
        <f>DATA!$B$4</f>
      </c>
      <c r="I23" s="204"/>
      <c r="J23" s="204"/>
      <c r="K23" s="204"/>
      <c r="L23" s="207" t="s">
        <v>94</v>
      </c>
      <c r="M23" s="616">
        <f>TEXT(DATA!$B$5,"[$-21]dd mmmm yyyy")</f>
      </c>
      <c r="N23" s="616"/>
      <c r="R23" s="208"/>
      <c r="S23" s="37"/>
    </row>
    <row r="24" spans="1:19">
      <c r="A24" s="37"/>
      <c r="B24" s="38"/>
      <c r="C24" s="204">
        <v>2</v>
      </c>
      <c r="D24" s="205" t="s">
        <v>59</v>
      </c>
      <c r="E24" s="205"/>
      <c r="F24" s="205"/>
      <c r="G24" s="205" t="s">
        <v>2</v>
      </c>
      <c r="H24" s="207" t="s">
        <v>95</v>
      </c>
      <c r="I24" s="614">
        <f>#REF!</f>
      </c>
      <c r="J24" s="614"/>
      <c r="K24" s="615" t="s">
        <v>60</v>
      </c>
      <c r="L24" s="615"/>
      <c r="N24" s="209"/>
      <c r="O24" s="204"/>
      <c r="P24" s="204"/>
      <c r="Q24" s="204"/>
      <c r="R24" s="208"/>
      <c r="S24" s="37"/>
    </row>
    <row r="25" spans="1:19">
      <c r="A25" s="37"/>
      <c r="B25" s="38"/>
      <c r="C25" s="204">
        <v>3</v>
      </c>
      <c r="D25" s="205" t="s">
        <v>96</v>
      </c>
      <c r="E25" s="205"/>
      <c r="F25" s="205"/>
      <c r="G25" s="205" t="s">
        <v>2</v>
      </c>
      <c r="H25" s="616">
        <f>TEXT(DATA!$B$8,"[$-21]dd mmmm yyyy")</f>
      </c>
      <c r="I25" s="616"/>
      <c r="J25" s="210" t="s">
        <v>97</v>
      </c>
      <c r="K25" s="635">
        <f>TEXT(DATA!$B$9,"[$-21]dd mmmm yyyy")</f>
      </c>
      <c r="L25" s="635"/>
      <c r="M25" s="211"/>
      <c r="Q25" s="204"/>
      <c r="R25" s="208"/>
      <c r="S25" s="37"/>
    </row>
    <row r="26" spans="1:19">
      <c r="A26" s="37"/>
      <c r="B26" s="38"/>
      <c r="C26" s="205" t="s">
        <v>98</v>
      </c>
      <c r="D26" s="204"/>
      <c r="E26" s="204"/>
      <c r="F26" s="204"/>
      <c r="G26" s="204"/>
      <c r="H26" s="204"/>
      <c r="I26" s="205"/>
      <c r="J26" s="204"/>
      <c r="K26" s="204"/>
      <c r="L26" s="204"/>
      <c r="M26" s="204"/>
      <c r="N26" s="204"/>
      <c r="O26" s="204"/>
      <c r="P26" s="204"/>
      <c r="Q26" s="204"/>
      <c r="R26" s="208"/>
      <c r="S26" s="37"/>
    </row>
    <row r="27" spans="1:19" ht="5.25" customHeight="1">
      <c r="A27" s="37"/>
      <c r="B27" s="38"/>
      <c r="C27" s="212"/>
      <c r="D27" s="209"/>
      <c r="E27" s="209"/>
      <c r="F27" s="209"/>
      <c r="G27" s="209"/>
      <c r="H27" s="209"/>
      <c r="I27" s="209"/>
      <c r="J27" s="212"/>
      <c r="K27" s="212"/>
      <c r="L27" s="204"/>
      <c r="M27" s="212"/>
      <c r="N27" s="212"/>
      <c r="O27" s="212"/>
      <c r="P27" s="212"/>
      <c r="Q27" s="212"/>
      <c r="R27" s="208"/>
      <c r="S27" s="37"/>
    </row>
    <row r="28" spans="1:19">
      <c r="A28" s="37"/>
      <c r="B28" s="82"/>
      <c r="C28" s="65"/>
      <c r="D28" s="83"/>
      <c r="E28" s="83"/>
      <c r="F28" s="83"/>
      <c r="G28" s="83"/>
      <c r="H28" s="83"/>
      <c r="I28" s="83"/>
      <c r="J28" s="80" t="s">
        <v>99</v>
      </c>
      <c r="K28" s="80" t="s">
        <v>100</v>
      </c>
      <c r="L28" s="84"/>
      <c r="M28" s="84"/>
      <c r="N28" s="84"/>
      <c r="O28" s="84"/>
      <c r="P28" s="65"/>
      <c r="Q28" s="80" t="s">
        <v>36</v>
      </c>
      <c r="R28" s="47"/>
    </row>
    <row r="29" spans="1:19" ht="15" customHeight="1">
      <c r="A29" s="37"/>
      <c r="B29" s="85"/>
      <c r="C29" s="86"/>
      <c r="D29" s="79"/>
      <c r="E29" s="79"/>
      <c r="F29" s="79"/>
      <c r="G29" s="79"/>
      <c r="H29" s="79"/>
      <c r="I29" s="79"/>
      <c r="J29" s="81" t="s">
        <v>101</v>
      </c>
      <c r="K29" s="80" t="s">
        <v>102</v>
      </c>
      <c r="L29" s="637" t="s">
        <v>103</v>
      </c>
      <c r="M29" s="54" t="s">
        <v>102</v>
      </c>
      <c r="N29" s="80" t="s">
        <v>102</v>
      </c>
      <c r="O29" s="80" t="s">
        <v>104</v>
      </c>
      <c r="P29" s="87" t="s">
        <v>105</v>
      </c>
      <c r="Q29" s="81" t="s">
        <v>105</v>
      </c>
      <c r="R29" s="42"/>
    </row>
    <row r="30" spans="1:19" ht="15" customHeight="1">
      <c r="A30" s="37"/>
      <c r="B30" s="88" t="s">
        <v>106</v>
      </c>
      <c r="C30" s="81" t="s">
        <v>107</v>
      </c>
      <c r="D30" s="89"/>
      <c r="E30" s="89"/>
      <c r="F30" s="89"/>
      <c r="G30" s="89"/>
      <c r="H30" s="89"/>
      <c r="I30" s="89"/>
      <c r="J30" s="81" t="s">
        <v>108</v>
      </c>
      <c r="K30" s="81" t="s">
        <v>109</v>
      </c>
      <c r="L30" s="638"/>
      <c r="M30" s="55" t="s">
        <v>109</v>
      </c>
      <c r="N30" s="81" t="s">
        <v>110</v>
      </c>
      <c r="O30" s="81" t="s">
        <v>111</v>
      </c>
      <c r="P30" s="87" t="s">
        <v>112</v>
      </c>
      <c r="Q30" s="81" t="s">
        <v>110</v>
      </c>
      <c r="R30" s="42"/>
    </row>
    <row r="31" spans="1:19" ht="15.75" customHeight="1">
      <c r="A31" s="37"/>
      <c r="B31" s="85"/>
      <c r="C31" s="86"/>
      <c r="D31" s="79"/>
      <c r="E31" s="79"/>
      <c r="F31" s="79"/>
      <c r="G31" s="79"/>
      <c r="H31" s="79"/>
      <c r="I31" s="79"/>
      <c r="J31" s="81" t="s">
        <v>113</v>
      </c>
      <c r="K31" s="81" t="s">
        <v>114</v>
      </c>
      <c r="L31" s="639"/>
      <c r="M31" s="69" t="s">
        <v>115</v>
      </c>
      <c r="N31" s="81" t="s">
        <v>116</v>
      </c>
      <c r="O31" s="81" t="s">
        <v>117</v>
      </c>
      <c r="P31" s="86"/>
      <c r="Q31" s="81" t="s">
        <v>116</v>
      </c>
      <c r="R31" s="42"/>
    </row>
    <row r="32" spans="1:19">
      <c r="A32" s="37"/>
      <c r="B32" s="48" t="s">
        <v>118</v>
      </c>
      <c r="C32" s="49" t="s">
        <v>119</v>
      </c>
      <c r="D32" s="50"/>
      <c r="E32" s="50"/>
      <c r="F32" s="50"/>
      <c r="G32" s="50"/>
      <c r="H32" s="50"/>
      <c r="I32" s="50"/>
      <c r="J32" s="49">
        <v>3</v>
      </c>
      <c r="K32" s="49">
        <v>4</v>
      </c>
      <c r="L32" s="49">
        <v>5</v>
      </c>
      <c r="M32" s="49" t="s">
        <v>120</v>
      </c>
      <c r="N32" s="49">
        <v>7</v>
      </c>
      <c r="O32" s="49" t="s">
        <v>121</v>
      </c>
      <c r="P32" s="51">
        <v>9</v>
      </c>
      <c r="Q32" s="49" t="s">
        <v>122</v>
      </c>
      <c r="R32" s="52"/>
    </row>
    <row r="33" spans="1:18" ht="18" customHeight="1">
      <c r="A33" s="37"/>
      <c r="B33" s="175"/>
      <c r="C33" s="177"/>
      <c r="D33" s="176"/>
      <c r="E33" s="176"/>
      <c r="F33" s="176"/>
      <c r="G33" s="176"/>
      <c r="H33" s="176"/>
      <c r="I33" s="176"/>
      <c r="J33" s="78"/>
      <c r="K33" s="78"/>
      <c r="L33" s="78"/>
      <c r="M33" s="78"/>
      <c r="N33" s="78"/>
      <c r="O33" s="78"/>
      <c r="P33" s="78"/>
      <c r="Q33" s="608"/>
      <c r="R33" s="609"/>
    </row>
    <row r="34" spans="1:18" ht="31.2" customHeight="1">
      <c r="A34" s="37"/>
      <c r="B34" s="175"/>
      <c r="C34" s="649">
        <f>'rincian 6'!C11</f>
      </c>
      <c r="D34" s="650"/>
      <c r="E34" s="650"/>
      <c r="F34" s="650"/>
      <c r="G34" s="650"/>
      <c r="H34" s="650"/>
      <c r="I34" s="651"/>
      <c r="J34" s="91"/>
      <c r="K34" s="78"/>
      <c r="L34" s="78"/>
      <c r="M34" s="78"/>
      <c r="N34" s="78"/>
      <c r="O34" s="78"/>
      <c r="P34" s="78"/>
      <c r="Q34" s="608"/>
      <c r="R34" s="609"/>
    </row>
    <row r="35" spans="1:18" ht="18" customHeight="1">
      <c r="A35" s="37"/>
      <c r="B35" s="406">
        <f>#REF!</f>
      </c>
      <c r="C35" s="407"/>
      <c r="D35" s="408">
        <f>IF(#REF!&lt;&gt;"",#REF!,IF(#REF!&lt;&gt;"",#REF!,""))</f>
      </c>
      <c r="E35" s="408"/>
      <c r="F35" s="408"/>
      <c r="G35" s="408"/>
      <c r="H35" s="408"/>
      <c r="I35" s="408"/>
      <c r="J35" s="409"/>
      <c r="K35" s="409"/>
      <c r="L35" s="409"/>
      <c r="M35" s="409"/>
      <c r="N35" s="409"/>
      <c r="O35" s="409"/>
      <c r="P35" s="410"/>
      <c r="Q35" s="652"/>
      <c r="R35" s="609"/>
    </row>
    <row r="36" spans="1:18" ht="18" customHeight="1">
      <c r="A36" s="37"/>
      <c r="B36" s="404">
        <f>#REF!</f>
      </c>
      <c r="C36" s="233"/>
      <c r="D36" s="405">
        <f>IF(#REF!&lt;&gt;"",#REF!,IF(#REF!&lt;&gt;"",#REF!,""))</f>
      </c>
      <c r="E36" s="405"/>
      <c r="F36" s="405"/>
      <c r="G36" s="405"/>
      <c r="H36" s="405"/>
      <c r="I36" s="405"/>
      <c r="J36" s="252"/>
      <c r="K36" s="252"/>
      <c r="L36" s="252"/>
      <c r="M36" s="252"/>
      <c r="N36" s="252"/>
      <c r="O36" s="252"/>
      <c r="P36" s="78"/>
      <c r="Q36" s="624"/>
      <c r="R36" s="625"/>
    </row>
    <row r="37" spans="1:18" ht="21" customHeight="1">
      <c r="A37" s="37"/>
      <c r="B37" s="175">
        <f>#REF!</f>
      </c>
      <c r="C37" s="177"/>
      <c r="D37" s="653">
        <f>IF(#REF!&lt;&gt;"",#REF!,IF(#REF!&lt;&gt;"",#REF!,""))</f>
      </c>
      <c r="E37" s="653"/>
      <c r="F37" s="653"/>
      <c r="G37" s="653"/>
      <c r="H37" s="653"/>
      <c r="I37" s="654"/>
      <c r="J37" s="252">
        <f>#REF!</f>
      </c>
      <c r="K37" s="252">
        <f ca="1">'rincian 6'!S14</f>
      </c>
      <c r="L37" s="252">
        <f>'rincian 6'!U14</f>
      </c>
      <c r="M37" s="252">
        <f ca="1">K37+L37</f>
      </c>
      <c r="N37" s="252">
        <f>L37</f>
      </c>
      <c r="O37" s="252">
        <f ca="1">J37-M37</f>
      </c>
      <c r="P37" s="78">
        <f>#REF!</f>
      </c>
      <c r="Q37" s="608">
        <f>N37*P37</f>
      </c>
      <c r="R37" s="609"/>
    </row>
    <row r="38" spans="1:18" ht="36" customHeight="1">
      <c r="A38" s="37"/>
      <c r="B38" s="175">
        <f>#REF!</f>
      </c>
      <c r="C38" s="177"/>
      <c r="D38" s="653">
        <f>IF(#REF!&lt;&gt;"",#REF!,IF(#REF!&lt;&gt;"",#REF!,""))</f>
      </c>
      <c r="E38" s="653"/>
      <c r="F38" s="653"/>
      <c r="G38" s="653"/>
      <c r="H38" s="653"/>
      <c r="I38" s="654"/>
      <c r="J38" s="252">
        <f>#REF!</f>
      </c>
      <c r="K38" s="252">
        <f ca="1">'rincian 6'!S15</f>
      </c>
      <c r="L38" s="252">
        <f>'rincian 6'!U15</f>
      </c>
      <c r="M38" s="252">
        <f ca="1">K38+L38</f>
      </c>
      <c r="N38" s="252">
        <f>L38</f>
      </c>
      <c r="O38" s="252">
        <f ca="1">J38-M38</f>
      </c>
      <c r="P38" s="78">
        <f>#REF!</f>
      </c>
      <c r="Q38" s="608">
        <f>N38*P38</f>
      </c>
      <c r="R38" s="609"/>
    </row>
    <row r="39" spans="1:18" ht="36" customHeight="1">
      <c r="A39" s="37"/>
      <c r="B39" s="175">
        <f>#REF!</f>
      </c>
      <c r="C39" s="177"/>
      <c r="D39" s="653">
        <f>IF(#REF!&lt;&gt;"",#REF!,IF(#REF!&lt;&gt;"",#REF!,""))</f>
      </c>
      <c r="E39" s="653"/>
      <c r="F39" s="653"/>
      <c r="G39" s="653"/>
      <c r="H39" s="653"/>
      <c r="I39" s="654"/>
      <c r="J39" s="252">
        <f>#REF!</f>
      </c>
      <c r="K39" s="252">
        <f ca="1">'rincian 6'!S16</f>
      </c>
      <c r="L39" s="252">
        <f>'rincian 6'!U16</f>
      </c>
      <c r="M39" s="252">
        <f ca="1">K39+L39</f>
      </c>
      <c r="N39" s="252">
        <f>L39</f>
      </c>
      <c r="O39" s="252">
        <f ca="1">J39-M39</f>
      </c>
      <c r="P39" s="78">
        <f>#REF!</f>
      </c>
      <c r="Q39" s="608">
        <f>N39*P39</f>
      </c>
      <c r="R39" s="609"/>
    </row>
    <row r="40" spans="1:18" ht="36" customHeight="1">
      <c r="A40" s="37"/>
      <c r="B40" s="175">
        <f>#REF!</f>
      </c>
      <c r="C40" s="233"/>
      <c r="D40" s="653">
        <f>IF(#REF!&lt;&gt;"",#REF!,IF(#REF!&lt;&gt;"",#REF!,""))</f>
      </c>
      <c r="E40" s="653"/>
      <c r="F40" s="653"/>
      <c r="G40" s="653"/>
      <c r="H40" s="653"/>
      <c r="I40" s="654"/>
      <c r="J40" s="252">
        <f>#REF!</f>
      </c>
      <c r="K40" s="252">
        <f ca="1">'rincian 6'!S17</f>
      </c>
      <c r="L40" s="252">
        <f>'rincian 6'!U17</f>
      </c>
      <c r="M40" s="252">
        <f ca="1">K40+L40</f>
      </c>
      <c r="N40" s="252">
        <f>L40</f>
      </c>
      <c r="O40" s="252">
        <f ca="1">J40-M40</f>
      </c>
      <c r="P40" s="78">
        <f>#REF!</f>
      </c>
      <c r="Q40" s="608">
        <f>N40*P40</f>
      </c>
      <c r="R40" s="609"/>
    </row>
    <row r="41" spans="1:18" ht="18" customHeight="1">
      <c r="A41" s="37"/>
      <c r="B41" s="404">
        <f>#REF!</f>
      </c>
      <c r="C41" s="233"/>
      <c r="D41" s="405">
        <f>IF(#REF!&lt;&gt;"",#REF!,IF(#REF!&lt;&gt;"",#REF!,""))</f>
      </c>
      <c r="E41" s="405"/>
      <c r="F41" s="405"/>
      <c r="G41" s="405"/>
      <c r="H41" s="405"/>
      <c r="I41" s="405"/>
      <c r="J41" s="252"/>
      <c r="K41" s="252"/>
      <c r="L41" s="252"/>
      <c r="M41" s="252"/>
      <c r="N41" s="252"/>
      <c r="O41" s="252"/>
      <c r="P41" s="78"/>
      <c r="Q41" s="624"/>
      <c r="R41" s="625"/>
    </row>
    <row r="42" spans="1:18" ht="18" customHeight="1">
      <c r="A42" s="37"/>
      <c r="B42" s="175">
        <f>#REF!</f>
      </c>
      <c r="C42" s="233"/>
      <c r="D42" s="176">
        <f>IF(#REF!&lt;&gt;"",#REF!,IF(#REF!&lt;&gt;"",#REF!,""))</f>
      </c>
      <c r="E42" s="176"/>
      <c r="F42" s="176"/>
      <c r="G42" s="176"/>
      <c r="H42" s="176"/>
      <c r="I42" s="176"/>
      <c r="J42" s="252">
        <f>#REF!</f>
      </c>
      <c r="K42" s="252">
        <f ca="1">'rincian 6'!S19</f>
      </c>
      <c r="L42" s="252">
        <f>'rincian 6'!U19</f>
      </c>
      <c r="M42" s="252">
        <f t="shared" ref="M42:M47" ca="1" si="0">K42+L42</f>
      </c>
      <c r="N42" s="252">
        <f t="shared" ref="N42:N47" si="1">L42</f>
      </c>
      <c r="O42" s="252">
        <f t="shared" ref="O42:O47" ca="1" si="2">J42-M42</f>
      </c>
      <c r="P42" s="78">
        <f>#REF!</f>
      </c>
      <c r="Q42" s="608">
        <f t="shared" ref="Q42:Q47" si="3">N42*P42</f>
      </c>
      <c r="R42" s="609"/>
    </row>
    <row r="43" spans="1:18" ht="18" customHeight="1">
      <c r="A43" s="37"/>
      <c r="B43" s="175">
        <f>#REF!</f>
      </c>
      <c r="C43" s="233"/>
      <c r="D43" s="176">
        <f>IF(#REF!&lt;&gt;"",#REF!,IF(#REF!&lt;&gt;"",#REF!,""))</f>
      </c>
      <c r="E43" s="176"/>
      <c r="F43" s="176"/>
      <c r="G43" s="176"/>
      <c r="H43" s="176"/>
      <c r="I43" s="176"/>
      <c r="J43" s="252">
        <f>#REF!</f>
      </c>
      <c r="K43" s="252">
        <f ca="1">'rincian 6'!S20</f>
      </c>
      <c r="L43" s="252">
        <f>'rincian 6'!U20</f>
      </c>
      <c r="M43" s="252">
        <f t="shared" ca="1" si="0"/>
      </c>
      <c r="N43" s="252">
        <f t="shared" si="1"/>
      </c>
      <c r="O43" s="252">
        <f t="shared" ca="1" si="2"/>
      </c>
      <c r="P43" s="78">
        <f>#REF!</f>
      </c>
      <c r="Q43" s="608">
        <f t="shared" si="3"/>
      </c>
      <c r="R43" s="609"/>
    </row>
    <row r="44" spans="1:18" ht="18" customHeight="1">
      <c r="A44" s="37"/>
      <c r="B44" s="175">
        <f>#REF!</f>
      </c>
      <c r="C44" s="233"/>
      <c r="D44" s="176">
        <f>IF(#REF!&lt;&gt;"",#REF!,IF(#REF!&lt;&gt;"",#REF!,""))</f>
      </c>
      <c r="E44" s="176"/>
      <c r="F44" s="176"/>
      <c r="G44" s="176"/>
      <c r="H44" s="176"/>
      <c r="I44" s="176"/>
      <c r="J44" s="252">
        <f>#REF!</f>
      </c>
      <c r="K44" s="252">
        <f ca="1">'rincian 6'!S21</f>
      </c>
      <c r="L44" s="252">
        <f>'rincian 6'!U21</f>
      </c>
      <c r="M44" s="252">
        <f t="shared" ca="1" si="0"/>
      </c>
      <c r="N44" s="252">
        <f t="shared" si="1"/>
      </c>
      <c r="O44" s="252">
        <f t="shared" ca="1" si="2"/>
      </c>
      <c r="P44" s="78">
        <f>#REF!</f>
      </c>
      <c r="Q44" s="608">
        <f t="shared" si="3"/>
      </c>
      <c r="R44" s="609"/>
    </row>
    <row r="45" spans="1:18" ht="18" customHeight="1">
      <c r="A45" s="37"/>
      <c r="B45" s="175">
        <f>#REF!</f>
      </c>
      <c r="C45" s="233"/>
      <c r="D45" s="176">
        <f>IF(#REF!&lt;&gt;"",#REF!,IF(#REF!&lt;&gt;"",#REF!,""))</f>
      </c>
      <c r="E45" s="176"/>
      <c r="F45" s="176"/>
      <c r="G45" s="176"/>
      <c r="H45" s="176"/>
      <c r="I45" s="176"/>
      <c r="J45" s="252">
        <f>#REF!</f>
      </c>
      <c r="K45" s="252">
        <f ca="1">'rincian 6'!S22</f>
      </c>
      <c r="L45" s="252">
        <f>'rincian 6'!U22</f>
      </c>
      <c r="M45" s="252">
        <f t="shared" ca="1" si="0"/>
      </c>
      <c r="N45" s="252">
        <f t="shared" si="1"/>
      </c>
      <c r="O45" s="252">
        <f t="shared" ca="1" si="2"/>
      </c>
      <c r="P45" s="78">
        <f>#REF!</f>
      </c>
      <c r="Q45" s="608">
        <f t="shared" si="3"/>
      </c>
      <c r="R45" s="609"/>
    </row>
    <row r="46" spans="1:18" ht="18" customHeight="1">
      <c r="A46" s="37"/>
      <c r="B46" s="175">
        <f>#REF!</f>
      </c>
      <c r="C46" s="233"/>
      <c r="D46" s="176">
        <f>IF(#REF!&lt;&gt;"",#REF!,IF(#REF!&lt;&gt;"",#REF!,""))</f>
      </c>
      <c r="E46" s="176"/>
      <c r="F46" s="176"/>
      <c r="G46" s="176"/>
      <c r="H46" s="176"/>
      <c r="I46" s="176"/>
      <c r="J46" s="252">
        <f>#REF!</f>
      </c>
      <c r="K46" s="252">
        <f ca="1">'rincian 6'!S23</f>
      </c>
      <c r="L46" s="252">
        <f>'rincian 6'!U23</f>
      </c>
      <c r="M46" s="252">
        <f t="shared" ca="1" si="0"/>
      </c>
      <c r="N46" s="252">
        <f t="shared" si="1"/>
      </c>
      <c r="O46" s="252">
        <f t="shared" ca="1" si="2"/>
      </c>
      <c r="P46" s="78">
        <f>#REF!</f>
      </c>
      <c r="Q46" s="608">
        <f t="shared" si="3"/>
      </c>
      <c r="R46" s="609"/>
    </row>
    <row r="47" spans="1:18" ht="18" customHeight="1">
      <c r="A47" s="37"/>
      <c r="B47" s="404">
        <f>#REF!</f>
      </c>
      <c r="C47" s="233"/>
      <c r="D47" s="405">
        <f>IF(#REF!&lt;&gt;"",#REF!,IF(#REF!&lt;&gt;"",#REF!,""))</f>
      </c>
      <c r="E47" s="405"/>
      <c r="F47" s="405"/>
      <c r="G47" s="405"/>
      <c r="H47" s="405"/>
      <c r="I47" s="405"/>
      <c r="J47" s="252">
        <f>#REF!</f>
      </c>
      <c r="K47" s="252">
        <f ca="1">'rincian 6'!S24</f>
      </c>
      <c r="L47" s="252">
        <f>'rincian 6'!U24</f>
      </c>
      <c r="M47" s="252">
        <f t="shared" ca="1" si="0"/>
      </c>
      <c r="N47" s="252">
        <f t="shared" si="1"/>
      </c>
      <c r="O47" s="252">
        <f t="shared" ca="1" si="2"/>
      </c>
      <c r="P47" s="78">
        <f>#REF!</f>
      </c>
      <c r="Q47" s="608">
        <f t="shared" si="3"/>
      </c>
      <c r="R47" s="609"/>
    </row>
    <row r="48" spans="1:18" ht="18" customHeight="1">
      <c r="A48" s="37"/>
      <c r="B48" s="404">
        <f>#REF!</f>
      </c>
      <c r="C48" s="233"/>
      <c r="D48" s="405">
        <f>IF(#REF!&lt;&gt;"",#REF!,IF(#REF!&lt;&gt;"",#REF!,""))</f>
      </c>
      <c r="E48" s="405"/>
      <c r="F48" s="405"/>
      <c r="G48" s="405"/>
      <c r="H48" s="405"/>
      <c r="I48" s="405"/>
      <c r="J48" s="252"/>
      <c r="K48" s="252"/>
      <c r="L48" s="252"/>
      <c r="M48" s="252"/>
      <c r="N48" s="252"/>
      <c r="O48" s="252"/>
      <c r="P48" s="78"/>
      <c r="Q48" s="624"/>
      <c r="R48" s="625"/>
    </row>
    <row r="49" spans="1:18" ht="18" customHeight="1">
      <c r="A49" s="37"/>
      <c r="B49" s="175">
        <f>#REF!</f>
      </c>
      <c r="C49" s="233"/>
      <c r="D49" s="176">
        <f>IF(#REF!&lt;&gt;"",#REF!,IF(#REF!&lt;&gt;"",#REF!,""))</f>
      </c>
      <c r="E49" s="176"/>
      <c r="F49" s="176"/>
      <c r="G49" s="176"/>
      <c r="H49" s="176"/>
      <c r="I49" s="176"/>
      <c r="J49" s="252">
        <f>#REF!</f>
      </c>
      <c r="K49" s="252">
        <f ca="1">'rincian 6'!S26</f>
      </c>
      <c r="L49" s="252">
        <f>'rincian 6'!U26</f>
      </c>
      <c r="M49" s="252">
        <f ca="1">K49+L49</f>
      </c>
      <c r="N49" s="252">
        <f>L49</f>
      </c>
      <c r="O49" s="252">
        <f ca="1">J49-M49</f>
      </c>
      <c r="P49" s="78">
        <f>#REF!</f>
      </c>
      <c r="Q49" s="608">
        <f>N49*P49</f>
      </c>
      <c r="R49" s="609"/>
    </row>
    <row r="50" spans="1:18" ht="18" customHeight="1">
      <c r="A50" s="37"/>
      <c r="B50" s="175">
        <f>#REF!</f>
      </c>
      <c r="C50" s="233"/>
      <c r="D50" s="176">
        <f>IF(#REF!&lt;&gt;"",#REF!,IF(#REF!&lt;&gt;"",#REF!,""))</f>
      </c>
      <c r="E50" s="176"/>
      <c r="F50" s="176"/>
      <c r="G50" s="176"/>
      <c r="H50" s="176"/>
      <c r="I50" s="176"/>
      <c r="J50" s="252">
        <f>#REF!</f>
      </c>
      <c r="K50" s="252">
        <f ca="1">'rincian 6'!S27</f>
      </c>
      <c r="L50" s="252">
        <f>'rincian 6'!U27</f>
      </c>
      <c r="M50" s="252">
        <f ca="1">K50+L50</f>
      </c>
      <c r="N50" s="252">
        <f>L50</f>
      </c>
      <c r="O50" s="252">
        <f ca="1">J50-M50</f>
      </c>
      <c r="P50" s="78">
        <f>#REF!</f>
      </c>
      <c r="Q50" s="608">
        <f>N50*P50</f>
      </c>
      <c r="R50" s="609"/>
    </row>
    <row r="51" spans="1:18" ht="18" customHeight="1">
      <c r="A51" s="37"/>
      <c r="B51" s="175">
        <f>#REF!</f>
      </c>
      <c r="C51" s="233"/>
      <c r="D51" s="176">
        <f>IF(#REF!&lt;&gt;"",#REF!,IF(#REF!&lt;&gt;"",#REF!,""))</f>
      </c>
      <c r="E51" s="176"/>
      <c r="F51" s="176"/>
      <c r="G51" s="176"/>
      <c r="H51" s="176"/>
      <c r="I51" s="176"/>
      <c r="J51" s="252">
        <f>#REF!</f>
      </c>
      <c r="K51" s="252">
        <f ca="1">'rincian 6'!S28</f>
      </c>
      <c r="L51" s="252">
        <f>'rincian 6'!U28</f>
      </c>
      <c r="M51" s="252">
        <f ca="1">K51+L51</f>
      </c>
      <c r="N51" s="252">
        <f>L51</f>
      </c>
      <c r="O51" s="252">
        <f ca="1">J51-M51</f>
      </c>
      <c r="P51" s="78">
        <f>#REF!</f>
      </c>
      <c r="Q51" s="608">
        <f>N51*P51</f>
      </c>
      <c r="R51" s="609"/>
    </row>
    <row r="52" spans="1:18" ht="18" customHeight="1">
      <c r="A52" s="37"/>
      <c r="B52" s="175">
        <f>#REF!</f>
      </c>
      <c r="C52" s="233"/>
      <c r="D52" s="176">
        <f>IF(#REF!&lt;&gt;"",#REF!,IF(#REF!&lt;&gt;"",#REF!,""))</f>
      </c>
      <c r="E52" s="176"/>
      <c r="F52" s="176"/>
      <c r="G52" s="176"/>
      <c r="H52" s="176"/>
      <c r="I52" s="176"/>
      <c r="J52" s="252">
        <f>#REF!</f>
      </c>
      <c r="K52" s="252">
        <f ca="1">'rincian 6'!S29</f>
      </c>
      <c r="L52" s="252">
        <f>'rincian 6'!U29</f>
      </c>
      <c r="M52" s="252">
        <f ca="1">K52+L52</f>
      </c>
      <c r="N52" s="252">
        <f>L52</f>
      </c>
      <c r="O52" s="252">
        <f ca="1">J52-M52</f>
      </c>
      <c r="P52" s="78">
        <f>#REF!</f>
      </c>
      <c r="Q52" s="608">
        <f>N52*P52</f>
      </c>
      <c r="R52" s="609"/>
    </row>
    <row r="53" spans="1:18" ht="18" customHeight="1">
      <c r="A53" s="37"/>
      <c r="B53" s="404">
        <f>#REF!</f>
      </c>
      <c r="C53" s="233"/>
      <c r="D53" s="405">
        <f>IF(#REF!&lt;&gt;"",#REF!,IF(#REF!&lt;&gt;"",#REF!,""))</f>
      </c>
      <c r="E53" s="405"/>
      <c r="F53" s="405"/>
      <c r="G53" s="405"/>
      <c r="H53" s="405"/>
      <c r="I53" s="405"/>
      <c r="J53" s="252"/>
      <c r="K53" s="252"/>
      <c r="L53" s="252"/>
      <c r="M53" s="252"/>
      <c r="N53" s="252"/>
      <c r="O53" s="252"/>
      <c r="P53" s="78"/>
      <c r="Q53" s="624"/>
      <c r="R53" s="625"/>
    </row>
    <row r="54" spans="1:18" ht="18" customHeight="1">
      <c r="A54" s="37"/>
      <c r="B54" s="175">
        <f>#REF!</f>
      </c>
      <c r="C54" s="233"/>
      <c r="D54" s="176">
        <f>IF(#REF!&lt;&gt;"",#REF!,IF(#REF!&lt;&gt;"",#REF!,""))</f>
      </c>
      <c r="E54" s="176"/>
      <c r="F54" s="176"/>
      <c r="G54" s="176"/>
      <c r="H54" s="176"/>
      <c r="I54" s="176"/>
      <c r="J54" s="252">
        <f>#REF!</f>
      </c>
      <c r="K54" s="252">
        <f ca="1">'rincian 6'!S31</f>
      </c>
      <c r="L54" s="252">
        <f>'rincian 6'!U31</f>
      </c>
      <c r="M54" s="252">
        <f ca="1">K54+L54</f>
      </c>
      <c r="N54" s="252">
        <f>L54</f>
      </c>
      <c r="O54" s="252">
        <f ca="1">J54-M54</f>
      </c>
      <c r="P54" s="78">
        <f>#REF!</f>
      </c>
      <c r="Q54" s="608">
        <f>N54*P54</f>
      </c>
      <c r="R54" s="609"/>
    </row>
    <row r="55" spans="1:18" ht="18" customHeight="1">
      <c r="A55" s="37"/>
      <c r="B55" s="175">
        <f>#REF!</f>
      </c>
      <c r="C55" s="233"/>
      <c r="D55" s="176">
        <f>IF(#REF!&lt;&gt;"",#REF!,IF(#REF!&lt;&gt;"",#REF!,""))</f>
      </c>
      <c r="E55" s="176"/>
      <c r="F55" s="176"/>
      <c r="G55" s="176"/>
      <c r="H55" s="176"/>
      <c r="I55" s="176"/>
      <c r="J55" s="252">
        <f>#REF!</f>
      </c>
      <c r="K55" s="252">
        <f ca="1">'rincian 6'!S32</f>
      </c>
      <c r="L55" s="252">
        <f>'rincian 6'!U32</f>
      </c>
      <c r="M55" s="252">
        <f ca="1">K55+L55</f>
      </c>
      <c r="N55" s="252">
        <f>L55</f>
      </c>
      <c r="O55" s="252">
        <f ca="1">J55-M55</f>
      </c>
      <c r="P55" s="78">
        <f>#REF!</f>
      </c>
      <c r="Q55" s="608">
        <f>N55*P55</f>
      </c>
      <c r="R55" s="609"/>
    </row>
    <row r="56" spans="1:18" ht="18" customHeight="1">
      <c r="A56" s="37"/>
      <c r="B56" s="175">
        <f>#REF!</f>
      </c>
      <c r="C56" s="233"/>
      <c r="D56" s="176">
        <f>IF(#REF!&lt;&gt;"",#REF!,IF(#REF!&lt;&gt;"",#REF!,""))</f>
      </c>
      <c r="E56" s="176"/>
      <c r="F56" s="176"/>
      <c r="G56" s="176"/>
      <c r="H56" s="176"/>
      <c r="I56" s="176"/>
      <c r="J56" s="252">
        <f>#REF!</f>
      </c>
      <c r="K56" s="252">
        <f ca="1">'rincian 6'!S33</f>
      </c>
      <c r="L56" s="252">
        <f>'rincian 6'!U33</f>
      </c>
      <c r="M56" s="252">
        <f ca="1">K56+L56</f>
      </c>
      <c r="N56" s="252">
        <f>L56</f>
      </c>
      <c r="O56" s="252">
        <f ca="1">J56-M56</f>
      </c>
      <c r="P56" s="78">
        <f>#REF!</f>
      </c>
      <c r="Q56" s="608">
        <f>N56*P56</f>
      </c>
      <c r="R56" s="609"/>
    </row>
    <row r="57" spans="1:18" ht="18" customHeight="1">
      <c r="A57" s="37"/>
      <c r="B57" s="175">
        <f>#REF!</f>
      </c>
      <c r="C57" s="233"/>
      <c r="D57" s="176">
        <f>IF(#REF!&lt;&gt;"",#REF!,IF(#REF!&lt;&gt;"",#REF!,""))</f>
      </c>
      <c r="E57" s="176"/>
      <c r="F57" s="176"/>
      <c r="G57" s="176"/>
      <c r="H57" s="176"/>
      <c r="I57" s="176"/>
      <c r="J57" s="252">
        <f>#REF!</f>
      </c>
      <c r="K57" s="252">
        <f ca="1">'rincian 6'!S34</f>
      </c>
      <c r="L57" s="252">
        <f>'rincian 6'!U34</f>
      </c>
      <c r="M57" s="252">
        <f ca="1">K57+L57</f>
      </c>
      <c r="N57" s="252">
        <f>L57</f>
      </c>
      <c r="O57" s="252">
        <f ca="1">J57-M57</f>
      </c>
      <c r="P57" s="78">
        <f>#REF!</f>
      </c>
      <c r="Q57" s="608">
        <f>N57*P57</f>
      </c>
      <c r="R57" s="609"/>
    </row>
    <row r="58" spans="1:18" ht="18" customHeight="1">
      <c r="A58" s="37"/>
      <c r="B58" s="175">
        <f>#REF!</f>
      </c>
      <c r="C58" s="233"/>
      <c r="D58" s="176">
        <f>IF(#REF!&lt;&gt;"",#REF!,IF(#REF!&lt;&gt;"",#REF!,""))</f>
      </c>
      <c r="E58" s="176"/>
      <c r="F58" s="176"/>
      <c r="G58" s="176"/>
      <c r="H58" s="176"/>
      <c r="I58" s="176"/>
      <c r="J58" s="252">
        <f>#REF!</f>
      </c>
      <c r="K58" s="252">
        <f ca="1">'rincian 6'!S35</f>
      </c>
      <c r="L58" s="252">
        <f>'rincian 6'!U35</f>
      </c>
      <c r="M58" s="252">
        <f ca="1">K58+L58</f>
      </c>
      <c r="N58" s="252">
        <f>L58</f>
      </c>
      <c r="O58" s="252">
        <f ca="1">J58-M58</f>
      </c>
      <c r="P58" s="78">
        <f>#REF!</f>
      </c>
      <c r="Q58" s="608">
        <f>N58*P58</f>
      </c>
      <c r="R58" s="609"/>
    </row>
    <row r="59" spans="1:18" ht="18" customHeight="1">
      <c r="A59" s="37"/>
      <c r="B59" s="175">
        <f>#REF!</f>
      </c>
      <c r="C59" s="233"/>
      <c r="D59" s="176">
        <f>IF(#REF!&lt;&gt;"",#REF!,IF(#REF!&lt;&gt;"",#REF!,""))</f>
      </c>
      <c r="E59" s="176"/>
      <c r="F59" s="176"/>
      <c r="G59" s="176"/>
      <c r="H59" s="176"/>
      <c r="I59" s="176"/>
      <c r="J59" s="252"/>
      <c r="K59" s="252"/>
      <c r="L59" s="252"/>
      <c r="M59" s="252"/>
      <c r="N59" s="252"/>
      <c r="O59" s="252"/>
      <c r="P59" s="78"/>
      <c r="Q59" s="624"/>
      <c r="R59" s="625"/>
    </row>
    <row r="60" spans="1:18" ht="18" customHeight="1">
      <c r="A60" s="37"/>
      <c r="B60" s="175">
        <f>#REF!</f>
      </c>
      <c r="C60" s="233"/>
      <c r="D60" s="176">
        <f>IF(#REF!&lt;&gt;"",#REF!,IF(#REF!&lt;&gt;"",#REF!,""))</f>
      </c>
      <c r="E60" s="176"/>
      <c r="F60" s="176"/>
      <c r="G60" s="176"/>
      <c r="H60" s="176"/>
      <c r="I60" s="176"/>
      <c r="J60" s="252">
        <f>#REF!</f>
      </c>
      <c r="K60" s="252">
        <f ca="1">'rincian 6'!S37</f>
      </c>
      <c r="L60" s="252">
        <f>'rincian 6'!U37</f>
      </c>
      <c r="M60" s="252">
        <f t="shared" ref="M60:M76" ca="1" si="4">K60+L60</f>
      </c>
      <c r="N60" s="252">
        <f t="shared" ref="N60:N76" si="5">L60</f>
      </c>
      <c r="O60" s="252">
        <f t="shared" ref="O60:O76" ca="1" si="6">J60-M60</f>
      </c>
      <c r="P60" s="78">
        <f>#REF!</f>
      </c>
      <c r="Q60" s="608">
        <f t="shared" ref="Q60:Q76" si="7">N60*P60</f>
      </c>
      <c r="R60" s="609"/>
    </row>
    <row r="61" spans="1:18" ht="18" customHeight="1">
      <c r="A61" s="37"/>
      <c r="B61" s="175">
        <f>#REF!</f>
      </c>
      <c r="C61" s="233"/>
      <c r="D61" s="176">
        <f>IF(#REF!&lt;&gt;"",#REF!,IF(#REF!&lt;&gt;"",#REF!,""))</f>
      </c>
      <c r="E61" s="176"/>
      <c r="F61" s="176"/>
      <c r="G61" s="176"/>
      <c r="H61" s="176"/>
      <c r="I61" s="176"/>
      <c r="J61" s="252">
        <f>#REF!</f>
      </c>
      <c r="K61" s="252">
        <f ca="1">'rincian 6'!S38</f>
      </c>
      <c r="L61" s="252">
        <f>'rincian 6'!U38</f>
      </c>
      <c r="M61" s="252">
        <f t="shared" ca="1" si="4"/>
      </c>
      <c r="N61" s="252">
        <f t="shared" si="5"/>
      </c>
      <c r="O61" s="252">
        <f t="shared" ca="1" si="6"/>
      </c>
      <c r="P61" s="78">
        <f>#REF!</f>
      </c>
      <c r="Q61" s="608">
        <f t="shared" si="7"/>
      </c>
      <c r="R61" s="609"/>
    </row>
    <row r="62" spans="1:18" ht="18" customHeight="1">
      <c r="A62" s="37"/>
      <c r="B62" s="175">
        <f>#REF!</f>
      </c>
      <c r="C62" s="233"/>
      <c r="D62" s="176">
        <f>IF(#REF!&lt;&gt;"",#REF!,IF(#REF!&lt;&gt;"",#REF!,""))</f>
      </c>
      <c r="E62" s="176"/>
      <c r="F62" s="176"/>
      <c r="G62" s="176"/>
      <c r="H62" s="176"/>
      <c r="I62" s="176"/>
      <c r="J62" s="252">
        <f>#REF!</f>
      </c>
      <c r="K62" s="252">
        <f ca="1">'rincian 6'!S39</f>
      </c>
      <c r="L62" s="252">
        <f>'rincian 6'!U39</f>
      </c>
      <c r="M62" s="252">
        <f t="shared" ca="1" si="4"/>
      </c>
      <c r="N62" s="252">
        <f t="shared" si="5"/>
      </c>
      <c r="O62" s="252">
        <f t="shared" ca="1" si="6"/>
      </c>
      <c r="P62" s="78">
        <f>#REF!</f>
      </c>
      <c r="Q62" s="608">
        <f t="shared" si="7"/>
      </c>
      <c r="R62" s="609"/>
    </row>
    <row r="63" spans="1:18" ht="36" customHeight="1">
      <c r="A63" s="37"/>
      <c r="B63" s="175">
        <f>#REF!</f>
      </c>
      <c r="C63" s="233"/>
      <c r="D63" s="653">
        <f>IF(#REF!&lt;&gt;"",#REF!,IF(#REF!&lt;&gt;"",#REF!,""))</f>
      </c>
      <c r="E63" s="653"/>
      <c r="F63" s="653"/>
      <c r="G63" s="653"/>
      <c r="H63" s="653"/>
      <c r="I63" s="654"/>
      <c r="J63" s="252">
        <f>#REF!</f>
      </c>
      <c r="K63" s="252">
        <f ca="1">'rincian 6'!S40</f>
      </c>
      <c r="L63" s="252">
        <f>'rincian 6'!U40</f>
      </c>
      <c r="M63" s="252">
        <f t="shared" ca="1" si="4"/>
      </c>
      <c r="N63" s="252">
        <f t="shared" si="5"/>
      </c>
      <c r="O63" s="252">
        <f t="shared" ca="1" si="6"/>
      </c>
      <c r="P63" s="78">
        <f>#REF!</f>
      </c>
      <c r="Q63" s="608">
        <f t="shared" si="7"/>
      </c>
      <c r="R63" s="609"/>
    </row>
    <row r="64" spans="1:18" ht="18" customHeight="1">
      <c r="A64" s="37"/>
      <c r="B64" s="175">
        <f>#REF!</f>
      </c>
      <c r="C64" s="233"/>
      <c r="D64" s="176">
        <f>IF(#REF!&lt;&gt;"",#REF!,IF(#REF!&lt;&gt;"",#REF!,""))</f>
      </c>
      <c r="E64" s="176"/>
      <c r="F64" s="176"/>
      <c r="G64" s="176"/>
      <c r="H64" s="176"/>
      <c r="I64" s="176"/>
      <c r="J64" s="252">
        <f>#REF!</f>
      </c>
      <c r="K64" s="252">
        <f ca="1">'rincian 6'!S41</f>
      </c>
      <c r="L64" s="252">
        <f>'rincian 6'!U41</f>
      </c>
      <c r="M64" s="252">
        <f t="shared" ca="1" si="4"/>
      </c>
      <c r="N64" s="252">
        <f t="shared" si="5"/>
      </c>
      <c r="O64" s="252">
        <f t="shared" ca="1" si="6"/>
      </c>
      <c r="P64" s="78">
        <f>#REF!</f>
      </c>
      <c r="Q64" s="608">
        <f t="shared" si="7"/>
      </c>
      <c r="R64" s="609"/>
    </row>
    <row r="65" spans="1:18" ht="18" customHeight="1">
      <c r="A65" s="37"/>
      <c r="B65" s="175">
        <f>#REF!</f>
      </c>
      <c r="C65" s="233"/>
      <c r="D65" s="176">
        <f>IF(#REF!&lt;&gt;"",#REF!,IF(#REF!&lt;&gt;"",#REF!,""))</f>
      </c>
      <c r="E65" s="176"/>
      <c r="F65" s="176"/>
      <c r="G65" s="176"/>
      <c r="H65" s="176"/>
      <c r="I65" s="176"/>
      <c r="J65" s="252">
        <f>#REF!</f>
      </c>
      <c r="K65" s="252">
        <f ca="1">'rincian 6'!S42</f>
      </c>
      <c r="L65" s="252">
        <f>'rincian 6'!U42</f>
      </c>
      <c r="M65" s="252">
        <f t="shared" ca="1" si="4"/>
      </c>
      <c r="N65" s="252">
        <f t="shared" si="5"/>
      </c>
      <c r="O65" s="252">
        <f t="shared" ca="1" si="6"/>
      </c>
      <c r="P65" s="78">
        <f>#REF!</f>
      </c>
      <c r="Q65" s="608">
        <f t="shared" si="7"/>
      </c>
      <c r="R65" s="609"/>
    </row>
    <row r="66" spans="1:18" ht="18" customHeight="1">
      <c r="A66" s="37"/>
      <c r="B66" s="175">
        <f>#REF!</f>
      </c>
      <c r="C66" s="233"/>
      <c r="D66" s="176">
        <f>IF(#REF!&lt;&gt;"",#REF!,IF(#REF!&lt;&gt;"",#REF!,""))</f>
      </c>
      <c r="E66" s="176"/>
      <c r="F66" s="176"/>
      <c r="G66" s="176"/>
      <c r="H66" s="176"/>
      <c r="I66" s="176"/>
      <c r="J66" s="252">
        <f>#REF!</f>
      </c>
      <c r="K66" s="252">
        <f ca="1">'rincian 6'!S43</f>
      </c>
      <c r="L66" s="252">
        <f>'rincian 6'!U43</f>
      </c>
      <c r="M66" s="252">
        <f t="shared" ca="1" si="4"/>
      </c>
      <c r="N66" s="252">
        <f t="shared" si="5"/>
      </c>
      <c r="O66" s="252">
        <f t="shared" ca="1" si="6"/>
      </c>
      <c r="P66" s="78">
        <f>#REF!</f>
      </c>
      <c r="Q66" s="608">
        <f t="shared" si="7"/>
      </c>
      <c r="R66" s="609"/>
    </row>
    <row r="67" spans="1:18" ht="18" customHeight="1">
      <c r="A67" s="37"/>
      <c r="B67" s="175">
        <f>#REF!</f>
      </c>
      <c r="C67" s="233"/>
      <c r="D67" s="176">
        <f>IF(#REF!&lt;&gt;"",#REF!,IF(#REF!&lt;&gt;"",#REF!,""))</f>
      </c>
      <c r="E67" s="176"/>
      <c r="F67" s="176"/>
      <c r="G67" s="176"/>
      <c r="H67" s="176"/>
      <c r="I67" s="176"/>
      <c r="J67" s="252">
        <f>#REF!</f>
      </c>
      <c r="K67" s="252">
        <f ca="1">'rincian 6'!S44</f>
      </c>
      <c r="L67" s="252">
        <f>'rincian 6'!U44</f>
      </c>
      <c r="M67" s="252">
        <f t="shared" ca="1" si="4"/>
      </c>
      <c r="N67" s="252">
        <f t="shared" si="5"/>
      </c>
      <c r="O67" s="252">
        <f t="shared" ca="1" si="6"/>
      </c>
      <c r="P67" s="78">
        <f>#REF!</f>
      </c>
      <c r="Q67" s="608">
        <f t="shared" si="7"/>
      </c>
      <c r="R67" s="609"/>
    </row>
    <row r="68" spans="1:18" ht="18" customHeight="1">
      <c r="A68" s="37"/>
      <c r="B68" s="175">
        <f>#REF!</f>
      </c>
      <c r="C68" s="233"/>
      <c r="D68" s="176">
        <f>IF(#REF!&lt;&gt;"",#REF!,IF(#REF!&lt;&gt;"",#REF!,""))</f>
      </c>
      <c r="E68" s="176"/>
      <c r="F68" s="176"/>
      <c r="G68" s="176"/>
      <c r="H68" s="176"/>
      <c r="I68" s="176"/>
      <c r="J68" s="252">
        <f>#REF!</f>
      </c>
      <c r="K68" s="252">
        <f ca="1">'rincian 6'!S45</f>
      </c>
      <c r="L68" s="252">
        <f>'rincian 6'!U45</f>
      </c>
      <c r="M68" s="252">
        <f t="shared" ca="1" si="4"/>
      </c>
      <c r="N68" s="252">
        <f t="shared" si="5"/>
      </c>
      <c r="O68" s="252">
        <f t="shared" ca="1" si="6"/>
      </c>
      <c r="P68" s="78">
        <f>#REF!</f>
      </c>
      <c r="Q68" s="608">
        <f t="shared" si="7"/>
      </c>
      <c r="R68" s="609"/>
    </row>
    <row r="69" spans="1:18" ht="18" customHeight="1">
      <c r="A69" s="37"/>
      <c r="B69" s="175">
        <f>#REF!</f>
      </c>
      <c r="C69" s="233"/>
      <c r="D69" s="176">
        <f>IF(#REF!&lt;&gt;"",#REF!,IF(#REF!&lt;&gt;"",#REF!,""))</f>
      </c>
      <c r="E69" s="176"/>
      <c r="F69" s="176"/>
      <c r="G69" s="176"/>
      <c r="H69" s="176"/>
      <c r="I69" s="176"/>
      <c r="J69" s="252">
        <f>#REF!</f>
      </c>
      <c r="K69" s="252">
        <f ca="1">'rincian 6'!S46</f>
      </c>
      <c r="L69" s="252">
        <f>'rincian 6'!U46</f>
      </c>
      <c r="M69" s="252">
        <f t="shared" ca="1" si="4"/>
      </c>
      <c r="N69" s="252">
        <f t="shared" si="5"/>
      </c>
      <c r="O69" s="252">
        <f t="shared" ca="1" si="6"/>
      </c>
      <c r="P69" s="78">
        <f>#REF!</f>
      </c>
      <c r="Q69" s="608">
        <f t="shared" si="7"/>
      </c>
      <c r="R69" s="609"/>
    </row>
    <row r="70" spans="1:18" ht="18" customHeight="1">
      <c r="A70" s="37"/>
      <c r="B70" s="175">
        <f>#REF!</f>
      </c>
      <c r="C70" s="233"/>
      <c r="D70" s="176">
        <f>IF(#REF!&lt;&gt;"",#REF!,IF(#REF!&lt;&gt;"",#REF!,""))</f>
      </c>
      <c r="E70" s="176"/>
      <c r="F70" s="176"/>
      <c r="G70" s="176"/>
      <c r="H70" s="176"/>
      <c r="I70" s="176"/>
      <c r="J70" s="252">
        <f>#REF!</f>
      </c>
      <c r="K70" s="252">
        <f ca="1">'rincian 6'!S47</f>
      </c>
      <c r="L70" s="252">
        <f>'rincian 6'!U47</f>
      </c>
      <c r="M70" s="252">
        <f t="shared" ca="1" si="4"/>
      </c>
      <c r="N70" s="252">
        <f t="shared" si="5"/>
      </c>
      <c r="O70" s="252">
        <f t="shared" ca="1" si="6"/>
      </c>
      <c r="P70" s="78">
        <f>#REF!</f>
      </c>
      <c r="Q70" s="608">
        <f t="shared" si="7"/>
      </c>
      <c r="R70" s="609"/>
    </row>
    <row r="71" spans="1:18" ht="18" customHeight="1">
      <c r="A71" s="37"/>
      <c r="B71" s="175">
        <f>#REF!</f>
      </c>
      <c r="C71" s="233"/>
      <c r="D71" s="176">
        <f>IF(#REF!&lt;&gt;"",#REF!,IF(#REF!&lt;&gt;"",#REF!,""))</f>
      </c>
      <c r="E71" s="176"/>
      <c r="F71" s="176"/>
      <c r="G71" s="176"/>
      <c r="H71" s="176"/>
      <c r="I71" s="176"/>
      <c r="J71" s="252">
        <f>#REF!</f>
      </c>
      <c r="K71" s="252">
        <f ca="1">'rincian 6'!S48</f>
      </c>
      <c r="L71" s="252">
        <f>'rincian 6'!U48</f>
      </c>
      <c r="M71" s="252">
        <f t="shared" ca="1" si="4"/>
      </c>
      <c r="N71" s="252">
        <f t="shared" si="5"/>
      </c>
      <c r="O71" s="252">
        <f t="shared" ca="1" si="6"/>
      </c>
      <c r="P71" s="78">
        <f>#REF!</f>
      </c>
      <c r="Q71" s="608">
        <f t="shared" si="7"/>
      </c>
      <c r="R71" s="609"/>
    </row>
    <row r="72" spans="1:18" ht="18" customHeight="1">
      <c r="A72" s="37"/>
      <c r="B72" s="175">
        <f>#REF!</f>
      </c>
      <c r="C72" s="233"/>
      <c r="D72" s="176">
        <f>IF(#REF!&lt;&gt;"",#REF!,IF(#REF!&lt;&gt;"",#REF!,""))</f>
      </c>
      <c r="E72" s="176"/>
      <c r="F72" s="176"/>
      <c r="G72" s="176"/>
      <c r="H72" s="176"/>
      <c r="I72" s="176"/>
      <c r="J72" s="252">
        <f>#REF!</f>
      </c>
      <c r="K72" s="252">
        <f ca="1">'rincian 6'!S49</f>
      </c>
      <c r="L72" s="252">
        <f>'rincian 6'!U49</f>
      </c>
      <c r="M72" s="252">
        <f t="shared" ca="1" si="4"/>
      </c>
      <c r="N72" s="252">
        <f t="shared" si="5"/>
      </c>
      <c r="O72" s="252">
        <f t="shared" ca="1" si="6"/>
      </c>
      <c r="P72" s="78">
        <f>#REF!</f>
      </c>
      <c r="Q72" s="608">
        <f t="shared" si="7"/>
      </c>
      <c r="R72" s="609"/>
    </row>
    <row r="73" spans="1:18" ht="18" customHeight="1">
      <c r="A73" s="37"/>
      <c r="B73" s="175">
        <f>#REF!</f>
      </c>
      <c r="C73" s="233"/>
      <c r="D73" s="176">
        <f>IF(#REF!&lt;&gt;"",#REF!,IF(#REF!&lt;&gt;"",#REF!,""))</f>
      </c>
      <c r="E73" s="176"/>
      <c r="F73" s="176"/>
      <c r="G73" s="176"/>
      <c r="H73" s="176"/>
      <c r="I73" s="176"/>
      <c r="J73" s="252">
        <f>#REF!</f>
      </c>
      <c r="K73" s="252">
        <f ca="1">'rincian 6'!S50</f>
      </c>
      <c r="L73" s="252">
        <f>'rincian 6'!U50</f>
      </c>
      <c r="M73" s="252">
        <f t="shared" ca="1" si="4"/>
      </c>
      <c r="N73" s="252">
        <f t="shared" si="5"/>
      </c>
      <c r="O73" s="252">
        <f t="shared" ca="1" si="6"/>
      </c>
      <c r="P73" s="78">
        <f>#REF!</f>
      </c>
      <c r="Q73" s="608">
        <f t="shared" si="7"/>
      </c>
      <c r="R73" s="609"/>
    </row>
    <row r="74" spans="1:18" ht="18" customHeight="1">
      <c r="A74" s="37"/>
      <c r="B74" s="175">
        <f>#REF!</f>
      </c>
      <c r="C74" s="233"/>
      <c r="D74" s="176">
        <f>IF(#REF!&lt;&gt;"",#REF!,IF(#REF!&lt;&gt;"",#REF!,""))</f>
      </c>
      <c r="E74" s="176"/>
      <c r="F74" s="176"/>
      <c r="G74" s="176"/>
      <c r="H74" s="176"/>
      <c r="I74" s="176"/>
      <c r="J74" s="252">
        <f>#REF!</f>
      </c>
      <c r="K74" s="252">
        <f ca="1">'rincian 6'!S51</f>
      </c>
      <c r="L74" s="252">
        <f>'rincian 6'!U51</f>
      </c>
      <c r="M74" s="252">
        <f t="shared" ca="1" si="4"/>
      </c>
      <c r="N74" s="252">
        <f t="shared" si="5"/>
      </c>
      <c r="O74" s="252">
        <f t="shared" ca="1" si="6"/>
      </c>
      <c r="P74" s="78">
        <f>#REF!</f>
      </c>
      <c r="Q74" s="608">
        <f t="shared" si="7"/>
      </c>
      <c r="R74" s="609"/>
    </row>
    <row r="75" spans="1:18" ht="18" customHeight="1">
      <c r="A75" s="37"/>
      <c r="B75" s="175">
        <f>#REF!</f>
      </c>
      <c r="C75" s="233"/>
      <c r="D75" s="176">
        <f>IF(#REF!&lt;&gt;"",#REF!,IF(#REF!&lt;&gt;"",#REF!,""))</f>
      </c>
      <c r="E75" s="176"/>
      <c r="F75" s="176"/>
      <c r="G75" s="176"/>
      <c r="H75" s="176"/>
      <c r="I75" s="176"/>
      <c r="J75" s="252">
        <f>#REF!</f>
      </c>
      <c r="K75" s="252">
        <f ca="1">'rincian 6'!S52</f>
      </c>
      <c r="L75" s="252">
        <f>'rincian 6'!U52</f>
      </c>
      <c r="M75" s="252">
        <f t="shared" ca="1" si="4"/>
      </c>
      <c r="N75" s="252">
        <f t="shared" si="5"/>
      </c>
      <c r="O75" s="252">
        <f t="shared" ca="1" si="6"/>
      </c>
      <c r="P75" s="78">
        <f>#REF!</f>
      </c>
      <c r="Q75" s="608">
        <f t="shared" si="7"/>
      </c>
      <c r="R75" s="609"/>
    </row>
    <row r="76" spans="1:18" ht="18" customHeight="1">
      <c r="A76" s="37"/>
      <c r="B76" s="175">
        <f>#REF!</f>
      </c>
      <c r="C76" s="233"/>
      <c r="D76" s="176">
        <f>IF(#REF!&lt;&gt;"",#REF!,IF(#REF!&lt;&gt;"",#REF!,""))</f>
      </c>
      <c r="E76" s="176"/>
      <c r="F76" s="176"/>
      <c r="G76" s="176"/>
      <c r="H76" s="176"/>
      <c r="I76" s="176"/>
      <c r="J76" s="252">
        <f>#REF!</f>
      </c>
      <c r="K76" s="252">
        <f ca="1">'rincian 6'!S53</f>
      </c>
      <c r="L76" s="252">
        <f>'rincian 6'!U53</f>
      </c>
      <c r="M76" s="252">
        <f t="shared" ca="1" si="4"/>
      </c>
      <c r="N76" s="252">
        <f t="shared" si="5"/>
      </c>
      <c r="O76" s="252">
        <f t="shared" ca="1" si="6"/>
      </c>
      <c r="P76" s="78">
        <f>#REF!</f>
      </c>
      <c r="Q76" s="608">
        <f t="shared" si="7"/>
      </c>
      <c r="R76" s="609"/>
    </row>
    <row r="77" spans="1:18" ht="18" customHeight="1">
      <c r="A77" s="37"/>
      <c r="B77" s="406">
        <f>#REF!</f>
      </c>
      <c r="C77" s="407"/>
      <c r="D77" s="408">
        <f>IF(#REF!&lt;&gt;"",#REF!,IF(#REF!&lt;&gt;"",#REF!,""))</f>
      </c>
      <c r="E77" s="408"/>
      <c r="F77" s="408"/>
      <c r="G77" s="408"/>
      <c r="H77" s="408"/>
      <c r="I77" s="408"/>
      <c r="J77" s="409"/>
      <c r="K77" s="409"/>
      <c r="L77" s="409"/>
      <c r="M77" s="409"/>
      <c r="N77" s="409"/>
      <c r="O77" s="409"/>
      <c r="P77" s="410"/>
      <c r="Q77" s="624"/>
      <c r="R77" s="625"/>
    </row>
    <row r="78" spans="1:18" ht="18" customHeight="1">
      <c r="A78" s="37"/>
      <c r="B78" s="404">
        <f>#REF!</f>
      </c>
      <c r="C78" s="233"/>
      <c r="D78" s="405">
        <f>IF(#REF!&lt;&gt;"",#REF!,IF(#REF!&lt;&gt;"",#REF!,""))</f>
      </c>
      <c r="E78" s="405"/>
      <c r="F78" s="405"/>
      <c r="G78" s="405"/>
      <c r="H78" s="405"/>
      <c r="I78" s="405"/>
      <c r="J78" s="252"/>
      <c r="K78" s="252"/>
      <c r="L78" s="252"/>
      <c r="M78" s="252"/>
      <c r="N78" s="252"/>
      <c r="O78" s="252"/>
      <c r="P78" s="78"/>
      <c r="Q78" s="624"/>
      <c r="R78" s="625"/>
    </row>
    <row r="79" spans="1:18" ht="18" customHeight="1">
      <c r="A79" s="37"/>
      <c r="B79" s="404">
        <f>#REF!</f>
      </c>
      <c r="C79" s="233"/>
      <c r="D79" s="405">
        <f>IF(#REF!&lt;&gt;"",#REF!,IF(#REF!&lt;&gt;"",#REF!,""))</f>
      </c>
      <c r="E79" s="405"/>
      <c r="F79" s="405"/>
      <c r="G79" s="405"/>
      <c r="H79" s="405"/>
      <c r="I79" s="405"/>
      <c r="J79" s="252"/>
      <c r="K79" s="252"/>
      <c r="L79" s="252"/>
      <c r="M79" s="252"/>
      <c r="N79" s="252"/>
      <c r="O79" s="252"/>
      <c r="P79" s="78"/>
      <c r="Q79" s="624"/>
      <c r="R79" s="625"/>
    </row>
    <row r="80" spans="1:18" ht="21" customHeight="1">
      <c r="A80" s="37"/>
      <c r="B80" s="175">
        <f>#REF!</f>
      </c>
      <c r="C80" s="233"/>
      <c r="D80" s="653">
        <f>IF(#REF!&lt;&gt;"",#REF!,IF(#REF!&lt;&gt;"",#REF!,""))</f>
      </c>
      <c r="E80" s="653"/>
      <c r="F80" s="653"/>
      <c r="G80" s="653"/>
      <c r="H80" s="653"/>
      <c r="I80" s="654"/>
      <c r="J80" s="252">
        <f>#REF!</f>
      </c>
      <c r="K80" s="252">
        <f ca="1">'rincian 6'!S57</f>
      </c>
      <c r="L80" s="252">
        <f>'rincian 6'!U57</f>
      </c>
      <c r="M80" s="252">
        <f ca="1">K80+L80</f>
      </c>
      <c r="N80" s="252">
        <f>L80</f>
      </c>
      <c r="O80" s="252">
        <f ca="1">J80-M80</f>
      </c>
      <c r="P80" s="78">
        <f>#REF!</f>
      </c>
      <c r="Q80" s="608">
        <f>N80*P80</f>
      </c>
      <c r="R80" s="609"/>
    </row>
    <row r="81" spans="1:18" ht="36" customHeight="1">
      <c r="A81" s="37"/>
      <c r="B81" s="175">
        <f>#REF!</f>
      </c>
      <c r="C81" s="233"/>
      <c r="D81" s="653">
        <f>IF(#REF!&lt;&gt;"",#REF!,IF(#REF!&lt;&gt;"",#REF!,""))</f>
      </c>
      <c r="E81" s="653"/>
      <c r="F81" s="653"/>
      <c r="G81" s="653"/>
      <c r="H81" s="653"/>
      <c r="I81" s="654"/>
      <c r="J81" s="252">
        <f>#REF!</f>
      </c>
      <c r="K81" s="252">
        <f ca="1">'rincian 6'!S58</f>
      </c>
      <c r="L81" s="252">
        <f>'rincian 6'!U58</f>
      </c>
      <c r="M81" s="252">
        <f ca="1">K81+L81</f>
      </c>
      <c r="N81" s="252">
        <f>L81</f>
      </c>
      <c r="O81" s="252">
        <f ca="1">J81-M81</f>
      </c>
      <c r="P81" s="78">
        <f>#REF!</f>
      </c>
      <c r="Q81" s="608">
        <f>N81*P81</f>
      </c>
      <c r="R81" s="609"/>
    </row>
    <row r="82" spans="1:18" ht="36" customHeight="1">
      <c r="A82" s="37"/>
      <c r="B82" s="175">
        <f>#REF!</f>
      </c>
      <c r="C82" s="233"/>
      <c r="D82" s="653">
        <f>IF(#REF!&lt;&gt;"",#REF!,IF(#REF!&lt;&gt;"",#REF!,""))</f>
      </c>
      <c r="E82" s="653"/>
      <c r="F82" s="653"/>
      <c r="G82" s="653"/>
      <c r="H82" s="653"/>
      <c r="I82" s="654"/>
      <c r="J82" s="252">
        <f>#REF!</f>
      </c>
      <c r="K82" s="252">
        <f ca="1">'rincian 6'!S59</f>
      </c>
      <c r="L82" s="252">
        <f>'rincian 6'!U59</f>
      </c>
      <c r="M82" s="252">
        <f ca="1">K82+L82</f>
      </c>
      <c r="N82" s="252">
        <f>L82</f>
      </c>
      <c r="O82" s="252">
        <f ca="1">J82-M82</f>
      </c>
      <c r="P82" s="78">
        <f>#REF!</f>
      </c>
      <c r="Q82" s="608">
        <f>N82*P82</f>
      </c>
      <c r="R82" s="609"/>
    </row>
    <row r="83" spans="1:18" ht="36" customHeight="1">
      <c r="A83" s="37"/>
      <c r="B83" s="175">
        <f>#REF!</f>
      </c>
      <c r="C83" s="233"/>
      <c r="D83" s="653">
        <f>IF(#REF!&lt;&gt;"",#REF!,IF(#REF!&lt;&gt;"",#REF!,""))</f>
      </c>
      <c r="E83" s="653"/>
      <c r="F83" s="653"/>
      <c r="G83" s="653"/>
      <c r="H83" s="653"/>
      <c r="I83" s="654"/>
      <c r="J83" s="252">
        <f>#REF!</f>
      </c>
      <c r="K83" s="252">
        <f ca="1">'rincian 6'!S60</f>
      </c>
      <c r="L83" s="252">
        <f>'rincian 6'!U60</f>
      </c>
      <c r="M83" s="252">
        <f ca="1">K83+L83</f>
      </c>
      <c r="N83" s="252">
        <f>L83</f>
      </c>
      <c r="O83" s="252">
        <f ca="1">J83-M83</f>
      </c>
      <c r="P83" s="78">
        <f>#REF!</f>
      </c>
      <c r="Q83" s="608">
        <f>N83*P83</f>
      </c>
      <c r="R83" s="609"/>
    </row>
    <row r="84" spans="1:18" ht="18" customHeight="1">
      <c r="A84" s="37"/>
      <c r="B84" s="404">
        <f>#REF!</f>
      </c>
      <c r="C84" s="233"/>
      <c r="D84" s="405">
        <f>IF(#REF!&lt;&gt;"",#REF!,IF(#REF!&lt;&gt;"",#REF!,""))</f>
      </c>
      <c r="E84" s="405"/>
      <c r="F84" s="405"/>
      <c r="G84" s="405"/>
      <c r="H84" s="405"/>
      <c r="I84" s="405"/>
      <c r="J84" s="252"/>
      <c r="K84" s="252"/>
      <c r="L84" s="252"/>
      <c r="M84" s="252"/>
      <c r="N84" s="252"/>
      <c r="O84" s="252"/>
      <c r="P84" s="78"/>
      <c r="Q84" s="624"/>
      <c r="R84" s="625"/>
    </row>
    <row r="85" spans="1:18" ht="18" customHeight="1">
      <c r="A85" s="37"/>
      <c r="B85" s="175">
        <f>#REF!</f>
      </c>
      <c r="C85" s="233"/>
      <c r="D85" s="176">
        <f>IF(#REF!&lt;&gt;"",#REF!,IF(#REF!&lt;&gt;"",#REF!,""))</f>
      </c>
      <c r="E85" s="176"/>
      <c r="F85" s="176"/>
      <c r="G85" s="176"/>
      <c r="H85" s="176"/>
      <c r="I85" s="176"/>
      <c r="J85" s="252">
        <f>#REF!</f>
      </c>
      <c r="K85" s="252">
        <f ca="1">'rincian 6'!S62</f>
      </c>
      <c r="L85" s="252">
        <f>'rincian 6'!U62</f>
      </c>
      <c r="M85" s="252">
        <f ca="1">K85+L85</f>
      </c>
      <c r="N85" s="252">
        <f>L85</f>
      </c>
      <c r="O85" s="252">
        <f ca="1">J85-M85</f>
      </c>
      <c r="P85" s="78">
        <f>#REF!</f>
      </c>
      <c r="Q85" s="608">
        <f>N85*P85</f>
      </c>
      <c r="R85" s="609"/>
    </row>
    <row r="86" spans="1:18" ht="18" customHeight="1">
      <c r="A86" s="37"/>
      <c r="B86" s="175">
        <f>#REF!</f>
      </c>
      <c r="C86" s="233"/>
      <c r="D86" s="176">
        <f>IF(#REF!&lt;&gt;"",#REF!,IF(#REF!&lt;&gt;"",#REF!,""))</f>
      </c>
      <c r="E86" s="176"/>
      <c r="F86" s="176"/>
      <c r="G86" s="176"/>
      <c r="H86" s="176"/>
      <c r="I86" s="176"/>
      <c r="J86" s="252">
        <f>#REF!</f>
      </c>
      <c r="K86" s="252">
        <f ca="1">'rincian 6'!S63</f>
      </c>
      <c r="L86" s="252">
        <f>'rincian 6'!U63</f>
      </c>
      <c r="M86" s="252">
        <f ca="1">K86+L86</f>
      </c>
      <c r="N86" s="252">
        <f>L86</f>
      </c>
      <c r="O86" s="252">
        <f ca="1">J86-M86</f>
      </c>
      <c r="P86" s="78">
        <f>#REF!</f>
      </c>
      <c r="Q86" s="608">
        <f>N86*P86</f>
      </c>
      <c r="R86" s="609"/>
    </row>
    <row r="87" spans="1:18" ht="18" customHeight="1">
      <c r="A87" s="37"/>
      <c r="B87" s="175">
        <f>#REF!</f>
      </c>
      <c r="C87" s="233"/>
      <c r="D87" s="176">
        <f>IF(#REF!&lt;&gt;"",#REF!,IF(#REF!&lt;&gt;"",#REF!,""))</f>
      </c>
      <c r="E87" s="176"/>
      <c r="F87" s="176"/>
      <c r="G87" s="176"/>
      <c r="H87" s="176"/>
      <c r="I87" s="176"/>
      <c r="J87" s="252">
        <f>#REF!</f>
      </c>
      <c r="K87" s="252">
        <f ca="1">'rincian 6'!S64</f>
      </c>
      <c r="L87" s="252">
        <f>'rincian 6'!U64</f>
      </c>
      <c r="M87" s="252">
        <f ca="1">K87+L87</f>
      </c>
      <c r="N87" s="252">
        <f>L87</f>
      </c>
      <c r="O87" s="252">
        <f ca="1">J87-M87</f>
      </c>
      <c r="P87" s="78">
        <f>#REF!</f>
      </c>
      <c r="Q87" s="608">
        <f>N87*P87</f>
      </c>
      <c r="R87" s="609"/>
    </row>
    <row r="88" spans="1:18" ht="18" customHeight="1">
      <c r="A88" s="37"/>
      <c r="B88" s="175">
        <f>#REF!</f>
      </c>
      <c r="C88" s="233"/>
      <c r="D88" s="176">
        <f>IF(#REF!&lt;&gt;"",#REF!,IF(#REF!&lt;&gt;"",#REF!,""))</f>
      </c>
      <c r="E88" s="176"/>
      <c r="F88" s="176"/>
      <c r="G88" s="176"/>
      <c r="H88" s="176"/>
      <c r="I88" s="176"/>
      <c r="J88" s="252">
        <f>#REF!</f>
      </c>
      <c r="K88" s="252">
        <f ca="1">'rincian 6'!S65</f>
      </c>
      <c r="L88" s="252">
        <f>'rincian 6'!U65</f>
      </c>
      <c r="M88" s="252">
        <f ca="1">K88+L88</f>
      </c>
      <c r="N88" s="252">
        <f>L88</f>
      </c>
      <c r="O88" s="252">
        <f ca="1">J88-M88</f>
      </c>
      <c r="P88" s="78">
        <f>#REF!</f>
      </c>
      <c r="Q88" s="608">
        <f>N88*P88</f>
      </c>
      <c r="R88" s="609"/>
    </row>
    <row r="89" spans="1:18" ht="18" customHeight="1">
      <c r="A89" s="37"/>
      <c r="B89" s="175">
        <f>#REF!</f>
      </c>
      <c r="C89" s="233"/>
      <c r="D89" s="176">
        <f>IF(#REF!&lt;&gt;"",#REF!,IF(#REF!&lt;&gt;"",#REF!,""))</f>
      </c>
      <c r="E89" s="176"/>
      <c r="F89" s="176"/>
      <c r="G89" s="176"/>
      <c r="H89" s="176"/>
      <c r="I89" s="176"/>
      <c r="J89" s="252">
        <f>#REF!</f>
      </c>
      <c r="K89" s="252">
        <f ca="1">'rincian 6'!S66</f>
      </c>
      <c r="L89" s="252">
        <f>'rincian 6'!U66</f>
      </c>
      <c r="M89" s="252">
        <f ca="1">K89+L89</f>
      </c>
      <c r="N89" s="252">
        <f>L89</f>
      </c>
      <c r="O89" s="252">
        <f ca="1">J89-M89</f>
      </c>
      <c r="P89" s="78">
        <f>#REF!</f>
      </c>
      <c r="Q89" s="608">
        <f>N89*P89</f>
      </c>
      <c r="R89" s="609"/>
    </row>
    <row r="90" spans="1:18" ht="18" customHeight="1">
      <c r="A90" s="37"/>
      <c r="B90" s="404">
        <f>#REF!</f>
      </c>
      <c r="C90" s="233"/>
      <c r="D90" s="405">
        <f>IF(#REF!&lt;&gt;"",#REF!,IF(#REF!&lt;&gt;"",#REF!,""))</f>
      </c>
      <c r="E90" s="405"/>
      <c r="F90" s="405"/>
      <c r="G90" s="405"/>
      <c r="H90" s="405"/>
      <c r="I90" s="405"/>
      <c r="J90" s="252"/>
      <c r="K90" s="252"/>
      <c r="L90" s="252"/>
      <c r="M90" s="252"/>
      <c r="N90" s="252"/>
      <c r="O90" s="252"/>
      <c r="P90" s="78"/>
      <c r="Q90" s="624"/>
      <c r="R90" s="625"/>
    </row>
    <row r="91" spans="1:18" ht="18" customHeight="1">
      <c r="A91" s="37"/>
      <c r="B91" s="175">
        <f>#REF!</f>
      </c>
      <c r="C91" s="233"/>
      <c r="D91" s="176">
        <f>IF(#REF!&lt;&gt;"",#REF!,IF(#REF!&lt;&gt;"",#REF!,""))</f>
      </c>
      <c r="E91" s="176"/>
      <c r="F91" s="176"/>
      <c r="G91" s="176"/>
      <c r="H91" s="176"/>
      <c r="I91" s="176"/>
      <c r="J91" s="252">
        <f>#REF!</f>
      </c>
      <c r="K91" s="252">
        <f ca="1">'rincian 6'!S68</f>
      </c>
      <c r="L91" s="252">
        <f>'rincian 6'!U68</f>
      </c>
      <c r="M91" s="252">
        <f t="shared" ref="M91:M101" ca="1" si="8">K91+L91</f>
      </c>
      <c r="N91" s="252">
        <f t="shared" ref="N91:N101" si="9">L91</f>
      </c>
      <c r="O91" s="252">
        <f t="shared" ref="O91:O101" ca="1" si="10">J91-M91</f>
      </c>
      <c r="P91" s="78">
        <f>#REF!</f>
      </c>
      <c r="Q91" s="608">
        <f t="shared" ref="Q91:Q101" si="11">N91*P91</f>
      </c>
      <c r="R91" s="609"/>
    </row>
    <row r="92" spans="1:18" ht="18" customHeight="1">
      <c r="A92" s="37"/>
      <c r="B92" s="175">
        <f>#REF!</f>
      </c>
      <c r="C92" s="233"/>
      <c r="D92" s="176">
        <f>IF(#REF!&lt;&gt;"",#REF!,IF(#REF!&lt;&gt;"",#REF!,""))</f>
      </c>
      <c r="E92" s="176"/>
      <c r="F92" s="176"/>
      <c r="G92" s="176"/>
      <c r="H92" s="176"/>
      <c r="I92" s="176"/>
      <c r="J92" s="252">
        <f>#REF!</f>
      </c>
      <c r="K92" s="252">
        <f ca="1">'rincian 6'!S69</f>
      </c>
      <c r="L92" s="252">
        <f>'rincian 6'!U69</f>
      </c>
      <c r="M92" s="252">
        <f t="shared" ca="1" si="8"/>
      </c>
      <c r="N92" s="252">
        <f t="shared" si="9"/>
      </c>
      <c r="O92" s="252">
        <f t="shared" ca="1" si="10"/>
      </c>
      <c r="P92" s="78">
        <f>#REF!</f>
      </c>
      <c r="Q92" s="608">
        <f t="shared" si="11"/>
      </c>
      <c r="R92" s="609"/>
    </row>
    <row r="93" spans="1:18" ht="18" customHeight="1">
      <c r="A93" s="37"/>
      <c r="B93" s="175">
        <f>#REF!</f>
      </c>
      <c r="C93" s="233"/>
      <c r="D93" s="176">
        <f>IF(#REF!&lt;&gt;"",#REF!,IF(#REF!&lt;&gt;"",#REF!,""))</f>
      </c>
      <c r="E93" s="176"/>
      <c r="F93" s="176"/>
      <c r="G93" s="176"/>
      <c r="H93" s="176"/>
      <c r="I93" s="176"/>
      <c r="J93" s="252">
        <f>#REF!</f>
      </c>
      <c r="K93" s="252">
        <f ca="1">'rincian 6'!S70</f>
      </c>
      <c r="L93" s="252">
        <f>'rincian 6'!U70</f>
      </c>
      <c r="M93" s="252">
        <f t="shared" ca="1" si="8"/>
      </c>
      <c r="N93" s="252">
        <f t="shared" si="9"/>
      </c>
      <c r="O93" s="252">
        <f t="shared" ca="1" si="10"/>
      </c>
      <c r="P93" s="78">
        <f>#REF!</f>
      </c>
      <c r="Q93" s="608">
        <f t="shared" si="11"/>
      </c>
      <c r="R93" s="609"/>
    </row>
    <row r="94" spans="1:18" ht="18" customHeight="1">
      <c r="A94" s="37"/>
      <c r="B94" s="175">
        <f>#REF!</f>
      </c>
      <c r="C94" s="233"/>
      <c r="D94" s="176">
        <f>IF(#REF!&lt;&gt;"",#REF!,IF(#REF!&lt;&gt;"",#REF!,""))</f>
      </c>
      <c r="E94" s="176"/>
      <c r="F94" s="176"/>
      <c r="G94" s="176"/>
      <c r="H94" s="176"/>
      <c r="I94" s="176"/>
      <c r="J94" s="252">
        <f>#REF!</f>
      </c>
      <c r="K94" s="252">
        <f ca="1">'rincian 6'!S71</f>
      </c>
      <c r="L94" s="252">
        <f>'rincian 6'!U71</f>
      </c>
      <c r="M94" s="252">
        <f t="shared" ca="1" si="8"/>
      </c>
      <c r="N94" s="252">
        <f t="shared" si="9"/>
      </c>
      <c r="O94" s="252">
        <f t="shared" ca="1" si="10"/>
      </c>
      <c r="P94" s="78">
        <f>#REF!</f>
      </c>
      <c r="Q94" s="608">
        <f t="shared" si="11"/>
      </c>
      <c r="R94" s="609"/>
    </row>
    <row r="95" spans="1:18" ht="18" customHeight="1">
      <c r="A95" s="37"/>
      <c r="B95" s="175">
        <f>#REF!</f>
      </c>
      <c r="C95" s="233"/>
      <c r="D95" s="176">
        <f>IF(#REF!&lt;&gt;"",#REF!,IF(#REF!&lt;&gt;"",#REF!,""))</f>
      </c>
      <c r="E95" s="176"/>
      <c r="F95" s="176"/>
      <c r="G95" s="176"/>
      <c r="H95" s="176"/>
      <c r="I95" s="176"/>
      <c r="J95" s="252">
        <f>#REF!</f>
      </c>
      <c r="K95" s="252">
        <f ca="1">'rincian 6'!S72</f>
      </c>
      <c r="L95" s="252">
        <f>'rincian 6'!U72</f>
      </c>
      <c r="M95" s="252">
        <f t="shared" ca="1" si="8"/>
      </c>
      <c r="N95" s="252">
        <f t="shared" si="9"/>
      </c>
      <c r="O95" s="252">
        <f t="shared" ca="1" si="10"/>
      </c>
      <c r="P95" s="78">
        <f>#REF!</f>
      </c>
      <c r="Q95" s="608">
        <f t="shared" si="11"/>
      </c>
      <c r="R95" s="609"/>
    </row>
    <row r="96" spans="1:18" ht="18" customHeight="1">
      <c r="A96" s="37"/>
      <c r="B96" s="175">
        <f>#REF!</f>
      </c>
      <c r="C96" s="233"/>
      <c r="D96" s="176">
        <f>IF(#REF!&lt;&gt;"",#REF!,IF(#REF!&lt;&gt;"",#REF!,""))</f>
      </c>
      <c r="E96" s="176"/>
      <c r="F96" s="176"/>
      <c r="G96" s="176"/>
      <c r="H96" s="176"/>
      <c r="I96" s="176"/>
      <c r="J96" s="252">
        <f>#REF!</f>
      </c>
      <c r="K96" s="252">
        <f ca="1">'rincian 6'!S73</f>
      </c>
      <c r="L96" s="252">
        <f>'rincian 6'!U73</f>
      </c>
      <c r="M96" s="252">
        <f t="shared" ca="1" si="8"/>
      </c>
      <c r="N96" s="252">
        <f t="shared" si="9"/>
      </c>
      <c r="O96" s="252">
        <f t="shared" ca="1" si="10"/>
      </c>
      <c r="P96" s="78">
        <f>#REF!</f>
      </c>
      <c r="Q96" s="608">
        <f t="shared" si="11"/>
      </c>
      <c r="R96" s="609"/>
    </row>
    <row r="97" spans="1:18" ht="18" customHeight="1">
      <c r="A97" s="37"/>
      <c r="B97" s="175">
        <f>#REF!</f>
      </c>
      <c r="C97" s="233"/>
      <c r="D97" s="176">
        <f>IF(#REF!&lt;&gt;"",#REF!,IF(#REF!&lt;&gt;"",#REF!,""))</f>
      </c>
      <c r="E97" s="176"/>
      <c r="F97" s="176"/>
      <c r="G97" s="176"/>
      <c r="H97" s="176"/>
      <c r="I97" s="176"/>
      <c r="J97" s="252">
        <f>#REF!</f>
      </c>
      <c r="K97" s="252">
        <f ca="1">'rincian 6'!S74</f>
      </c>
      <c r="L97" s="252">
        <f>'rincian 6'!U74</f>
      </c>
      <c r="M97" s="252">
        <f t="shared" ca="1" si="8"/>
      </c>
      <c r="N97" s="252">
        <f t="shared" si="9"/>
      </c>
      <c r="O97" s="252">
        <f t="shared" ca="1" si="10"/>
      </c>
      <c r="P97" s="78">
        <f>#REF!</f>
      </c>
      <c r="Q97" s="608">
        <f t="shared" si="11"/>
      </c>
      <c r="R97" s="609"/>
    </row>
    <row r="98" spans="1:18" ht="18" customHeight="1">
      <c r="A98" s="37"/>
      <c r="B98" s="175">
        <f>#REF!</f>
      </c>
      <c r="C98" s="233"/>
      <c r="D98" s="176">
        <f>IF(#REF!&lt;&gt;"",#REF!,IF(#REF!&lt;&gt;"",#REF!,""))</f>
      </c>
      <c r="E98" s="176"/>
      <c r="F98" s="176"/>
      <c r="G98" s="176"/>
      <c r="H98" s="176"/>
      <c r="I98" s="176"/>
      <c r="J98" s="252">
        <f>#REF!</f>
      </c>
      <c r="K98" s="252">
        <f ca="1">'rincian 6'!S75</f>
      </c>
      <c r="L98" s="252">
        <f>'rincian 6'!U75</f>
      </c>
      <c r="M98" s="252">
        <f t="shared" ca="1" si="8"/>
      </c>
      <c r="N98" s="252">
        <f t="shared" si="9"/>
      </c>
      <c r="O98" s="252">
        <f t="shared" ca="1" si="10"/>
      </c>
      <c r="P98" s="78">
        <f>#REF!</f>
      </c>
      <c r="Q98" s="608">
        <f t="shared" si="11"/>
      </c>
      <c r="R98" s="609"/>
    </row>
    <row r="99" spans="1:18" ht="18" customHeight="1">
      <c r="A99" s="37"/>
      <c r="B99" s="175">
        <f>#REF!</f>
      </c>
      <c r="C99" s="233"/>
      <c r="D99" s="176">
        <f>IF(#REF!&lt;&gt;"",#REF!,IF(#REF!&lt;&gt;"",#REF!,""))</f>
      </c>
      <c r="E99" s="176"/>
      <c r="F99" s="176"/>
      <c r="G99" s="176"/>
      <c r="H99" s="176"/>
      <c r="I99" s="176"/>
      <c r="J99" s="252">
        <f>#REF!</f>
      </c>
      <c r="K99" s="252">
        <f ca="1">'rincian 6'!S76</f>
      </c>
      <c r="L99" s="252">
        <f>'rincian 6'!U76</f>
      </c>
      <c r="M99" s="252">
        <f t="shared" ca="1" si="8"/>
      </c>
      <c r="N99" s="252">
        <f t="shared" si="9"/>
      </c>
      <c r="O99" s="252">
        <f t="shared" ca="1" si="10"/>
      </c>
      <c r="P99" s="78">
        <f>#REF!</f>
      </c>
      <c r="Q99" s="608">
        <f t="shared" si="11"/>
      </c>
      <c r="R99" s="609"/>
    </row>
    <row r="100" spans="1:18" ht="18" customHeight="1">
      <c r="A100" s="37"/>
      <c r="B100" s="175">
        <f>#REF!</f>
      </c>
      <c r="C100" s="233"/>
      <c r="D100" s="176">
        <f>IF(#REF!&lt;&gt;"",#REF!,IF(#REF!&lt;&gt;"",#REF!,""))</f>
      </c>
      <c r="E100" s="176"/>
      <c r="F100" s="176"/>
      <c r="G100" s="176"/>
      <c r="H100" s="176"/>
      <c r="I100" s="176"/>
      <c r="J100" s="252">
        <f>#REF!</f>
      </c>
      <c r="K100" s="252">
        <f ca="1">'rincian 6'!S77</f>
      </c>
      <c r="L100" s="252">
        <f>'rincian 6'!U77</f>
      </c>
      <c r="M100" s="252">
        <f t="shared" ca="1" si="8"/>
      </c>
      <c r="N100" s="252">
        <f t="shared" si="9"/>
      </c>
      <c r="O100" s="252">
        <f t="shared" ca="1" si="10"/>
      </c>
      <c r="P100" s="78">
        <f>#REF!</f>
      </c>
      <c r="Q100" s="608">
        <f t="shared" si="11"/>
      </c>
      <c r="R100" s="609"/>
    </row>
    <row r="101" spans="1:18" ht="18" customHeight="1">
      <c r="A101" s="37"/>
      <c r="B101" s="175">
        <f>#REF!</f>
      </c>
      <c r="C101" s="233"/>
      <c r="D101" s="176">
        <f>IF(#REF!&lt;&gt;"",#REF!,IF(#REF!&lt;&gt;"",#REF!,""))</f>
      </c>
      <c r="E101" s="176"/>
      <c r="F101" s="176"/>
      <c r="G101" s="176"/>
      <c r="H101" s="176"/>
      <c r="I101" s="176"/>
      <c r="J101" s="252">
        <f>#REF!</f>
      </c>
      <c r="K101" s="252">
        <f ca="1">'rincian 6'!S78</f>
      </c>
      <c r="L101" s="252">
        <f>'rincian 6'!U78</f>
      </c>
      <c r="M101" s="252">
        <f t="shared" ca="1" si="8"/>
      </c>
      <c r="N101" s="252">
        <f t="shared" si="9"/>
      </c>
      <c r="O101" s="252">
        <f t="shared" ca="1" si="10"/>
      </c>
      <c r="P101" s="78">
        <f>#REF!</f>
      </c>
      <c r="Q101" s="608">
        <f t="shared" si="11"/>
      </c>
      <c r="R101" s="609"/>
    </row>
    <row r="102" spans="1:18" ht="18" customHeight="1">
      <c r="A102" s="37"/>
      <c r="B102" s="406">
        <f>#REF!</f>
      </c>
      <c r="C102" s="407"/>
      <c r="D102" s="408">
        <f>IF(#REF!&lt;&gt;"",#REF!,IF(#REF!&lt;&gt;"",#REF!,""))</f>
      </c>
      <c r="E102" s="408"/>
      <c r="F102" s="408"/>
      <c r="G102" s="408"/>
      <c r="H102" s="408"/>
      <c r="I102" s="408"/>
      <c r="J102" s="409"/>
      <c r="K102" s="409"/>
      <c r="L102" s="409"/>
      <c r="M102" s="409"/>
      <c r="N102" s="409"/>
      <c r="O102" s="409"/>
      <c r="P102" s="410"/>
      <c r="Q102" s="624"/>
      <c r="R102" s="625"/>
    </row>
    <row r="103" spans="1:18" ht="18" customHeight="1">
      <c r="A103" s="37"/>
      <c r="B103" s="404">
        <f>#REF!</f>
      </c>
      <c r="C103" s="233"/>
      <c r="D103" s="405">
        <f>IF(#REF!&lt;&gt;"",#REF!,IF(#REF!&lt;&gt;"",#REF!,""))</f>
      </c>
      <c r="E103" s="405"/>
      <c r="F103" s="405"/>
      <c r="G103" s="405"/>
      <c r="H103" s="405"/>
      <c r="I103" s="405"/>
      <c r="J103" s="252">
        <f>#REF!</f>
      </c>
      <c r="K103" s="252">
        <f>'rincian 6'!S80</f>
      </c>
      <c r="L103" s="252">
        <f>'rincian 6'!U80</f>
      </c>
      <c r="M103" s="252">
        <f>K103+L103</f>
      </c>
      <c r="N103" s="252">
        <f>L103</f>
      </c>
      <c r="O103" s="252">
        <f>J103-M103</f>
      </c>
      <c r="P103" s="78">
        <f>#REF!</f>
      </c>
      <c r="Q103" s="608">
        <f>N103*P103</f>
      </c>
      <c r="R103" s="609"/>
    </row>
    <row r="104" spans="1:18" ht="18" customHeight="1">
      <c r="A104" s="37"/>
      <c r="B104" s="175">
        <f>#REF!</f>
      </c>
      <c r="C104" s="233"/>
      <c r="D104" s="176">
        <f>IF(#REF!&lt;&gt;"",#REF!,IF(#REF!&lt;&gt;"",#REF!,""))</f>
      </c>
      <c r="E104" s="176"/>
      <c r="F104" s="176"/>
      <c r="G104" s="176"/>
      <c r="H104" s="176"/>
      <c r="I104" s="176"/>
      <c r="J104" s="252">
        <f>#REF!</f>
      </c>
      <c r="K104" s="252">
        <f ca="1">'rincian 6'!S81</f>
      </c>
      <c r="L104" s="252">
        <f>'rincian 6'!U81</f>
      </c>
      <c r="M104" s="252">
        <f ca="1">K104+L104</f>
      </c>
      <c r="N104" s="252">
        <f>L104</f>
      </c>
      <c r="O104" s="252">
        <f ca="1">J104-M104</f>
      </c>
      <c r="P104" s="78">
        <f>#REF!</f>
      </c>
      <c r="Q104" s="608">
        <f>N104*P104</f>
      </c>
      <c r="R104" s="609"/>
    </row>
    <row r="105" spans="1:18" ht="18" customHeight="1">
      <c r="A105" s="37"/>
      <c r="B105" s="175">
        <f>#REF!</f>
      </c>
      <c r="C105" s="233"/>
      <c r="D105" s="176">
        <f>IF(#REF!&lt;&gt;"",#REF!,IF(#REF!&lt;&gt;"",#REF!,""))</f>
      </c>
      <c r="E105" s="176"/>
      <c r="F105" s="176"/>
      <c r="G105" s="176"/>
      <c r="H105" s="176"/>
      <c r="I105" s="176"/>
      <c r="J105" s="252">
        <f>#REF!</f>
      </c>
      <c r="K105" s="252">
        <f ca="1">'rincian 6'!S82</f>
      </c>
      <c r="L105" s="252">
        <f>'rincian 6'!U82</f>
      </c>
      <c r="M105" s="252">
        <f ca="1">K105+L105</f>
      </c>
      <c r="N105" s="252">
        <f>L105</f>
      </c>
      <c r="O105" s="252">
        <f ca="1">J105-M105</f>
      </c>
      <c r="P105" s="78">
        <f>#REF!</f>
      </c>
      <c r="Q105" s="608">
        <f>N105*P105</f>
      </c>
      <c r="R105" s="609"/>
    </row>
    <row r="106" spans="1:18" ht="18" customHeight="1">
      <c r="A106" s="37"/>
      <c r="B106" s="404">
        <f>#REF!</f>
      </c>
      <c r="C106" s="233"/>
      <c r="D106" s="405">
        <f>IF(#REF!&lt;&gt;"",#REF!,IF(#REF!&lt;&gt;"",#REF!,""))</f>
      </c>
      <c r="E106" s="405"/>
      <c r="F106" s="405"/>
      <c r="G106" s="405"/>
      <c r="H106" s="405"/>
      <c r="I106" s="405"/>
      <c r="J106" s="252"/>
      <c r="K106" s="252"/>
      <c r="L106" s="252"/>
      <c r="M106" s="252"/>
      <c r="N106" s="252"/>
      <c r="O106" s="252"/>
      <c r="P106" s="78"/>
      <c r="Q106" s="608"/>
      <c r="R106" s="609"/>
    </row>
    <row r="107" spans="1:18" ht="18" customHeight="1">
      <c r="A107" s="37"/>
      <c r="B107" s="175">
        <f>#REF!</f>
      </c>
      <c r="C107" s="233"/>
      <c r="D107" s="176">
        <f>IF(#REF!&lt;&gt;"",#REF!,IF(#REF!&lt;&gt;"",#REF!,""))</f>
      </c>
      <c r="E107" s="176"/>
      <c r="F107" s="176"/>
      <c r="G107" s="176"/>
      <c r="H107" s="176"/>
      <c r="I107" s="176"/>
      <c r="J107" s="252">
        <f>#REF!</f>
      </c>
      <c r="K107" s="252">
        <f ca="1">'rincian 6'!S84</f>
      </c>
      <c r="L107" s="252">
        <f>'rincian 6'!U84</f>
      </c>
      <c r="M107" s="252">
        <f ca="1">K107+L107</f>
      </c>
      <c r="N107" s="252">
        <f>L107</f>
      </c>
      <c r="O107" s="252">
        <f ca="1">J107-M107</f>
      </c>
      <c r="P107" s="78">
        <f>#REF!</f>
      </c>
      <c r="Q107" s="608">
        <f>N107*P107</f>
      </c>
      <c r="R107" s="609"/>
    </row>
    <row r="108" spans="1:18" ht="18" customHeight="1">
      <c r="A108" s="37"/>
      <c r="B108" s="175">
        <f>#REF!</f>
      </c>
      <c r="C108" s="233"/>
      <c r="D108" s="176">
        <f>IF(#REF!&lt;&gt;"",#REF!,IF(#REF!&lt;&gt;"",#REF!,""))</f>
      </c>
      <c r="E108" s="176"/>
      <c r="F108" s="176"/>
      <c r="G108" s="176"/>
      <c r="H108" s="176"/>
      <c r="I108" s="176"/>
      <c r="J108" s="252">
        <f>#REF!</f>
      </c>
      <c r="K108" s="252">
        <f ca="1">'rincian 6'!S85</f>
      </c>
      <c r="L108" s="252">
        <f>'rincian 6'!U85</f>
      </c>
      <c r="M108" s="252">
        <f ca="1">K108+L108</f>
      </c>
      <c r="N108" s="252">
        <f>L108</f>
      </c>
      <c r="O108" s="252">
        <f ca="1">J108-M108</f>
      </c>
      <c r="P108" s="78">
        <f>#REF!</f>
      </c>
      <c r="Q108" s="608">
        <f>N108*P108</f>
      </c>
      <c r="R108" s="609"/>
    </row>
    <row r="109" spans="1:18" ht="18" customHeight="1">
      <c r="A109" s="37"/>
      <c r="B109" s="175">
        <f>#REF!</f>
      </c>
      <c r="C109" s="233"/>
      <c r="D109" s="176">
        <f>IF(#REF!&lt;&gt;"",#REF!,IF(#REF!&lt;&gt;"",#REF!,""))</f>
      </c>
      <c r="E109" s="176"/>
      <c r="F109" s="176"/>
      <c r="G109" s="176"/>
      <c r="H109" s="176"/>
      <c r="I109" s="176"/>
      <c r="J109" s="252">
        <f>#REF!</f>
      </c>
      <c r="K109" s="252">
        <f ca="1">'rincian 6'!S86</f>
      </c>
      <c r="L109" s="252">
        <f>'rincian 6'!U86</f>
      </c>
      <c r="M109" s="252">
        <f ca="1">K109+L109</f>
      </c>
      <c r="N109" s="252">
        <f>L109</f>
      </c>
      <c r="O109" s="252">
        <f ca="1">J109-M109</f>
      </c>
      <c r="P109" s="78">
        <f>#REF!</f>
      </c>
      <c r="Q109" s="608">
        <f>N109*P109</f>
      </c>
      <c r="R109" s="609"/>
    </row>
    <row r="110" spans="1:18" ht="18" customHeight="1">
      <c r="A110" s="37"/>
      <c r="B110" s="404">
        <f>#REF!</f>
      </c>
      <c r="C110" s="233"/>
      <c r="D110" s="405">
        <f>IF(#REF!&lt;&gt;"",#REF!,IF(#REF!&lt;&gt;"",#REF!,""))</f>
      </c>
      <c r="E110" s="405"/>
      <c r="F110" s="405"/>
      <c r="G110" s="405"/>
      <c r="H110" s="405"/>
      <c r="I110" s="405"/>
      <c r="J110" s="252"/>
      <c r="K110" s="252"/>
      <c r="L110" s="252"/>
      <c r="M110" s="252"/>
      <c r="N110" s="252"/>
      <c r="O110" s="252"/>
      <c r="P110" s="78"/>
      <c r="Q110" s="608"/>
      <c r="R110" s="609"/>
    </row>
    <row r="111" spans="1:18" ht="18" customHeight="1">
      <c r="A111" s="37"/>
      <c r="B111" s="175">
        <f>#REF!</f>
      </c>
      <c r="C111" s="233"/>
      <c r="D111" s="176">
        <f>IF(#REF!&lt;&gt;"",#REF!,IF(#REF!&lt;&gt;"",#REF!,""))</f>
      </c>
      <c r="E111" s="176"/>
      <c r="F111" s="176"/>
      <c r="G111" s="176"/>
      <c r="H111" s="176"/>
      <c r="I111" s="176"/>
      <c r="J111" s="252">
        <f>#REF!</f>
      </c>
      <c r="K111" s="252">
        <f ca="1">'rincian 6'!S88</f>
      </c>
      <c r="L111" s="252">
        <f>'rincian 6'!U88</f>
      </c>
      <c r="M111" s="252">
        <f ca="1">K111+L111</f>
      </c>
      <c r="N111" s="252">
        <f>L111</f>
      </c>
      <c r="O111" s="252">
        <f ca="1">J111-M111</f>
      </c>
      <c r="P111" s="78">
        <f>#REF!</f>
      </c>
      <c r="Q111" s="608">
        <f>N111*P111</f>
      </c>
      <c r="R111" s="609"/>
    </row>
    <row r="112" spans="1:18" ht="18" customHeight="1">
      <c r="A112" s="37"/>
      <c r="B112" s="175">
        <f>#REF!</f>
      </c>
      <c r="C112" s="233"/>
      <c r="D112" s="176">
        <f>IF(#REF!&lt;&gt;"",#REF!,IF(#REF!&lt;&gt;"",#REF!,""))</f>
      </c>
      <c r="E112" s="176"/>
      <c r="F112" s="176"/>
      <c r="G112" s="176"/>
      <c r="H112" s="176"/>
      <c r="I112" s="176"/>
      <c r="J112" s="252">
        <f>#REF!</f>
      </c>
      <c r="K112" s="252">
        <f ca="1">'rincian 6'!S89</f>
      </c>
      <c r="L112" s="252">
        <f>'rincian 6'!U89</f>
      </c>
      <c r="M112" s="252">
        <f ca="1">K112+L112</f>
      </c>
      <c r="N112" s="252">
        <f>L112</f>
      </c>
      <c r="O112" s="252">
        <f ca="1">J112-M112</f>
      </c>
      <c r="P112" s="78">
        <f>#REF!</f>
      </c>
      <c r="Q112" s="608">
        <f>N112*P112</f>
      </c>
      <c r="R112" s="609"/>
    </row>
    <row r="113" spans="1:18" ht="18" customHeight="1">
      <c r="A113" s="37"/>
      <c r="B113" s="175">
        <f>#REF!</f>
      </c>
      <c r="C113" s="233"/>
      <c r="D113" s="176">
        <f>IF(#REF!&lt;&gt;"",#REF!,IF(#REF!&lt;&gt;"",#REF!,""))</f>
      </c>
      <c r="E113" s="176"/>
      <c r="F113" s="176"/>
      <c r="G113" s="176"/>
      <c r="H113" s="176"/>
      <c r="I113" s="176"/>
      <c r="J113" s="252">
        <f>#REF!</f>
      </c>
      <c r="K113" s="252">
        <f ca="1">'rincian 6'!S90</f>
      </c>
      <c r="L113" s="252">
        <f>'rincian 6'!U90</f>
      </c>
      <c r="M113" s="252">
        <f ca="1">K113+L113</f>
      </c>
      <c r="N113" s="252">
        <f>L113</f>
      </c>
      <c r="O113" s="252">
        <f ca="1">J113-M113</f>
      </c>
      <c r="P113" s="78">
        <f>#REF!</f>
      </c>
      <c r="Q113" s="608">
        <f>N113*P113</f>
      </c>
      <c r="R113" s="609"/>
    </row>
    <row r="114" spans="1:18" ht="18" customHeight="1">
      <c r="A114" s="37"/>
      <c r="B114" s="175">
        <f>#REF!</f>
      </c>
      <c r="C114" s="233"/>
      <c r="D114" s="176">
        <f>IF(#REF!&lt;&gt;"",#REF!,IF(#REF!&lt;&gt;"",#REF!,""))</f>
      </c>
      <c r="E114" s="176"/>
      <c r="F114" s="176"/>
      <c r="G114" s="176"/>
      <c r="H114" s="176"/>
      <c r="I114" s="176"/>
      <c r="J114" s="252">
        <f>#REF!</f>
      </c>
      <c r="K114" s="252">
        <f ca="1">'rincian 6'!S91</f>
      </c>
      <c r="L114" s="252">
        <f>'rincian 6'!U91</f>
      </c>
      <c r="M114" s="252">
        <f ca="1">K114+L114</f>
      </c>
      <c r="N114" s="252">
        <f>L114</f>
      </c>
      <c r="O114" s="252">
        <f ca="1">J114-M114</f>
      </c>
      <c r="P114" s="78">
        <f>#REF!</f>
      </c>
      <c r="Q114" s="608">
        <f>N114*P114</f>
      </c>
      <c r="R114" s="609"/>
    </row>
    <row r="115" spans="1:18" ht="18" customHeight="1">
      <c r="A115" s="37"/>
      <c r="B115" s="404">
        <f>#REF!</f>
      </c>
      <c r="C115" s="233"/>
      <c r="D115" s="405">
        <f>IF(#REF!&lt;&gt;"",#REF!,IF(#REF!&lt;&gt;"",#REF!,""))</f>
      </c>
      <c r="E115" s="405"/>
      <c r="F115" s="405"/>
      <c r="G115" s="405"/>
      <c r="H115" s="405"/>
      <c r="I115" s="405"/>
      <c r="J115" s="252"/>
      <c r="K115" s="252"/>
      <c r="L115" s="252"/>
      <c r="M115" s="252"/>
      <c r="N115" s="252"/>
      <c r="O115" s="252"/>
      <c r="P115" s="78"/>
      <c r="Q115" s="608"/>
      <c r="R115" s="609"/>
    </row>
    <row r="116" spans="1:18" ht="18" customHeight="1">
      <c r="A116" s="37"/>
      <c r="B116" s="175">
        <f>#REF!</f>
      </c>
      <c r="C116" s="233"/>
      <c r="D116" s="176">
        <f>IF(#REF!&lt;&gt;"",#REF!,IF(#REF!&lt;&gt;"",#REF!,""))</f>
      </c>
      <c r="E116" s="176"/>
      <c r="F116" s="176"/>
      <c r="G116" s="176"/>
      <c r="H116" s="176"/>
      <c r="I116" s="176"/>
      <c r="J116" s="252">
        <f>#REF!</f>
      </c>
      <c r="K116" s="252">
        <f ca="1">'rincian 6'!S93</f>
      </c>
      <c r="L116" s="252">
        <f>'rincian 6'!U93</f>
      </c>
      <c r="M116" s="252">
        <f t="shared" ref="M116:M121" ca="1" si="12">K116+L116</f>
      </c>
      <c r="N116" s="252">
        <f t="shared" ref="N116:N121" si="13">L116</f>
      </c>
      <c r="O116" s="252">
        <f t="shared" ref="O116:O121" ca="1" si="14">J116-M116</f>
      </c>
      <c r="P116" s="78">
        <f>#REF!</f>
      </c>
      <c r="Q116" s="608">
        <f t="shared" ref="Q116:Q121" si="15">N116*P116</f>
      </c>
      <c r="R116" s="609"/>
    </row>
    <row r="117" spans="1:18" ht="18" customHeight="1">
      <c r="A117" s="37"/>
      <c r="B117" s="404">
        <f>#REF!</f>
      </c>
      <c r="C117" s="233"/>
      <c r="D117" s="405">
        <f>IF(#REF!&lt;&gt;"",#REF!,IF(#REF!&lt;&gt;"",#REF!,""))</f>
      </c>
      <c r="E117" s="405"/>
      <c r="F117" s="405"/>
      <c r="G117" s="405"/>
      <c r="H117" s="405"/>
      <c r="I117" s="405"/>
      <c r="J117" s="252">
        <f>#REF!</f>
      </c>
      <c r="K117" s="252">
        <f>'rincian 6'!S94</f>
      </c>
      <c r="L117" s="252">
        <f>'rincian 6'!U94</f>
      </c>
      <c r="M117" s="252">
        <f t="shared" si="12"/>
      </c>
      <c r="N117" s="252">
        <f t="shared" si="13"/>
      </c>
      <c r="O117" s="252">
        <f t="shared" si="14"/>
      </c>
      <c r="P117" s="78">
        <f>#REF!</f>
      </c>
      <c r="Q117" s="608">
        <f t="shared" si="15"/>
      </c>
      <c r="R117" s="609"/>
    </row>
    <row r="118" spans="1:18" ht="18" customHeight="1">
      <c r="A118" s="37"/>
      <c r="B118" s="175">
        <f>#REF!</f>
      </c>
      <c r="C118" s="233"/>
      <c r="D118" s="176">
        <f>IF(#REF!&lt;&gt;"",#REF!,IF(#REF!&lt;&gt;"",#REF!,""))</f>
      </c>
      <c r="E118" s="176"/>
      <c r="F118" s="176"/>
      <c r="G118" s="176"/>
      <c r="H118" s="176"/>
      <c r="I118" s="176"/>
      <c r="J118" s="252">
        <f>#REF!</f>
      </c>
      <c r="K118" s="252">
        <f ca="1">'rincian 6'!S95</f>
      </c>
      <c r="L118" s="252">
        <f>'rincian 6'!U95</f>
      </c>
      <c r="M118" s="252">
        <f t="shared" ca="1" si="12"/>
      </c>
      <c r="N118" s="252">
        <f t="shared" si="13"/>
      </c>
      <c r="O118" s="252">
        <f t="shared" ca="1" si="14"/>
      </c>
      <c r="P118" s="78">
        <f>#REF!</f>
      </c>
      <c r="Q118" s="608">
        <f t="shared" si="15"/>
      </c>
      <c r="R118" s="609"/>
    </row>
    <row r="119" spans="1:18" ht="18" customHeight="1">
      <c r="A119" s="37"/>
      <c r="B119" s="175">
        <f>#REF!</f>
      </c>
      <c r="C119" s="233"/>
      <c r="D119" s="176">
        <f>IF(#REF!&lt;&gt;"",#REF!,IF(#REF!&lt;&gt;"",#REF!,""))</f>
      </c>
      <c r="E119" s="176"/>
      <c r="F119" s="176"/>
      <c r="G119" s="176"/>
      <c r="H119" s="176"/>
      <c r="I119" s="176"/>
      <c r="J119" s="252">
        <f>#REF!</f>
      </c>
      <c r="K119" s="252">
        <f ca="1">'rincian 6'!S96</f>
      </c>
      <c r="L119" s="252">
        <f>'rincian 6'!U96</f>
      </c>
      <c r="M119" s="252">
        <f t="shared" ca="1" si="12"/>
      </c>
      <c r="N119" s="252">
        <f t="shared" si="13"/>
      </c>
      <c r="O119" s="252">
        <f t="shared" ca="1" si="14"/>
      </c>
      <c r="P119" s="78">
        <f>#REF!</f>
      </c>
      <c r="Q119" s="608">
        <f t="shared" si="15"/>
      </c>
      <c r="R119" s="609"/>
    </row>
    <row r="120" spans="1:18" ht="18" customHeight="1">
      <c r="A120" s="37"/>
      <c r="B120" s="175">
        <f>#REF!</f>
      </c>
      <c r="C120" s="233"/>
      <c r="D120" s="176">
        <f>IF(#REF!&lt;&gt;"",#REF!,IF(#REF!&lt;&gt;"",#REF!,""))</f>
      </c>
      <c r="E120" s="176"/>
      <c r="F120" s="176"/>
      <c r="G120" s="176"/>
      <c r="H120" s="176"/>
      <c r="I120" s="176"/>
      <c r="J120" s="252">
        <f>#REF!</f>
      </c>
      <c r="K120" s="252">
        <f ca="1">'rincian 6'!S97</f>
      </c>
      <c r="L120" s="252">
        <f>'rincian 6'!U97</f>
      </c>
      <c r="M120" s="252">
        <f t="shared" ca="1" si="12"/>
      </c>
      <c r="N120" s="252">
        <f t="shared" si="13"/>
      </c>
      <c r="O120" s="252">
        <f t="shared" ca="1" si="14"/>
      </c>
      <c r="P120" s="78">
        <f>#REF!</f>
      </c>
      <c r="Q120" s="608">
        <f t="shared" si="15"/>
      </c>
      <c r="R120" s="609"/>
    </row>
    <row r="121" spans="1:18" ht="18" customHeight="1">
      <c r="A121" s="37"/>
      <c r="B121" s="175">
        <f>#REF!</f>
      </c>
      <c r="C121" s="233"/>
      <c r="D121" s="176">
        <f>IF(#REF!&lt;&gt;"",#REF!,IF(#REF!&lt;&gt;"",#REF!,""))</f>
      </c>
      <c r="E121" s="176"/>
      <c r="F121" s="176"/>
      <c r="G121" s="176"/>
      <c r="H121" s="176"/>
      <c r="I121" s="176"/>
      <c r="J121" s="252">
        <f>#REF!</f>
      </c>
      <c r="K121" s="252">
        <f ca="1">'rincian 6'!S98</f>
      </c>
      <c r="L121" s="252">
        <f>'rincian 6'!U98</f>
      </c>
      <c r="M121" s="252">
        <f t="shared" ca="1" si="12"/>
      </c>
      <c r="N121" s="252">
        <f t="shared" si="13"/>
      </c>
      <c r="O121" s="252">
        <f t="shared" ca="1" si="14"/>
      </c>
      <c r="P121" s="78">
        <f>#REF!</f>
      </c>
      <c r="Q121" s="608">
        <f t="shared" si="15"/>
      </c>
      <c r="R121" s="609"/>
    </row>
    <row r="122" spans="1:18" ht="18" customHeight="1">
      <c r="A122" s="37"/>
      <c r="B122" s="404">
        <f>#REF!</f>
      </c>
      <c r="C122" s="233"/>
      <c r="D122" s="405">
        <f>IF(#REF!&lt;&gt;"",#REF!,IF(#REF!&lt;&gt;"",#REF!,""))</f>
      </c>
      <c r="E122" s="405"/>
      <c r="F122" s="405"/>
      <c r="G122" s="405"/>
      <c r="H122" s="405"/>
      <c r="I122" s="405"/>
      <c r="J122" s="252"/>
      <c r="K122" s="252"/>
      <c r="L122" s="252"/>
      <c r="M122" s="252"/>
      <c r="N122" s="252"/>
      <c r="O122" s="252"/>
      <c r="P122" s="78"/>
      <c r="Q122" s="624"/>
      <c r="R122" s="625"/>
    </row>
    <row r="123" spans="1:18" ht="18" customHeight="1">
      <c r="A123" s="37"/>
      <c r="B123" s="175">
        <f>#REF!</f>
      </c>
      <c r="C123" s="233"/>
      <c r="D123" s="176">
        <f>IF(#REF!&lt;&gt;"",#REF!,IF(#REF!&lt;&gt;"",#REF!,""))</f>
      </c>
      <c r="E123" s="176"/>
      <c r="F123" s="176"/>
      <c r="G123" s="176"/>
      <c r="H123" s="176"/>
      <c r="I123" s="176"/>
      <c r="J123" s="252"/>
      <c r="K123" s="252"/>
      <c r="L123" s="252"/>
      <c r="M123" s="252"/>
      <c r="N123" s="252"/>
      <c r="O123" s="252"/>
      <c r="P123" s="78"/>
      <c r="Q123" s="624"/>
      <c r="R123" s="625"/>
    </row>
    <row r="124" spans="1:18" ht="36" customHeight="1">
      <c r="A124" s="37"/>
      <c r="B124" s="175">
        <f>#REF!</f>
      </c>
      <c r="C124" s="233"/>
      <c r="D124" s="653">
        <f>IF(#REF!&lt;&gt;"",#REF!,IF(#REF!&lt;&gt;"",#REF!,""))</f>
      </c>
      <c r="E124" s="653"/>
      <c r="F124" s="653"/>
      <c r="G124" s="653"/>
      <c r="H124" s="653"/>
      <c r="I124" s="654"/>
      <c r="J124" s="252">
        <f>#REF!</f>
      </c>
      <c r="K124" s="252">
        <f ca="1">'rincian 6'!S101</f>
      </c>
      <c r="L124" s="252">
        <f>'rincian 6'!U101</f>
      </c>
      <c r="M124" s="252">
        <f ca="1">K124+L124</f>
      </c>
      <c r="N124" s="252">
        <f>L124</f>
      </c>
      <c r="O124" s="252">
        <f ca="1">J124-M124</f>
      </c>
      <c r="P124" s="78">
        <f>#REF!</f>
      </c>
      <c r="Q124" s="608">
        <f>N124*P124</f>
      </c>
      <c r="R124" s="609"/>
    </row>
    <row r="125" spans="1:18" ht="18" customHeight="1">
      <c r="A125" s="37"/>
      <c r="B125" s="175">
        <f>#REF!</f>
      </c>
      <c r="C125" s="233"/>
      <c r="D125" s="176">
        <f>IF(#REF!&lt;&gt;"",#REF!,IF(#REF!&lt;&gt;"",#REF!,""))</f>
      </c>
      <c r="E125" s="176"/>
      <c r="F125" s="176"/>
      <c r="G125" s="176"/>
      <c r="H125" s="176"/>
      <c r="I125" s="176"/>
      <c r="J125" s="252">
        <f>#REF!</f>
      </c>
      <c r="K125" s="252">
        <f ca="1">'rincian 6'!S102</f>
      </c>
      <c r="L125" s="252">
        <f>'rincian 6'!U102</f>
      </c>
      <c r="M125" s="252">
        <f ca="1">K125+L125</f>
      </c>
      <c r="N125" s="252">
        <f>L125</f>
      </c>
      <c r="O125" s="252">
        <f ca="1">J125-M125</f>
      </c>
      <c r="P125" s="78">
        <f>#REF!</f>
      </c>
      <c r="Q125" s="608">
        <f>N125*P125</f>
      </c>
      <c r="R125" s="609"/>
    </row>
    <row r="126" spans="1:18" ht="18" customHeight="1">
      <c r="A126" s="37"/>
      <c r="B126" s="175">
        <f>#REF!</f>
      </c>
      <c r="C126" s="233"/>
      <c r="D126" s="176">
        <f>IF(#REF!&lt;&gt;"",#REF!,IF(#REF!&lt;&gt;"",#REF!,""))</f>
      </c>
      <c r="E126" s="176"/>
      <c r="F126" s="176"/>
      <c r="G126" s="176"/>
      <c r="H126" s="176"/>
      <c r="I126" s="176"/>
      <c r="J126" s="252">
        <f>#REF!</f>
      </c>
      <c r="K126" s="252">
        <f ca="1">'rincian 6'!S103</f>
      </c>
      <c r="L126" s="252">
        <f>'rincian 6'!U103</f>
      </c>
      <c r="M126" s="252">
        <f ca="1">K126+L126</f>
      </c>
      <c r="N126" s="252">
        <f>L126</f>
      </c>
      <c r="O126" s="252">
        <f ca="1">J126-M126</f>
      </c>
      <c r="P126" s="78">
        <f>#REF!</f>
      </c>
      <c r="Q126" s="608">
        <f>N126*P126</f>
      </c>
      <c r="R126" s="609"/>
    </row>
    <row r="127" spans="1:18" ht="18" customHeight="1">
      <c r="A127" s="37"/>
      <c r="B127" s="175">
        <f>#REF!</f>
      </c>
      <c r="C127" s="233"/>
      <c r="D127" s="176">
        <f>IF(#REF!&lt;&gt;"",#REF!,IF(#REF!&lt;&gt;"",#REF!,""))</f>
      </c>
      <c r="E127" s="176"/>
      <c r="F127" s="176"/>
      <c r="G127" s="176"/>
      <c r="H127" s="176"/>
      <c r="I127" s="176"/>
      <c r="J127" s="252"/>
      <c r="K127" s="252"/>
      <c r="L127" s="252"/>
      <c r="M127" s="252"/>
      <c r="N127" s="252"/>
      <c r="O127" s="252"/>
      <c r="P127" s="78"/>
      <c r="Q127" s="624"/>
      <c r="R127" s="625"/>
    </row>
    <row r="128" spans="1:18" ht="18" customHeight="1">
      <c r="A128" s="37"/>
      <c r="B128" s="175">
        <f>#REF!</f>
      </c>
      <c r="C128" s="233"/>
      <c r="D128" s="176">
        <f>IF(#REF!&lt;&gt;"",#REF!,IF(#REF!&lt;&gt;"",#REF!,""))</f>
      </c>
      <c r="E128" s="176"/>
      <c r="F128" s="176"/>
      <c r="G128" s="176"/>
      <c r="H128" s="176"/>
      <c r="I128" s="176"/>
      <c r="J128" s="252">
        <f>#REF!</f>
      </c>
      <c r="K128" s="252">
        <f ca="1">'rincian 6'!S105</f>
      </c>
      <c r="L128" s="252">
        <f>'rincian 6'!U105</f>
      </c>
      <c r="M128" s="252">
        <f ca="1">K128+L128</f>
      </c>
      <c r="N128" s="252">
        <f>L128</f>
      </c>
      <c r="O128" s="252">
        <f ca="1">J128-M128</f>
      </c>
      <c r="P128" s="78">
        <f>#REF!</f>
      </c>
      <c r="Q128" s="608">
        <f>N128*P128</f>
      </c>
      <c r="R128" s="609"/>
    </row>
    <row r="129" spans="1:18" ht="18" customHeight="1">
      <c r="A129" s="37"/>
      <c r="B129" s="175">
        <f>#REF!</f>
      </c>
      <c r="C129" s="233"/>
      <c r="D129" s="176">
        <f>IF(#REF!&lt;&gt;"",#REF!,IF(#REF!&lt;&gt;"",#REF!,""))</f>
      </c>
      <c r="E129" s="176"/>
      <c r="F129" s="176"/>
      <c r="G129" s="176"/>
      <c r="H129" s="176"/>
      <c r="I129" s="176"/>
      <c r="J129" s="252">
        <f>#REF!</f>
      </c>
      <c r="K129" s="252">
        <f ca="1">'rincian 6'!S106</f>
      </c>
      <c r="L129" s="252">
        <f>'rincian 6'!U106</f>
      </c>
      <c r="M129" s="252">
        <f ca="1">K129+L129</f>
      </c>
      <c r="N129" s="252">
        <f>L129</f>
      </c>
      <c r="O129" s="252">
        <f ca="1">J129-M129</f>
      </c>
      <c r="P129" s="78">
        <f>#REF!</f>
      </c>
      <c r="Q129" s="608">
        <f>N129*P129</f>
      </c>
      <c r="R129" s="609"/>
    </row>
    <row r="130" spans="1:18" ht="18" customHeight="1">
      <c r="A130" s="37"/>
      <c r="B130" s="404">
        <f>#REF!</f>
      </c>
      <c r="C130" s="233"/>
      <c r="D130" s="405">
        <f>IF(#REF!&lt;&gt;"",#REF!,IF(#REF!&lt;&gt;"",#REF!,""))</f>
      </c>
      <c r="E130" s="405"/>
      <c r="F130" s="405"/>
      <c r="G130" s="405"/>
      <c r="H130" s="405"/>
      <c r="I130" s="405"/>
      <c r="J130" s="252"/>
      <c r="K130" s="252"/>
      <c r="L130" s="252"/>
      <c r="M130" s="252"/>
      <c r="N130" s="252"/>
      <c r="O130" s="252"/>
      <c r="P130" s="78"/>
      <c r="Q130" s="624"/>
      <c r="R130" s="625"/>
    </row>
    <row r="131" spans="1:18" ht="18" customHeight="1">
      <c r="A131" s="37"/>
      <c r="B131" s="175">
        <f>#REF!</f>
      </c>
      <c r="C131" s="233"/>
      <c r="D131" s="176">
        <f>IF(#REF!&lt;&gt;"",#REF!,IF(#REF!&lt;&gt;"",#REF!,""))</f>
      </c>
      <c r="E131" s="176"/>
      <c r="F131" s="176"/>
      <c r="G131" s="176"/>
      <c r="H131" s="176"/>
      <c r="I131" s="176"/>
      <c r="J131" s="252">
        <f>#REF!</f>
      </c>
      <c r="K131" s="252">
        <f ca="1">'rincian 6'!S108</f>
      </c>
      <c r="L131" s="252">
        <f>'rincian 6'!U108</f>
      </c>
      <c r="M131" s="252">
        <f ca="1">K131+L131</f>
      </c>
      <c r="N131" s="252">
        <f>L131</f>
      </c>
      <c r="O131" s="252">
        <f ca="1">J131-M131</f>
      </c>
      <c r="P131" s="78">
        <f>#REF!</f>
      </c>
      <c r="Q131" s="608">
        <f>N131*P131</f>
      </c>
      <c r="R131" s="609"/>
    </row>
    <row r="132" spans="1:18" ht="18" customHeight="1">
      <c r="A132" s="37"/>
      <c r="B132" s="175">
        <f>#REF!</f>
      </c>
      <c r="C132" s="233"/>
      <c r="D132" s="176">
        <f>IF(#REF!&lt;&gt;"",#REF!,IF(#REF!&lt;&gt;"",#REF!,""))</f>
      </c>
      <c r="E132" s="176"/>
      <c r="F132" s="176"/>
      <c r="G132" s="176"/>
      <c r="H132" s="176"/>
      <c r="I132" s="176"/>
      <c r="J132" s="252">
        <f>#REF!</f>
      </c>
      <c r="K132" s="252">
        <f ca="1">'rincian 6'!S109</f>
      </c>
      <c r="L132" s="252">
        <f>'rincian 6'!U109</f>
      </c>
      <c r="M132" s="252">
        <f ca="1">K132+L132</f>
      </c>
      <c r="N132" s="252">
        <f>L132</f>
      </c>
      <c r="O132" s="252">
        <f ca="1">J132-M132</f>
      </c>
      <c r="P132" s="78">
        <f>#REF!</f>
      </c>
      <c r="Q132" s="608">
        <f>N132*P132</f>
      </c>
      <c r="R132" s="609"/>
    </row>
    <row r="133" spans="1:18" ht="18" customHeight="1">
      <c r="A133" s="37"/>
      <c r="B133" s="404">
        <f>#REF!</f>
      </c>
      <c r="C133" s="233"/>
      <c r="D133" s="405">
        <f>IF(#REF!&lt;&gt;"",#REF!,IF(#REF!&lt;&gt;"",#REF!,""))</f>
      </c>
      <c r="E133" s="405"/>
      <c r="F133" s="405"/>
      <c r="G133" s="405"/>
      <c r="H133" s="405"/>
      <c r="I133" s="405"/>
      <c r="J133" s="252"/>
      <c r="K133" s="252"/>
      <c r="L133" s="252"/>
      <c r="M133" s="252"/>
      <c r="N133" s="252"/>
      <c r="O133" s="252"/>
      <c r="P133" s="78"/>
      <c r="Q133" s="624"/>
      <c r="R133" s="625"/>
    </row>
    <row r="134" spans="1:18" ht="18" customHeight="1">
      <c r="A134" s="37"/>
      <c r="B134" s="175">
        <f>#REF!</f>
      </c>
      <c r="C134" s="233"/>
      <c r="D134" s="176">
        <f>IF(#REF!&lt;&gt;"",#REF!,IF(#REF!&lt;&gt;"",#REF!,""))</f>
      </c>
      <c r="E134" s="176"/>
      <c r="F134" s="176"/>
      <c r="G134" s="176"/>
      <c r="H134" s="176"/>
      <c r="I134" s="176"/>
      <c r="J134" s="252">
        <f>#REF!</f>
      </c>
      <c r="K134" s="252">
        <f ca="1">'rincian 6'!S111</f>
      </c>
      <c r="L134" s="252">
        <f>'rincian 6'!U111</f>
      </c>
      <c r="M134" s="252">
        <f ca="1">K134+L134</f>
      </c>
      <c r="N134" s="252">
        <f>L134</f>
      </c>
      <c r="O134" s="252">
        <f ca="1">J134-M134</f>
      </c>
      <c r="P134" s="78">
        <f>#REF!</f>
      </c>
      <c r="Q134" s="608">
        <f>N134*P134</f>
      </c>
      <c r="R134" s="609"/>
    </row>
    <row r="135" spans="1:18" ht="18" customHeight="1">
      <c r="A135" s="37"/>
      <c r="B135" s="175">
        <f>#REF!</f>
      </c>
      <c r="C135" s="233"/>
      <c r="D135" s="176">
        <f>IF(#REF!&lt;&gt;"",#REF!,IF(#REF!&lt;&gt;"",#REF!,""))</f>
      </c>
      <c r="E135" s="176"/>
      <c r="F135" s="176"/>
      <c r="G135" s="176"/>
      <c r="H135" s="176"/>
      <c r="I135" s="176"/>
      <c r="J135" s="252">
        <f>#REF!</f>
      </c>
      <c r="K135" s="252">
        <f ca="1">'rincian 6'!S112</f>
      </c>
      <c r="L135" s="252">
        <f>'rincian 6'!U112</f>
      </c>
      <c r="M135" s="252">
        <f ca="1">K135+L135</f>
      </c>
      <c r="N135" s="252">
        <f>L135</f>
      </c>
      <c r="O135" s="252">
        <f ca="1">J135-M135</f>
      </c>
      <c r="P135" s="78">
        <f>#REF!</f>
      </c>
      <c r="Q135" s="608">
        <f>N135*P135</f>
      </c>
      <c r="R135" s="609"/>
    </row>
    <row r="136" spans="1:18" ht="18" customHeight="1">
      <c r="A136" s="37"/>
      <c r="B136" s="175">
        <f>#REF!</f>
      </c>
      <c r="C136" s="233"/>
      <c r="D136" s="176">
        <f>IF(#REF!&lt;&gt;"",#REF!,IF(#REF!&lt;&gt;"",#REF!,""))</f>
      </c>
      <c r="E136" s="176"/>
      <c r="F136" s="176"/>
      <c r="G136" s="176"/>
      <c r="H136" s="176"/>
      <c r="I136" s="176"/>
      <c r="J136" s="252">
        <f>#REF!</f>
      </c>
      <c r="K136" s="252">
        <f ca="1">'rincian 6'!S113</f>
      </c>
      <c r="L136" s="252">
        <f>'rincian 6'!U113</f>
      </c>
      <c r="M136" s="252">
        <f ca="1">K136+L136</f>
      </c>
      <c r="N136" s="252">
        <f>L136</f>
      </c>
      <c r="O136" s="252">
        <f ca="1">J136-M136</f>
      </c>
      <c r="P136" s="78">
        <f>#REF!</f>
      </c>
      <c r="Q136" s="608">
        <f>N136*P136</f>
      </c>
      <c r="R136" s="609"/>
    </row>
    <row r="137" spans="1:18" ht="18" customHeight="1">
      <c r="A137" s="37"/>
      <c r="B137" s="175">
        <f>#REF!</f>
      </c>
      <c r="C137" s="233"/>
      <c r="D137" s="176">
        <f>IF(#REF!&lt;&gt;"",#REF!,IF(#REF!&lt;&gt;"",#REF!,""))</f>
      </c>
      <c r="E137" s="176"/>
      <c r="F137" s="176"/>
      <c r="G137" s="176"/>
      <c r="H137" s="176"/>
      <c r="I137" s="176"/>
      <c r="J137" s="252">
        <f>#REF!</f>
      </c>
      <c r="K137" s="252">
        <f ca="1">'rincian 6'!S114</f>
      </c>
      <c r="L137" s="252">
        <f>'rincian 6'!U114</f>
      </c>
      <c r="M137" s="252">
        <f ca="1">K137+L137</f>
      </c>
      <c r="N137" s="252">
        <f>L137</f>
      </c>
      <c r="O137" s="252">
        <f ca="1">J137-M137</f>
      </c>
      <c r="P137" s="78">
        <f>#REF!</f>
      </c>
      <c r="Q137" s="608">
        <f>N137*P137</f>
      </c>
      <c r="R137" s="609"/>
    </row>
    <row r="138" spans="1:18" ht="18" customHeight="1">
      <c r="A138" s="37"/>
      <c r="B138" s="404">
        <f>#REF!</f>
      </c>
      <c r="C138" s="233"/>
      <c r="D138" s="405">
        <f>IF(#REF!&lt;&gt;"",#REF!,IF(#REF!&lt;&gt;"",#REF!,""))</f>
      </c>
      <c r="E138" s="405"/>
      <c r="F138" s="405"/>
      <c r="G138" s="405"/>
      <c r="H138" s="405"/>
      <c r="I138" s="405"/>
      <c r="J138" s="252"/>
      <c r="K138" s="252"/>
      <c r="L138" s="252"/>
      <c r="M138" s="252"/>
      <c r="N138" s="252"/>
      <c r="O138" s="252"/>
      <c r="P138" s="78"/>
      <c r="Q138" s="624"/>
      <c r="R138" s="625"/>
    </row>
    <row r="139" spans="1:18" ht="18" customHeight="1">
      <c r="A139" s="37"/>
      <c r="B139" s="175">
        <f>#REF!</f>
      </c>
      <c r="C139" s="233"/>
      <c r="D139" s="176">
        <f>IF(#REF!&lt;&gt;"",#REF!,IF(#REF!&lt;&gt;"",#REF!,""))</f>
      </c>
      <c r="E139" s="176"/>
      <c r="F139" s="176"/>
      <c r="G139" s="176"/>
      <c r="H139" s="176"/>
      <c r="I139" s="176"/>
      <c r="J139" s="252">
        <f>#REF!</f>
      </c>
      <c r="K139" s="252">
        <f ca="1">'rincian 6'!S116</f>
      </c>
      <c r="L139" s="252">
        <f>'rincian 6'!U116</f>
      </c>
      <c r="M139" s="252">
        <f ca="1">K139+L139</f>
      </c>
      <c r="N139" s="252">
        <f>L139</f>
      </c>
      <c r="O139" s="252">
        <f ca="1">J139-M139</f>
      </c>
      <c r="P139" s="78">
        <f>#REF!</f>
      </c>
      <c r="Q139" s="608">
        <f>N139*P139</f>
      </c>
      <c r="R139" s="609"/>
    </row>
    <row r="140" spans="1:18" ht="18" customHeight="1">
      <c r="A140" s="37"/>
      <c r="B140" s="175">
        <f>#REF!</f>
      </c>
      <c r="C140" s="233"/>
      <c r="D140" s="176">
        <f>IF(#REF!&lt;&gt;"",#REF!,IF(#REF!&lt;&gt;"",#REF!,""))</f>
      </c>
      <c r="E140" s="176"/>
      <c r="F140" s="176"/>
      <c r="G140" s="176"/>
      <c r="H140" s="176"/>
      <c r="I140" s="176"/>
      <c r="J140" s="252">
        <f>#REF!</f>
      </c>
      <c r="K140" s="252">
        <f ca="1">'rincian 6'!S117</f>
      </c>
      <c r="L140" s="252">
        <f>'rincian 6'!U117</f>
      </c>
      <c r="M140" s="252">
        <f ca="1">K140+L140</f>
      </c>
      <c r="N140" s="252">
        <f>L140</f>
      </c>
      <c r="O140" s="252">
        <f ca="1">J140-M140</f>
      </c>
      <c r="P140" s="78">
        <f>#REF!</f>
      </c>
      <c r="Q140" s="608">
        <f>N140*P140</f>
      </c>
      <c r="R140" s="609"/>
    </row>
    <row r="141" spans="1:18" ht="18" customHeight="1">
      <c r="A141" s="37"/>
      <c r="B141" s="404">
        <f>#REF!</f>
      </c>
      <c r="C141" s="233"/>
      <c r="D141" s="405">
        <f>IF(#REF!&lt;&gt;"",#REF!,IF(#REF!&lt;&gt;"",#REF!,""))</f>
      </c>
      <c r="E141" s="405"/>
      <c r="F141" s="405"/>
      <c r="G141" s="405"/>
      <c r="H141" s="405"/>
      <c r="I141" s="405"/>
      <c r="J141" s="252"/>
      <c r="K141" s="252"/>
      <c r="L141" s="252"/>
      <c r="M141" s="252"/>
      <c r="N141" s="252"/>
      <c r="O141" s="252"/>
      <c r="P141" s="78"/>
      <c r="Q141" s="624"/>
      <c r="R141" s="625"/>
    </row>
    <row r="142" spans="1:18" ht="18" customHeight="1">
      <c r="A142" s="37"/>
      <c r="B142" s="175">
        <f>#REF!</f>
      </c>
      <c r="C142" s="233"/>
      <c r="D142" s="176">
        <f>IF(#REF!&lt;&gt;"",#REF!,IF(#REF!&lt;&gt;"",#REF!,""))</f>
      </c>
      <c r="E142" s="176"/>
      <c r="F142" s="176"/>
      <c r="G142" s="176"/>
      <c r="H142" s="176"/>
      <c r="I142" s="176"/>
      <c r="J142" s="252">
        <f>#REF!</f>
      </c>
      <c r="K142" s="252">
        <f ca="1">'rincian 6'!S119</f>
      </c>
      <c r="L142" s="252">
        <f>'rincian 6'!U119</f>
      </c>
      <c r="M142" s="252">
        <f ca="1">K142+L142</f>
      </c>
      <c r="N142" s="252">
        <f>L142</f>
      </c>
      <c r="O142" s="252">
        <f ca="1">J142-M142</f>
      </c>
      <c r="P142" s="78">
        <f>#REF!</f>
      </c>
      <c r="Q142" s="608">
        <f>N142*P142</f>
      </c>
      <c r="R142" s="609"/>
    </row>
    <row r="143" spans="1:18" ht="18" customHeight="1">
      <c r="A143" s="37"/>
      <c r="B143" s="175">
        <f>#REF!</f>
      </c>
      <c r="C143" s="233"/>
      <c r="D143" s="176">
        <f>IF(#REF!&lt;&gt;"",#REF!,IF(#REF!&lt;&gt;"",#REF!,""))</f>
      </c>
      <c r="E143" s="176"/>
      <c r="F143" s="176"/>
      <c r="G143" s="176"/>
      <c r="H143" s="176"/>
      <c r="I143" s="176"/>
      <c r="J143" s="252">
        <f>#REF!</f>
      </c>
      <c r="K143" s="252">
        <f ca="1">'rincian 6'!S120</f>
      </c>
      <c r="L143" s="252">
        <f>'rincian 6'!U120</f>
      </c>
      <c r="M143" s="252">
        <f ca="1">K143+L143</f>
      </c>
      <c r="N143" s="252">
        <f>L143</f>
      </c>
      <c r="O143" s="252">
        <f ca="1">J143-M143</f>
      </c>
      <c r="P143" s="78">
        <f>#REF!</f>
      </c>
      <c r="Q143" s="608">
        <f>N143*P143</f>
      </c>
      <c r="R143" s="609"/>
    </row>
    <row r="144" spans="1:18" ht="18" customHeight="1">
      <c r="A144" s="37"/>
      <c r="B144" s="175">
        <f>#REF!</f>
      </c>
      <c r="C144" s="233"/>
      <c r="D144" s="176">
        <f>IF(#REF!&lt;&gt;"",#REF!,IF(#REF!&lt;&gt;"",#REF!,""))</f>
      </c>
      <c r="E144" s="176"/>
      <c r="F144" s="176"/>
      <c r="G144" s="176"/>
      <c r="H144" s="176"/>
      <c r="I144" s="176"/>
      <c r="J144" s="252">
        <f>#REF!</f>
      </c>
      <c r="K144" s="252">
        <f ca="1">'rincian 6'!S121</f>
      </c>
      <c r="L144" s="252">
        <f>'rincian 6'!U121</f>
      </c>
      <c r="M144" s="252">
        <f ca="1">K144+L144</f>
      </c>
      <c r="N144" s="252">
        <f>L144</f>
      </c>
      <c r="O144" s="252">
        <f ca="1">J144-M144</f>
      </c>
      <c r="P144" s="78">
        <f>#REF!</f>
      </c>
      <c r="Q144" s="608">
        <f>N144*P144</f>
      </c>
      <c r="R144" s="609"/>
    </row>
    <row r="145" spans="1:18" ht="18" customHeight="1">
      <c r="A145" s="37"/>
      <c r="B145" s="175">
        <f>#REF!</f>
      </c>
      <c r="C145" s="233"/>
      <c r="D145" s="176">
        <f>IF(#REF!&lt;&gt;"",#REF!,IF(#REF!&lt;&gt;"",#REF!,""))</f>
      </c>
      <c r="E145" s="176"/>
      <c r="F145" s="176"/>
      <c r="G145" s="176"/>
      <c r="H145" s="176"/>
      <c r="I145" s="176"/>
      <c r="J145" s="252">
        <f>#REF!</f>
      </c>
      <c r="K145" s="252">
        <f ca="1">'rincian 6'!S122</f>
      </c>
      <c r="L145" s="252">
        <f>'rincian 6'!U122</f>
      </c>
      <c r="M145" s="252">
        <f ca="1">K145+L145</f>
      </c>
      <c r="N145" s="252">
        <f>L145</f>
      </c>
      <c r="O145" s="252">
        <f ca="1">J145-M145</f>
      </c>
      <c r="P145" s="78">
        <f>#REF!</f>
      </c>
      <c r="Q145" s="608">
        <f>N145*P145</f>
      </c>
      <c r="R145" s="609"/>
    </row>
    <row r="146" spans="1:18" ht="18" customHeight="1">
      <c r="A146" s="37"/>
      <c r="B146" s="175">
        <f>#REF!</f>
      </c>
      <c r="C146" s="233"/>
      <c r="D146" s="176">
        <f>IF(#REF!&lt;&gt;"",#REF!,IF(#REF!&lt;&gt;"",#REF!,""))</f>
      </c>
      <c r="E146" s="176"/>
      <c r="F146" s="176"/>
      <c r="G146" s="176"/>
      <c r="H146" s="176"/>
      <c r="I146" s="176"/>
      <c r="J146" s="252">
        <f>#REF!</f>
      </c>
      <c r="K146" s="252">
        <f ca="1">'rincian 6'!S123</f>
      </c>
      <c r="L146" s="252">
        <f>'rincian 6'!U123</f>
      </c>
      <c r="M146" s="252">
        <f ca="1">K146+L146</f>
      </c>
      <c r="N146" s="252">
        <f>L146</f>
      </c>
      <c r="O146" s="252">
        <f ca="1">J146-M146</f>
      </c>
      <c r="P146" s="78">
        <f>#REF!</f>
      </c>
      <c r="Q146" s="608">
        <f>N146*P146</f>
      </c>
      <c r="R146" s="609"/>
    </row>
    <row r="147" spans="1:18" ht="18" customHeight="1">
      <c r="A147" s="37"/>
      <c r="B147" s="404">
        <f>#REF!</f>
      </c>
      <c r="C147" s="233"/>
      <c r="D147" s="405">
        <f>IF(#REF!&lt;&gt;"",#REF!,IF(#REF!&lt;&gt;"",#REF!,""))</f>
      </c>
      <c r="E147" s="405"/>
      <c r="F147" s="405"/>
      <c r="G147" s="405"/>
      <c r="H147" s="405"/>
      <c r="I147" s="405"/>
      <c r="J147" s="252"/>
      <c r="K147" s="252"/>
      <c r="L147" s="252"/>
      <c r="M147" s="252"/>
      <c r="N147" s="252"/>
      <c r="O147" s="252"/>
      <c r="P147" s="78"/>
      <c r="Q147" s="624"/>
      <c r="R147" s="625"/>
    </row>
    <row r="148" spans="1:18" ht="18" customHeight="1">
      <c r="A148" s="37"/>
      <c r="B148" s="175">
        <f>#REF!</f>
      </c>
      <c r="C148" s="233"/>
      <c r="D148" s="176">
        <f>IF(#REF!&lt;&gt;"",#REF!,IF(#REF!&lt;&gt;"",#REF!,""))</f>
      </c>
      <c r="E148" s="176"/>
      <c r="F148" s="176"/>
      <c r="G148" s="176"/>
      <c r="H148" s="176"/>
      <c r="I148" s="176"/>
      <c r="J148" s="252">
        <f>#REF!</f>
      </c>
      <c r="K148" s="252">
        <f ca="1">'rincian 6'!S125</f>
      </c>
      <c r="L148" s="252">
        <f>'rincian 6'!U125</f>
      </c>
      <c r="M148" s="252">
        <f ca="1">K148+L148</f>
      </c>
      <c r="N148" s="252">
        <f>L148</f>
      </c>
      <c r="O148" s="252">
        <f ca="1">J148-M148</f>
      </c>
      <c r="P148" s="78">
        <f>#REF!</f>
      </c>
      <c r="Q148" s="608">
        <f>N148*P148</f>
      </c>
      <c r="R148" s="609"/>
    </row>
    <row r="149" spans="1:18" ht="18" customHeight="1">
      <c r="A149" s="37"/>
      <c r="B149" s="175">
        <f>#REF!</f>
      </c>
      <c r="C149" s="233"/>
      <c r="D149" s="176">
        <f>IF(#REF!&lt;&gt;"",#REF!,IF(#REF!&lt;&gt;"",#REF!,""))</f>
      </c>
      <c r="E149" s="176"/>
      <c r="F149" s="176"/>
      <c r="G149" s="176"/>
      <c r="H149" s="176"/>
      <c r="I149" s="176"/>
      <c r="J149" s="252">
        <f>#REF!</f>
      </c>
      <c r="K149" s="252">
        <f ca="1">'rincian 6'!S126</f>
      </c>
      <c r="L149" s="252">
        <f>'rincian 6'!U126</f>
      </c>
      <c r="M149" s="252">
        <f ca="1">K149+L149</f>
      </c>
      <c r="N149" s="252">
        <f>L149</f>
      </c>
      <c r="O149" s="252">
        <f ca="1">J149-M149</f>
      </c>
      <c r="P149" s="78">
        <f>#REF!</f>
      </c>
      <c r="Q149" s="608">
        <f>N149*P149</f>
      </c>
      <c r="R149" s="609"/>
    </row>
    <row r="150" spans="1:18" ht="18" customHeight="1">
      <c r="A150" s="37"/>
      <c r="B150" s="404">
        <f>#REF!</f>
      </c>
      <c r="C150" s="233"/>
      <c r="D150" s="405">
        <f>IF(#REF!&lt;&gt;"",#REF!,IF(#REF!&lt;&gt;"",#REF!,""))</f>
      </c>
      <c r="E150" s="405"/>
      <c r="F150" s="405"/>
      <c r="G150" s="405"/>
      <c r="H150" s="405"/>
      <c r="I150" s="405"/>
      <c r="J150" s="252"/>
      <c r="K150" s="252"/>
      <c r="L150" s="252"/>
      <c r="M150" s="252"/>
      <c r="N150" s="252"/>
      <c r="O150" s="252"/>
      <c r="P150" s="78"/>
      <c r="Q150" s="624"/>
      <c r="R150" s="625"/>
    </row>
    <row r="151" spans="1:18" ht="18" customHeight="1">
      <c r="A151" s="37"/>
      <c r="B151" s="175">
        <f>#REF!</f>
      </c>
      <c r="C151" s="233"/>
      <c r="D151" s="176">
        <f>IF(#REF!&lt;&gt;"",#REF!,IF(#REF!&lt;&gt;"",#REF!,""))</f>
      </c>
      <c r="E151" s="176"/>
      <c r="F151" s="176"/>
      <c r="G151" s="176"/>
      <c r="H151" s="176"/>
      <c r="I151" s="176"/>
      <c r="J151" s="252">
        <f>#REF!</f>
      </c>
      <c r="K151" s="252">
        <f ca="1">'rincian 6'!S128</f>
      </c>
      <c r="L151" s="252">
        <f>'rincian 6'!U128</f>
      </c>
      <c r="M151" s="252">
        <f ca="1">K151+L151</f>
      </c>
      <c r="N151" s="252">
        <f>L151</f>
      </c>
      <c r="O151" s="252">
        <f ca="1">J151-M151</f>
      </c>
      <c r="P151" s="78">
        <f>#REF!</f>
      </c>
      <c r="Q151" s="608">
        <f>N151*P151</f>
      </c>
      <c r="R151" s="609"/>
    </row>
    <row r="152" spans="1:18" ht="18" customHeight="1">
      <c r="A152" s="37"/>
      <c r="B152" s="175">
        <f>#REF!</f>
      </c>
      <c r="C152" s="233"/>
      <c r="D152" s="176">
        <f>IF(#REF!&lt;&gt;"",#REF!,IF(#REF!&lt;&gt;"",#REF!,""))</f>
      </c>
      <c r="E152" s="176"/>
      <c r="F152" s="176"/>
      <c r="G152" s="176"/>
      <c r="H152" s="176"/>
      <c r="I152" s="176"/>
      <c r="J152" s="252">
        <f>#REF!</f>
      </c>
      <c r="K152" s="252">
        <f ca="1">'rincian 6'!S129</f>
      </c>
      <c r="L152" s="252">
        <f>'rincian 6'!U129</f>
      </c>
      <c r="M152" s="252">
        <f ca="1">K152+L152</f>
      </c>
      <c r="N152" s="252">
        <f>L152</f>
      </c>
      <c r="O152" s="252">
        <f ca="1">J152-M152</f>
      </c>
      <c r="P152" s="78">
        <f>#REF!</f>
      </c>
      <c r="Q152" s="608">
        <f>N152*P152</f>
      </c>
      <c r="R152" s="609"/>
    </row>
    <row r="153" spans="1:18" ht="18" customHeight="1">
      <c r="A153" s="37"/>
      <c r="B153" s="175">
        <f>#REF!</f>
      </c>
      <c r="C153" s="233"/>
      <c r="D153" s="176">
        <f>IF(#REF!&lt;&gt;"",#REF!,IF(#REF!&lt;&gt;"",#REF!,""))</f>
      </c>
      <c r="E153" s="176"/>
      <c r="F153" s="176"/>
      <c r="G153" s="176"/>
      <c r="H153" s="176"/>
      <c r="I153" s="176"/>
      <c r="J153" s="252">
        <f>#REF!</f>
      </c>
      <c r="K153" s="252">
        <f ca="1">'rincian 6'!S130</f>
      </c>
      <c r="L153" s="252">
        <f>'rincian 6'!U130</f>
      </c>
      <c r="M153" s="252">
        <f ca="1">K153+L153</f>
      </c>
      <c r="N153" s="252">
        <f>L153</f>
      </c>
      <c r="O153" s="252">
        <f ca="1">J153-M153</f>
      </c>
      <c r="P153" s="78">
        <f>#REF!</f>
      </c>
      <c r="Q153" s="608">
        <f>N153*P153</f>
      </c>
      <c r="R153" s="609"/>
    </row>
    <row r="154" spans="1:18" ht="18" customHeight="1">
      <c r="A154" s="37"/>
      <c r="B154" s="404">
        <f>#REF!</f>
      </c>
      <c r="C154" s="233"/>
      <c r="D154" s="405">
        <f>IF(#REF!&lt;&gt;"",#REF!,IF(#REF!&lt;&gt;"",#REF!,""))</f>
      </c>
      <c r="E154" s="405"/>
      <c r="F154" s="405"/>
      <c r="G154" s="405"/>
      <c r="H154" s="405"/>
      <c r="I154" s="405"/>
      <c r="J154" s="252"/>
      <c r="K154" s="252"/>
      <c r="L154" s="252"/>
      <c r="M154" s="252"/>
      <c r="N154" s="252"/>
      <c r="O154" s="252"/>
      <c r="P154" s="78"/>
      <c r="Q154" s="624"/>
      <c r="R154" s="625"/>
    </row>
    <row r="155" spans="1:18" ht="18" customHeight="1">
      <c r="A155" s="37"/>
      <c r="B155" s="175">
        <f>#REF!</f>
      </c>
      <c r="C155" s="233"/>
      <c r="D155" s="176">
        <f>IF(#REF!&lt;&gt;"",#REF!,IF(#REF!&lt;&gt;"",#REF!,""))</f>
      </c>
      <c r="E155" s="176"/>
      <c r="F155" s="176"/>
      <c r="G155" s="176"/>
      <c r="H155" s="176"/>
      <c r="I155" s="176"/>
      <c r="J155" s="252">
        <f>#REF!</f>
      </c>
      <c r="K155" s="252">
        <f ca="1">'rincian 6'!S132</f>
      </c>
      <c r="L155" s="252">
        <f>'rincian 6'!U132</f>
      </c>
      <c r="M155" s="252">
        <f ca="1">K155+L155</f>
      </c>
      <c r="N155" s="252">
        <f>L155</f>
      </c>
      <c r="O155" s="252">
        <f ca="1">J155-M155</f>
      </c>
      <c r="P155" s="78">
        <f>#REF!</f>
      </c>
      <c r="Q155" s="608">
        <f>N155*P155</f>
      </c>
      <c r="R155" s="609"/>
    </row>
    <row r="156" spans="1:18" ht="18" customHeight="1">
      <c r="A156" s="37"/>
      <c r="B156" s="175">
        <f>#REF!</f>
      </c>
      <c r="C156" s="233"/>
      <c r="D156" s="176">
        <f>IF(#REF!&lt;&gt;"",#REF!,IF(#REF!&lt;&gt;"",#REF!,""))</f>
      </c>
      <c r="E156" s="176"/>
      <c r="F156" s="176"/>
      <c r="G156" s="176"/>
      <c r="H156" s="176"/>
      <c r="I156" s="176"/>
      <c r="J156" s="252">
        <f>#REF!</f>
      </c>
      <c r="K156" s="252">
        <f ca="1">'rincian 6'!S133</f>
      </c>
      <c r="L156" s="252">
        <f>'rincian 6'!U133</f>
      </c>
      <c r="M156" s="252">
        <f ca="1">K156+L156</f>
      </c>
      <c r="N156" s="252">
        <f>L156</f>
      </c>
      <c r="O156" s="252">
        <f ca="1">J156-M156</f>
      </c>
      <c r="P156" s="78">
        <f>#REF!</f>
      </c>
      <c r="Q156" s="608">
        <f>N156*P156</f>
      </c>
      <c r="R156" s="609"/>
    </row>
    <row r="157" spans="1:18" ht="18" customHeight="1">
      <c r="A157" s="37"/>
      <c r="B157" s="404">
        <f>#REF!</f>
      </c>
      <c r="C157" s="233"/>
      <c r="D157" s="405">
        <f>IF(#REF!&lt;&gt;"",#REF!,IF(#REF!&lt;&gt;"",#REF!,""))</f>
      </c>
      <c r="E157" s="405"/>
      <c r="F157" s="405"/>
      <c r="G157" s="405"/>
      <c r="H157" s="405"/>
      <c r="I157" s="405"/>
      <c r="J157" s="252"/>
      <c r="K157" s="252"/>
      <c r="L157" s="252"/>
      <c r="M157" s="252"/>
      <c r="N157" s="252"/>
      <c r="O157" s="252"/>
      <c r="P157" s="78"/>
      <c r="Q157" s="624"/>
      <c r="R157" s="625"/>
    </row>
    <row r="158" spans="1:18" ht="18" customHeight="1">
      <c r="A158" s="37"/>
      <c r="B158" s="175">
        <f>#REF!</f>
      </c>
      <c r="C158" s="233"/>
      <c r="D158" s="176">
        <f>IF(#REF!&lt;&gt;"",#REF!,IF(#REF!&lt;&gt;"",#REF!,""))</f>
      </c>
      <c r="E158" s="176"/>
      <c r="F158" s="176"/>
      <c r="G158" s="176"/>
      <c r="H158" s="176"/>
      <c r="I158" s="176"/>
      <c r="J158" s="252">
        <f>#REF!</f>
      </c>
      <c r="K158" s="252">
        <f ca="1">'rincian 6'!S135</f>
      </c>
      <c r="L158" s="252">
        <f>'rincian 6'!U135</f>
      </c>
      <c r="M158" s="252">
        <f ca="1">K158+L158</f>
      </c>
      <c r="N158" s="252">
        <f>L158</f>
      </c>
      <c r="O158" s="252">
        <f ca="1">J158-M158</f>
      </c>
      <c r="P158" s="78">
        <f>#REF!</f>
      </c>
      <c r="Q158" s="608">
        <f>N158*P158</f>
      </c>
      <c r="R158" s="609"/>
    </row>
    <row r="159" spans="1:18" ht="18" customHeight="1">
      <c r="A159" s="37"/>
      <c r="B159" s="175">
        <f>#REF!</f>
      </c>
      <c r="C159" s="233"/>
      <c r="D159" s="176">
        <f>IF(#REF!&lt;&gt;"",#REF!,IF(#REF!&lt;&gt;"",#REF!,""))</f>
      </c>
      <c r="E159" s="176"/>
      <c r="F159" s="176"/>
      <c r="G159" s="176"/>
      <c r="H159" s="176"/>
      <c r="I159" s="176"/>
      <c r="J159" s="252">
        <f>#REF!</f>
      </c>
      <c r="K159" s="252">
        <f ca="1">'rincian 6'!S136</f>
      </c>
      <c r="L159" s="252">
        <f>'rincian 6'!U136</f>
      </c>
      <c r="M159" s="252">
        <f ca="1">K159+L159</f>
      </c>
      <c r="N159" s="252">
        <f>L159</f>
      </c>
      <c r="O159" s="252">
        <f ca="1">J159-M159</f>
      </c>
      <c r="P159" s="78">
        <f>#REF!</f>
      </c>
      <c r="Q159" s="608">
        <f>N159*P159</f>
      </c>
      <c r="R159" s="609"/>
    </row>
    <row r="160" spans="1:18" ht="18" customHeight="1">
      <c r="A160" s="37"/>
      <c r="B160" s="175">
        <f>#REF!</f>
      </c>
      <c r="C160" s="233"/>
      <c r="D160" s="176">
        <f>IF(#REF!&lt;&gt;"",#REF!,IF(#REF!&lt;&gt;"",#REF!,""))</f>
      </c>
      <c r="E160" s="176"/>
      <c r="F160" s="176"/>
      <c r="G160" s="176"/>
      <c r="H160" s="176"/>
      <c r="I160" s="176"/>
      <c r="J160" s="252">
        <f>#REF!</f>
      </c>
      <c r="K160" s="252">
        <f ca="1">'rincian 6'!S137</f>
      </c>
      <c r="L160" s="252">
        <f>'rincian 6'!U137</f>
      </c>
      <c r="M160" s="252">
        <f ca="1">K160+L160</f>
      </c>
      <c r="N160" s="252">
        <f>L160</f>
      </c>
      <c r="O160" s="252">
        <f ca="1">J160-M160</f>
      </c>
      <c r="P160" s="78">
        <f>#REF!</f>
      </c>
      <c r="Q160" s="608">
        <f>N160*P160</f>
      </c>
      <c r="R160" s="609"/>
    </row>
    <row r="161" spans="1:18" ht="18" customHeight="1">
      <c r="A161" s="37"/>
      <c r="B161" s="406">
        <f>#REF!</f>
      </c>
      <c r="C161" s="407"/>
      <c r="D161" s="408">
        <f>IF(#REF!&lt;&gt;"",#REF!,IF(#REF!&lt;&gt;"",#REF!,""))</f>
      </c>
      <c r="E161" s="408"/>
      <c r="F161" s="408"/>
      <c r="G161" s="408"/>
      <c r="H161" s="408"/>
      <c r="I161" s="408"/>
      <c r="J161" s="409"/>
      <c r="K161" s="409"/>
      <c r="L161" s="409"/>
      <c r="M161" s="409"/>
      <c r="N161" s="409"/>
      <c r="O161" s="409"/>
      <c r="P161" s="410"/>
      <c r="Q161" s="624"/>
      <c r="R161" s="625"/>
    </row>
    <row r="162" spans="1:18" ht="18" customHeight="1">
      <c r="A162" s="37"/>
      <c r="B162" s="404">
        <f>#REF!</f>
      </c>
      <c r="C162" s="233"/>
      <c r="D162" s="405">
        <f>IF(#REF!&lt;&gt;"",#REF!,IF(#REF!&lt;&gt;"",#REF!,""))</f>
      </c>
      <c r="E162" s="405"/>
      <c r="F162" s="405"/>
      <c r="G162" s="405"/>
      <c r="H162" s="405"/>
      <c r="I162" s="405"/>
      <c r="J162" s="252"/>
      <c r="K162" s="252"/>
      <c r="L162" s="252"/>
      <c r="M162" s="252"/>
      <c r="N162" s="252"/>
      <c r="O162" s="252"/>
      <c r="P162" s="78"/>
      <c r="Q162" s="624"/>
      <c r="R162" s="625"/>
    </row>
    <row r="163" spans="1:18" ht="18" customHeight="1">
      <c r="A163" s="37"/>
      <c r="B163" s="175">
        <f>#REF!</f>
      </c>
      <c r="C163" s="233"/>
      <c r="D163" s="176">
        <f>IF(#REF!&lt;&gt;"",#REF!,IF(#REF!&lt;&gt;"",#REF!,""))</f>
      </c>
      <c r="E163" s="176"/>
      <c r="F163" s="176"/>
      <c r="G163" s="176"/>
      <c r="H163" s="176"/>
      <c r="I163" s="176"/>
      <c r="J163" s="252">
        <f>#REF!</f>
      </c>
      <c r="K163" s="252">
        <f ca="1">'rincian 6'!S140</f>
      </c>
      <c r="L163" s="252">
        <f>'rincian 6'!U140</f>
      </c>
      <c r="M163" s="252">
        <f ca="1">K163+L163</f>
      </c>
      <c r="N163" s="252">
        <f>L163</f>
      </c>
      <c r="O163" s="252">
        <f ca="1">J163-M163</f>
      </c>
      <c r="P163" s="78">
        <f>#REF!</f>
      </c>
      <c r="Q163" s="608">
        <f>N163*P163</f>
      </c>
      <c r="R163" s="609"/>
    </row>
    <row r="164" spans="1:18" ht="18" customHeight="1">
      <c r="A164" s="37"/>
      <c r="B164" s="175">
        <f>#REF!</f>
      </c>
      <c r="C164" s="233"/>
      <c r="D164" s="176">
        <f>IF(#REF!&lt;&gt;"",#REF!,IF(#REF!&lt;&gt;"",#REF!,""))</f>
      </c>
      <c r="E164" s="176"/>
      <c r="F164" s="176"/>
      <c r="G164" s="176"/>
      <c r="H164" s="176"/>
      <c r="I164" s="176"/>
      <c r="J164" s="252">
        <f>#REF!</f>
      </c>
      <c r="K164" s="252">
        <f ca="1">'rincian 6'!S141</f>
      </c>
      <c r="L164" s="252">
        <f>'rincian 6'!U141</f>
      </c>
      <c r="M164" s="252">
        <f ca="1">K164+L164</f>
      </c>
      <c r="N164" s="252">
        <f>L164</f>
      </c>
      <c r="O164" s="252">
        <f ca="1">J164-M164</f>
      </c>
      <c r="P164" s="78">
        <f>#REF!</f>
      </c>
      <c r="Q164" s="608">
        <f>N164*P164</f>
      </c>
      <c r="R164" s="609"/>
    </row>
    <row r="165" spans="1:18" ht="18" customHeight="1">
      <c r="A165" s="37"/>
      <c r="B165" s="175">
        <f>#REF!</f>
      </c>
      <c r="C165" s="233"/>
      <c r="D165" s="176">
        <f>IF(#REF!&lt;&gt;"",#REF!,IF(#REF!&lt;&gt;"",#REF!,""))</f>
      </c>
      <c r="E165" s="176"/>
      <c r="F165" s="176"/>
      <c r="G165" s="176"/>
      <c r="H165" s="176"/>
      <c r="I165" s="176"/>
      <c r="J165" s="252">
        <f>#REF!</f>
      </c>
      <c r="K165" s="252">
        <f ca="1">'rincian 6'!S142</f>
      </c>
      <c r="L165" s="252">
        <f>'rincian 6'!U142</f>
      </c>
      <c r="M165" s="252">
        <f ca="1">K165+L165</f>
      </c>
      <c r="N165" s="252">
        <f>L165</f>
      </c>
      <c r="O165" s="252">
        <f ca="1">J165-M165</f>
      </c>
      <c r="P165" s="78">
        <f>#REF!</f>
      </c>
      <c r="Q165" s="608">
        <f>N165*P165</f>
      </c>
      <c r="R165" s="609"/>
    </row>
    <row r="166" spans="1:18" ht="18" customHeight="1">
      <c r="A166" s="37"/>
      <c r="B166" s="175">
        <f>#REF!</f>
      </c>
      <c r="C166" s="233"/>
      <c r="D166" s="176">
        <f>IF(#REF!&lt;&gt;"",#REF!,IF(#REF!&lt;&gt;"",#REF!,""))</f>
      </c>
      <c r="E166" s="176"/>
      <c r="F166" s="176"/>
      <c r="G166" s="176"/>
      <c r="H166" s="176"/>
      <c r="I166" s="176"/>
      <c r="J166" s="252">
        <f>#REF!</f>
      </c>
      <c r="K166" s="252">
        <f ca="1">'rincian 6'!S143</f>
      </c>
      <c r="L166" s="252">
        <f>'rincian 6'!U143</f>
      </c>
      <c r="M166" s="252">
        <f ca="1">K166+L166</f>
      </c>
      <c r="N166" s="252">
        <f>L166</f>
      </c>
      <c r="O166" s="252">
        <f ca="1">J166-M166</f>
      </c>
      <c r="P166" s="78">
        <f>#REF!</f>
      </c>
      <c r="Q166" s="608">
        <f>N166*P166</f>
      </c>
      <c r="R166" s="609"/>
    </row>
    <row r="167" spans="1:18" ht="18" customHeight="1">
      <c r="A167" s="37"/>
      <c r="B167" s="175">
        <f>#REF!</f>
      </c>
      <c r="C167" s="233"/>
      <c r="D167" s="176">
        <f>IF(#REF!&lt;&gt;"",#REF!,IF(#REF!&lt;&gt;"",#REF!,""))</f>
      </c>
      <c r="E167" s="176"/>
      <c r="F167" s="176"/>
      <c r="G167" s="176"/>
      <c r="H167" s="176"/>
      <c r="I167" s="176"/>
      <c r="J167" s="252"/>
      <c r="K167" s="252"/>
      <c r="L167" s="252"/>
      <c r="M167" s="252"/>
      <c r="N167" s="252"/>
      <c r="O167" s="252"/>
      <c r="P167" s="78"/>
      <c r="Q167" s="624"/>
      <c r="R167" s="625"/>
    </row>
    <row r="168" spans="1:18" ht="18" customHeight="1">
      <c r="A168" s="37"/>
      <c r="B168" s="175">
        <f>#REF!</f>
      </c>
      <c r="C168" s="233"/>
      <c r="D168" s="176">
        <f>IF(#REF!&lt;&gt;"",#REF!,IF(#REF!&lt;&gt;"",#REF!,""))</f>
      </c>
      <c r="E168" s="176"/>
      <c r="F168" s="176"/>
      <c r="G168" s="176"/>
      <c r="H168" s="176"/>
      <c r="I168" s="176"/>
      <c r="J168" s="252"/>
      <c r="K168" s="252"/>
      <c r="L168" s="252"/>
      <c r="M168" s="252"/>
      <c r="N168" s="252"/>
      <c r="O168" s="252"/>
      <c r="P168" s="78"/>
      <c r="Q168" s="624"/>
      <c r="R168" s="625"/>
    </row>
    <row r="169" spans="1:18" ht="36" customHeight="1">
      <c r="A169" s="37"/>
      <c r="B169" s="175">
        <f>#REF!</f>
      </c>
      <c r="C169" s="233"/>
      <c r="D169" s="653">
        <f>IF(#REF!&lt;&gt;"",#REF!,IF(#REF!&lt;&gt;"",#REF!,""))</f>
      </c>
      <c r="E169" s="653"/>
      <c r="F169" s="653"/>
      <c r="G169" s="653"/>
      <c r="H169" s="653"/>
      <c r="I169" s="654"/>
      <c r="J169" s="252"/>
      <c r="K169" s="252"/>
      <c r="L169" s="252"/>
      <c r="M169" s="252"/>
      <c r="N169" s="252"/>
      <c r="O169" s="252"/>
      <c r="P169" s="78"/>
      <c r="Q169" s="624"/>
      <c r="R169" s="625"/>
    </row>
    <row r="170" spans="1:18" ht="18" customHeight="1">
      <c r="A170" s="37"/>
      <c r="B170" s="175">
        <f>#REF!</f>
      </c>
      <c r="C170" s="233"/>
      <c r="D170" s="176">
        <f>IF(#REF!&lt;&gt;"",#REF!,IF(#REF!&lt;&gt;"",#REF!,""))</f>
      </c>
      <c r="E170" s="176"/>
      <c r="F170" s="176"/>
      <c r="G170" s="176"/>
      <c r="H170" s="176"/>
      <c r="I170" s="176"/>
      <c r="J170" s="252">
        <f>#REF!</f>
      </c>
      <c r="K170" s="252">
        <f ca="1">'rincian 6'!S147</f>
      </c>
      <c r="L170" s="252">
        <f>'rincian 6'!U147</f>
      </c>
      <c r="M170" s="252">
        <f ca="1">K170+L170</f>
      </c>
      <c r="N170" s="252">
        <f>L170</f>
      </c>
      <c r="O170" s="252">
        <f ca="1">J170-M170</f>
      </c>
      <c r="P170" s="78">
        <f>#REF!</f>
      </c>
      <c r="Q170" s="608">
        <f>N170*P170</f>
      </c>
      <c r="R170" s="609"/>
    </row>
    <row r="171" spans="1:18" ht="18" customHeight="1">
      <c r="A171" s="37"/>
      <c r="B171" s="175">
        <f>#REF!</f>
      </c>
      <c r="C171" s="233"/>
      <c r="D171" s="176">
        <f>IF(#REF!&lt;&gt;"",#REF!,IF(#REF!&lt;&gt;"",#REF!,""))</f>
      </c>
      <c r="E171" s="176"/>
      <c r="F171" s="176"/>
      <c r="G171" s="176"/>
      <c r="H171" s="176"/>
      <c r="I171" s="176"/>
      <c r="J171" s="252"/>
      <c r="K171" s="252"/>
      <c r="L171" s="252"/>
      <c r="M171" s="252"/>
      <c r="N171" s="252"/>
      <c r="O171" s="252"/>
      <c r="P171" s="78"/>
      <c r="Q171" s="624"/>
      <c r="R171" s="625"/>
    </row>
    <row r="172" spans="1:18" ht="18" customHeight="1">
      <c r="A172" s="37"/>
      <c r="B172" s="175">
        <f>#REF!</f>
      </c>
      <c r="C172" s="233"/>
      <c r="D172" s="176">
        <f>IF(#REF!&lt;&gt;"",#REF!,IF(#REF!&lt;&gt;"",#REF!,""))</f>
      </c>
      <c r="E172" s="176"/>
      <c r="F172" s="176"/>
      <c r="G172" s="176"/>
      <c r="H172" s="176"/>
      <c r="I172" s="176"/>
      <c r="J172" s="252"/>
      <c r="K172" s="252"/>
      <c r="L172" s="252"/>
      <c r="M172" s="252"/>
      <c r="N172" s="252"/>
      <c r="O172" s="252"/>
      <c r="P172" s="78"/>
      <c r="Q172" s="624"/>
      <c r="R172" s="625"/>
    </row>
    <row r="173" spans="1:18" ht="18" customHeight="1">
      <c r="A173" s="37"/>
      <c r="B173" s="175">
        <f>#REF!</f>
      </c>
      <c r="C173" s="233"/>
      <c r="D173" s="176">
        <f>IF(#REF!&lt;&gt;"",#REF!,IF(#REF!&lt;&gt;"",#REF!,""))</f>
      </c>
      <c r="E173" s="176"/>
      <c r="F173" s="176"/>
      <c r="G173" s="176"/>
      <c r="H173" s="176"/>
      <c r="I173" s="176"/>
      <c r="J173" s="252"/>
      <c r="K173" s="252"/>
      <c r="L173" s="252"/>
      <c r="M173" s="252"/>
      <c r="N173" s="252"/>
      <c r="O173" s="252"/>
      <c r="P173" s="78"/>
      <c r="Q173" s="624"/>
      <c r="R173" s="625"/>
    </row>
    <row r="174" spans="1:18" ht="18" customHeight="1">
      <c r="A174" s="37"/>
      <c r="B174" s="175">
        <f>#REF!</f>
      </c>
      <c r="C174" s="233"/>
      <c r="D174" s="176">
        <f>IF(#REF!&lt;&gt;"",#REF!,IF(#REF!&lt;&gt;"",#REF!,""))</f>
      </c>
      <c r="E174" s="176"/>
      <c r="F174" s="176"/>
      <c r="G174" s="176"/>
      <c r="H174" s="176"/>
      <c r="I174" s="176"/>
      <c r="J174" s="252"/>
      <c r="K174" s="252"/>
      <c r="L174" s="252"/>
      <c r="M174" s="252"/>
      <c r="N174" s="252"/>
      <c r="O174" s="252"/>
      <c r="P174" s="78"/>
      <c r="Q174" s="624"/>
      <c r="R174" s="625"/>
    </row>
    <row r="175" spans="1:18" ht="18" customHeight="1">
      <c r="A175" s="37"/>
      <c r="B175" s="175">
        <f>#REF!</f>
      </c>
      <c r="C175" s="233"/>
      <c r="D175" s="176">
        <f>IF(#REF!&lt;&gt;"",#REF!,IF(#REF!&lt;&gt;"",#REF!,""))</f>
      </c>
      <c r="E175" s="176"/>
      <c r="F175" s="176"/>
      <c r="G175" s="176"/>
      <c r="H175" s="176"/>
      <c r="I175" s="176"/>
      <c r="J175" s="252">
        <f>#REF!</f>
      </c>
      <c r="K175" s="252">
        <f ca="1">'rincian 6'!S152</f>
      </c>
      <c r="L175" s="252">
        <f>'rincian 6'!U152</f>
      </c>
      <c r="M175" s="252">
        <f ca="1">K175+L175</f>
      </c>
      <c r="N175" s="252">
        <f>L175</f>
      </c>
      <c r="O175" s="252">
        <f ca="1">J175-M175</f>
      </c>
      <c r="P175" s="78">
        <f>#REF!</f>
      </c>
      <c r="Q175" s="608">
        <f>N175*P175</f>
      </c>
      <c r="R175" s="609"/>
    </row>
    <row r="176" spans="1:18" ht="18" customHeight="1">
      <c r="A176" s="37"/>
      <c r="B176" s="404">
        <f>#REF!</f>
      </c>
      <c r="C176" s="233"/>
      <c r="D176" s="405">
        <f>IF(#REF!&lt;&gt;"",#REF!,IF(#REF!&lt;&gt;"",#REF!,""))</f>
      </c>
      <c r="E176" s="405"/>
      <c r="F176" s="405"/>
      <c r="G176" s="405"/>
      <c r="H176" s="405"/>
      <c r="I176" s="405"/>
      <c r="J176" s="252"/>
      <c r="K176" s="252"/>
      <c r="L176" s="252"/>
      <c r="M176" s="252"/>
      <c r="N176" s="252"/>
      <c r="O176" s="252"/>
      <c r="P176" s="78"/>
      <c r="Q176" s="624"/>
      <c r="R176" s="625"/>
    </row>
    <row r="177" spans="1:18" ht="18" customHeight="1">
      <c r="A177" s="37"/>
      <c r="B177" s="175">
        <f>#REF!</f>
      </c>
      <c r="C177" s="233"/>
      <c r="D177" s="176">
        <f>IF(#REF!&lt;&gt;"",#REF!,IF(#REF!&lt;&gt;"",#REF!,""))</f>
      </c>
      <c r="E177" s="176"/>
      <c r="F177" s="176"/>
      <c r="G177" s="176"/>
      <c r="H177" s="176"/>
      <c r="I177" s="176"/>
      <c r="J177" s="252">
        <f>#REF!</f>
      </c>
      <c r="K177" s="252">
        <f ca="1">'rincian 6'!S154</f>
      </c>
      <c r="L177" s="252">
        <f>'rincian 6'!U154</f>
      </c>
      <c r="M177" s="252">
        <f ca="1">K177+L177</f>
      </c>
      <c r="N177" s="252">
        <f>L177</f>
      </c>
      <c r="O177" s="252">
        <f ca="1">J177-M177</f>
      </c>
      <c r="P177" s="78">
        <f>#REF!</f>
      </c>
      <c r="Q177" s="608">
        <f>N177*P177</f>
      </c>
      <c r="R177" s="609"/>
    </row>
    <row r="178" spans="1:18" ht="18" customHeight="1">
      <c r="A178" s="37"/>
      <c r="B178" s="175">
        <f>#REF!</f>
      </c>
      <c r="C178" s="233"/>
      <c r="D178" s="176">
        <f>IF(#REF!&lt;&gt;"",#REF!,IF(#REF!&lt;&gt;"",#REF!,""))</f>
      </c>
      <c r="E178" s="176"/>
      <c r="F178" s="176"/>
      <c r="G178" s="176"/>
      <c r="H178" s="176"/>
      <c r="I178" s="176"/>
      <c r="J178" s="252">
        <f>#REF!</f>
      </c>
      <c r="K178" s="252">
        <f ca="1">'rincian 6'!S155</f>
      </c>
      <c r="L178" s="252">
        <f>'rincian 6'!U155</f>
      </c>
      <c r="M178" s="252">
        <f ca="1">K178+L178</f>
      </c>
      <c r="N178" s="252">
        <f>L178</f>
      </c>
      <c r="O178" s="252">
        <f ca="1">J178-M178</f>
      </c>
      <c r="P178" s="78">
        <f>#REF!</f>
      </c>
      <c r="Q178" s="608">
        <f>N178*P178</f>
      </c>
      <c r="R178" s="609"/>
    </row>
    <row r="179" spans="1:18" ht="18" customHeight="1">
      <c r="A179" s="37"/>
      <c r="B179" s="175">
        <f>#REF!</f>
      </c>
      <c r="C179" s="233"/>
      <c r="D179" s="176">
        <f>IF(#REF!&lt;&gt;"",#REF!,IF(#REF!&lt;&gt;"",#REF!,""))</f>
      </c>
      <c r="E179" s="176"/>
      <c r="F179" s="176"/>
      <c r="G179" s="176"/>
      <c r="H179" s="176"/>
      <c r="I179" s="176"/>
      <c r="J179" s="252"/>
      <c r="K179" s="252"/>
      <c r="L179" s="252"/>
      <c r="M179" s="252"/>
      <c r="N179" s="252"/>
      <c r="O179" s="252"/>
      <c r="P179" s="78"/>
      <c r="Q179" s="624"/>
      <c r="R179" s="625"/>
    </row>
    <row r="180" spans="1:18" ht="18" customHeight="1">
      <c r="A180" s="37"/>
      <c r="B180" s="175">
        <f>#REF!</f>
      </c>
      <c r="C180" s="233"/>
      <c r="D180" s="176">
        <f>IF(#REF!&lt;&gt;"",#REF!,IF(#REF!&lt;&gt;"",#REF!,""))</f>
      </c>
      <c r="E180" s="176"/>
      <c r="F180" s="176"/>
      <c r="G180" s="176"/>
      <c r="H180" s="176"/>
      <c r="I180" s="176"/>
      <c r="J180" s="252"/>
      <c r="K180" s="252"/>
      <c r="L180" s="252"/>
      <c r="M180" s="252"/>
      <c r="N180" s="252"/>
      <c r="O180" s="252"/>
      <c r="P180" s="78"/>
      <c r="Q180" s="624"/>
      <c r="R180" s="625"/>
    </row>
    <row r="181" spans="1:18" ht="18" customHeight="1">
      <c r="A181" s="37"/>
      <c r="B181" s="175">
        <f>#REF!</f>
      </c>
      <c r="C181" s="233"/>
      <c r="D181" s="176">
        <f>IF(#REF!&lt;&gt;"",#REF!,IF(#REF!&lt;&gt;"",#REF!,""))</f>
      </c>
      <c r="E181" s="176"/>
      <c r="F181" s="176"/>
      <c r="G181" s="176"/>
      <c r="H181" s="176"/>
      <c r="I181" s="176"/>
      <c r="J181" s="252"/>
      <c r="K181" s="252"/>
      <c r="L181" s="252"/>
      <c r="M181" s="252"/>
      <c r="N181" s="252"/>
      <c r="O181" s="252"/>
      <c r="P181" s="78"/>
      <c r="Q181" s="624"/>
      <c r="R181" s="625"/>
    </row>
    <row r="182" spans="1:18" ht="18" customHeight="1">
      <c r="A182" s="37"/>
      <c r="B182" s="175">
        <f>#REF!</f>
      </c>
      <c r="C182" s="233"/>
      <c r="D182" s="176">
        <f>IF(#REF!&lt;&gt;"",#REF!,IF(#REF!&lt;&gt;"",#REF!,""))</f>
      </c>
      <c r="E182" s="176"/>
      <c r="F182" s="176"/>
      <c r="G182" s="176"/>
      <c r="H182" s="176"/>
      <c r="I182" s="176"/>
      <c r="J182" s="252">
        <f>#REF!</f>
      </c>
      <c r="K182" s="252">
        <f ca="1">'rincian 6'!S159</f>
      </c>
      <c r="L182" s="252">
        <f>'rincian 6'!U159</f>
      </c>
      <c r="M182" s="252">
        <f ca="1">K182+L182</f>
      </c>
      <c r="N182" s="252">
        <f>L182</f>
      </c>
      <c r="O182" s="252">
        <f ca="1">J182-M182</f>
      </c>
      <c r="P182" s="78">
        <f>#REF!</f>
      </c>
      <c r="Q182" s="608">
        <f>N182*P182</f>
      </c>
      <c r="R182" s="609"/>
    </row>
    <row r="183" spans="1:18" ht="18" customHeight="1">
      <c r="A183" s="37"/>
      <c r="B183" s="175">
        <f>#REF!</f>
      </c>
      <c r="C183" s="233"/>
      <c r="D183" s="176">
        <f>IF(#REF!&lt;&gt;"",#REF!,IF(#REF!&lt;&gt;"",#REF!,""))</f>
      </c>
      <c r="E183" s="176"/>
      <c r="F183" s="176"/>
      <c r="G183" s="176"/>
      <c r="H183" s="176"/>
      <c r="I183" s="176"/>
      <c r="J183" s="252"/>
      <c r="K183" s="252"/>
      <c r="L183" s="252"/>
      <c r="M183" s="252"/>
      <c r="N183" s="252"/>
      <c r="O183" s="252"/>
      <c r="P183" s="78"/>
      <c r="Q183" s="624"/>
      <c r="R183" s="625"/>
    </row>
    <row r="184" spans="1:18" ht="18" customHeight="1">
      <c r="A184" s="37"/>
      <c r="B184" s="175">
        <f>#REF!</f>
      </c>
      <c r="C184" s="233"/>
      <c r="D184" s="176">
        <f>IF(#REF!&lt;&gt;"",#REF!,IF(#REF!&lt;&gt;"",#REF!,""))</f>
      </c>
      <c r="E184" s="176"/>
      <c r="F184" s="176"/>
      <c r="G184" s="176"/>
      <c r="H184" s="176"/>
      <c r="I184" s="176"/>
      <c r="J184" s="252"/>
      <c r="K184" s="252"/>
      <c r="L184" s="252"/>
      <c r="M184" s="252"/>
      <c r="N184" s="252"/>
      <c r="O184" s="252"/>
      <c r="P184" s="78"/>
      <c r="Q184" s="624"/>
      <c r="R184" s="625"/>
    </row>
    <row r="185" spans="1:18" ht="18" customHeight="1">
      <c r="A185" s="37"/>
      <c r="B185" s="175">
        <f>#REF!</f>
      </c>
      <c r="C185" s="233"/>
      <c r="D185" s="176">
        <f>IF(#REF!&lt;&gt;"",#REF!,IF(#REF!&lt;&gt;"",#REF!,""))</f>
      </c>
      <c r="E185" s="176"/>
      <c r="F185" s="176"/>
      <c r="G185" s="176"/>
      <c r="H185" s="176"/>
      <c r="I185" s="176"/>
      <c r="J185" s="252">
        <f>#REF!</f>
      </c>
      <c r="K185" s="252">
        <f ca="1">'rincian 6'!S162</f>
      </c>
      <c r="L185" s="252">
        <f>'rincian 6'!U162</f>
      </c>
      <c r="M185" s="252">
        <f ca="1">K185+L185</f>
      </c>
      <c r="N185" s="252">
        <f>L185</f>
      </c>
      <c r="O185" s="252">
        <f ca="1">J185-M185</f>
      </c>
      <c r="P185" s="78">
        <f>#REF!</f>
      </c>
      <c r="Q185" s="608">
        <f>N185*P185</f>
      </c>
      <c r="R185" s="609"/>
    </row>
    <row r="186" spans="1:18" ht="18" customHeight="1">
      <c r="A186" s="37"/>
      <c r="B186" s="175">
        <f>#REF!</f>
      </c>
      <c r="C186" s="233"/>
      <c r="D186" s="176">
        <f>IF(#REF!&lt;&gt;"",#REF!,IF(#REF!&lt;&gt;"",#REF!,""))</f>
      </c>
      <c r="E186" s="176"/>
      <c r="F186" s="176"/>
      <c r="G186" s="176"/>
      <c r="H186" s="176"/>
      <c r="I186" s="176"/>
      <c r="J186" s="252">
        <f>#REF!</f>
      </c>
      <c r="K186" s="252">
        <f ca="1">'rincian 6'!S163</f>
      </c>
      <c r="L186" s="252">
        <f>'rincian 6'!U163</f>
      </c>
      <c r="M186" s="252">
        <f ca="1">K186+L186</f>
      </c>
      <c r="N186" s="252">
        <f>L186</f>
      </c>
      <c r="O186" s="252">
        <f ca="1">J186-M186</f>
      </c>
      <c r="P186" s="78">
        <f>#REF!</f>
      </c>
      <c r="Q186" s="608">
        <f>N186*P186</f>
      </c>
      <c r="R186" s="609"/>
    </row>
    <row r="187" spans="1:18" ht="18" customHeight="1">
      <c r="A187" s="37"/>
      <c r="B187" s="175">
        <f>#REF!</f>
      </c>
      <c r="C187" s="233"/>
      <c r="D187" s="176">
        <f>IF(#REF!&lt;&gt;"",#REF!,IF(#REF!&lt;&gt;"",#REF!,""))</f>
      </c>
      <c r="E187" s="176"/>
      <c r="F187" s="176"/>
      <c r="G187" s="176"/>
      <c r="H187" s="176"/>
      <c r="I187" s="176"/>
      <c r="J187" s="252">
        <f>#REF!</f>
      </c>
      <c r="K187" s="252">
        <f ca="1">'rincian 6'!S164</f>
      </c>
      <c r="L187" s="252">
        <f>'rincian 6'!U164</f>
      </c>
      <c r="M187" s="252">
        <f ca="1">K187+L187</f>
      </c>
      <c r="N187" s="252">
        <f>L187</f>
      </c>
      <c r="O187" s="252">
        <f ca="1">J187-M187</f>
      </c>
      <c r="P187" s="78">
        <f>#REF!</f>
      </c>
      <c r="Q187" s="608">
        <f>N187*P187</f>
      </c>
      <c r="R187" s="609"/>
    </row>
    <row r="188" spans="1:18">
      <c r="B188" s="178"/>
      <c r="C188" s="177"/>
      <c r="D188" s="176"/>
      <c r="E188" s="176"/>
      <c r="F188" s="176"/>
      <c r="G188" s="176"/>
      <c r="H188" s="176"/>
      <c r="I188" s="176"/>
      <c r="J188" s="78"/>
      <c r="K188" s="78"/>
      <c r="L188" s="78"/>
      <c r="M188" s="78"/>
      <c r="N188" s="78"/>
      <c r="O188" s="78"/>
      <c r="P188" s="78"/>
      <c r="Q188" s="626"/>
      <c r="R188" s="627"/>
    </row>
    <row r="189" spans="1:18">
      <c r="B189" s="179"/>
      <c r="C189" s="65"/>
      <c r="D189" s="180" t="s">
        <v>123</v>
      </c>
      <c r="E189" s="180"/>
      <c r="F189" s="180"/>
      <c r="G189" s="180"/>
      <c r="H189" s="180"/>
      <c r="I189" s="180"/>
      <c r="J189" s="65"/>
      <c r="K189" s="65"/>
      <c r="L189" s="65"/>
      <c r="M189" s="65"/>
      <c r="N189" s="65"/>
      <c r="O189" s="65"/>
      <c r="P189" s="65"/>
      <c r="Q189" s="628">
        <f>SUM(Q35:Q187)</f>
      </c>
      <c r="R189" s="629"/>
    </row>
    <row r="190" spans="1:18" ht="7.5" customHeight="1">
      <c r="B190" s="181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2"/>
    </row>
    <row r="191" spans="1:18">
      <c r="B191" s="183"/>
      <c r="C191" s="184" t="s">
        <v>124</v>
      </c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2"/>
    </row>
    <row r="192" spans="1:18" ht="17.399999999999999">
      <c r="B192" s="183"/>
      <c r="C192" s="184">
        <v>1</v>
      </c>
      <c r="D192" s="184" t="s">
        <v>125</v>
      </c>
      <c r="E192" s="184"/>
      <c r="F192" s="184"/>
      <c r="G192" s="184"/>
      <c r="H192" s="184"/>
      <c r="I192" s="184"/>
      <c r="J192" s="184" t="s">
        <v>2</v>
      </c>
      <c r="K192" s="185">
        <f ca="1">'rincian 6'!X166</f>
      </c>
      <c r="L192" s="184"/>
      <c r="M192" s="186" t="s">
        <v>126</v>
      </c>
      <c r="N192" s="612">
        <f ca="1">K192*$I$24</f>
      </c>
      <c r="O192" s="612"/>
      <c r="P192" s="187" t="s">
        <v>127</v>
      </c>
      <c r="Q192" s="184"/>
      <c r="R192" s="182"/>
    </row>
    <row r="193" spans="2:21" ht="17.399999999999999">
      <c r="B193" s="183"/>
      <c r="C193" s="184">
        <v>2</v>
      </c>
      <c r="D193" s="184" t="s">
        <v>128</v>
      </c>
      <c r="E193" s="184"/>
      <c r="F193" s="184"/>
      <c r="G193" s="184"/>
      <c r="H193" s="184"/>
      <c r="I193" s="184"/>
      <c r="J193" s="184" t="s">
        <v>2</v>
      </c>
      <c r="K193" s="185">
        <f ca="1">'rincian 6'!T166</f>
      </c>
      <c r="L193" s="184"/>
      <c r="M193" s="186" t="s">
        <v>126</v>
      </c>
      <c r="N193" s="612">
        <f ca="1">K193*$I$24</f>
      </c>
      <c r="O193" s="612"/>
      <c r="P193" s="187" t="s">
        <v>129</v>
      </c>
      <c r="Q193" s="184"/>
      <c r="R193" s="182"/>
    </row>
    <row r="194" spans="2:21">
      <c r="B194" s="183"/>
      <c r="C194" s="184">
        <v>3</v>
      </c>
      <c r="D194" s="184" t="s">
        <v>130</v>
      </c>
      <c r="E194" s="184"/>
      <c r="F194" s="184"/>
      <c r="G194" s="184"/>
      <c r="H194" s="184"/>
      <c r="I194" s="184"/>
      <c r="J194" s="184" t="s">
        <v>2</v>
      </c>
      <c r="K194" s="185">
        <f t="shared" ref="K194:K197" ca="1" si="16">N194/$I$24</f>
      </c>
      <c r="L194" s="184"/>
      <c r="M194" s="188" t="s">
        <v>126</v>
      </c>
      <c r="N194" s="610">
        <f ca="1">N192-N193</f>
      </c>
      <c r="O194" s="610"/>
      <c r="P194" s="184"/>
      <c r="Q194" s="184"/>
      <c r="R194" s="182"/>
    </row>
    <row r="195" spans="2:21">
      <c r="B195" s="183"/>
      <c r="C195" s="184">
        <v>4</v>
      </c>
      <c r="D195" s="184" t="s">
        <v>131</v>
      </c>
      <c r="E195" s="184"/>
      <c r="F195" s="184"/>
      <c r="G195" s="184"/>
      <c r="H195" s="184"/>
      <c r="I195" s="184"/>
      <c r="J195" s="184"/>
      <c r="K195" s="223">
        <f ca="1">K192*100</f>
      </c>
      <c r="L195" s="184"/>
      <c r="M195" s="184"/>
      <c r="N195" s="184"/>
      <c r="O195" s="184"/>
      <c r="P195" s="184"/>
      <c r="Q195" s="184"/>
      <c r="R195" s="182"/>
    </row>
    <row r="196" spans="2:21" ht="17.399999999999999">
      <c r="B196" s="183"/>
      <c r="C196" s="184"/>
      <c r="D196" s="184" t="s">
        <v>132</v>
      </c>
      <c r="E196" s="184"/>
      <c r="F196" s="184"/>
      <c r="G196" s="184"/>
      <c r="H196" s="184"/>
      <c r="I196" s="184"/>
      <c r="J196" s="184" t="s">
        <v>2</v>
      </c>
      <c r="K196" s="185">
        <f t="shared" si="16"/>
      </c>
      <c r="L196" s="184"/>
      <c r="M196" s="186" t="s">
        <v>126</v>
      </c>
      <c r="N196" s="611">
        <v>0</v>
      </c>
      <c r="O196" s="611"/>
      <c r="P196" s="187" t="s">
        <v>129</v>
      </c>
      <c r="Q196" s="184"/>
      <c r="R196" s="182"/>
    </row>
    <row r="197" spans="2:21" ht="17.399999999999999">
      <c r="B197" s="183"/>
      <c r="C197" s="184"/>
      <c r="D197" s="184" t="s">
        <v>136</v>
      </c>
      <c r="E197" s="184"/>
      <c r="F197" s="184"/>
      <c r="G197" s="184"/>
      <c r="H197" s="184"/>
      <c r="I197" s="184"/>
      <c r="J197" s="184" t="s">
        <v>2</v>
      </c>
      <c r="K197" s="185">
        <f t="shared" si="16"/>
      </c>
      <c r="L197" s="184"/>
      <c r="M197" s="186" t="s">
        <v>126</v>
      </c>
      <c r="N197" s="613">
        <v>0</v>
      </c>
      <c r="O197" s="613"/>
      <c r="P197" s="187" t="s">
        <v>129</v>
      </c>
      <c r="Q197" s="184"/>
      <c r="R197" s="182"/>
    </row>
    <row r="198" spans="2:21" ht="15.6" thickBot="1">
      <c r="B198" s="183"/>
      <c r="C198" s="184">
        <v>5</v>
      </c>
      <c r="D198" s="184" t="s">
        <v>134</v>
      </c>
      <c r="E198" s="184"/>
      <c r="F198" s="184"/>
      <c r="G198" s="184"/>
      <c r="H198" s="184"/>
      <c r="I198" s="184"/>
      <c r="J198" s="184" t="s">
        <v>2</v>
      </c>
      <c r="K198" s="184"/>
      <c r="L198" s="184"/>
      <c r="M198" s="188" t="s">
        <v>126</v>
      </c>
      <c r="N198" s="607">
        <f ca="1">N194-N196-N197</f>
      </c>
      <c r="O198" s="607"/>
      <c r="P198" s="184"/>
      <c r="Q198" s="184"/>
      <c r="R198" s="182"/>
    </row>
    <row r="199" spans="2:21" ht="15.6" thickTop="1">
      <c r="B199" s="183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9"/>
      <c r="N199" s="189"/>
      <c r="O199" s="189"/>
      <c r="P199" s="184"/>
      <c r="Q199" s="184"/>
      <c r="R199" s="182"/>
    </row>
    <row r="200" spans="2:21">
      <c r="B200" s="183"/>
      <c r="C200" s="184" t="s">
        <v>135</v>
      </c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2"/>
    </row>
    <row r="201" spans="2:21">
      <c r="B201" s="183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2"/>
    </row>
    <row r="202" spans="2:21">
      <c r="B202" s="183"/>
      <c r="D202" s="634" t="s">
        <v>39</v>
      </c>
      <c r="E202" s="634"/>
      <c r="F202" s="634"/>
      <c r="G202" s="634"/>
      <c r="H202" s="634"/>
      <c r="K202" s="184"/>
      <c r="L202" s="184"/>
      <c r="M202" s="184"/>
      <c r="N202" s="640" t="s">
        <v>40</v>
      </c>
      <c r="O202" s="640"/>
      <c r="P202" s="640"/>
      <c r="Q202" s="640"/>
      <c r="R202" s="182"/>
    </row>
    <row r="203" spans="2:21">
      <c r="B203" s="183"/>
      <c r="D203" s="634">
        <f>UPPER(DATA!$B$24)</f>
      </c>
      <c r="E203" s="634"/>
      <c r="F203" s="634"/>
      <c r="G203" s="634"/>
      <c r="H203" s="634"/>
      <c r="I203" s="184"/>
      <c r="M203" s="184"/>
      <c r="N203" s="640">
        <f>UPPER(DATA!$B$17)</f>
      </c>
      <c r="O203" s="640"/>
      <c r="P203" s="640"/>
      <c r="Q203" s="640"/>
      <c r="R203" s="182"/>
      <c r="U203" s="253"/>
    </row>
    <row r="204" spans="2:21">
      <c r="B204" s="183"/>
      <c r="C204" s="79"/>
      <c r="D204" s="79"/>
      <c r="E204" s="184"/>
      <c r="F204" s="184"/>
      <c r="G204" s="184"/>
      <c r="H204" s="184"/>
      <c r="I204" s="184"/>
      <c r="J204" s="184"/>
      <c r="K204" s="184"/>
      <c r="L204" s="184"/>
      <c r="M204" s="184"/>
      <c r="N204" s="640"/>
      <c r="O204" s="640"/>
      <c r="P204" s="640"/>
      <c r="Q204" s="640"/>
      <c r="R204" s="182"/>
    </row>
    <row r="205" spans="2:21">
      <c r="B205" s="183"/>
      <c r="C205" s="79"/>
      <c r="D205" s="79"/>
      <c r="E205" s="184"/>
      <c r="F205" s="184"/>
      <c r="G205" s="184"/>
      <c r="H205" s="184"/>
      <c r="I205" s="184"/>
      <c r="J205" s="184"/>
      <c r="K205" s="184"/>
      <c r="L205" s="184"/>
      <c r="M205" s="184"/>
      <c r="N205" s="224"/>
      <c r="O205" s="224"/>
      <c r="P205" s="224"/>
      <c r="Q205" s="224"/>
      <c r="R205" s="182"/>
    </row>
    <row r="206" spans="2:21">
      <c r="B206" s="183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234"/>
      <c r="O206" s="234"/>
      <c r="P206" s="234"/>
      <c r="Q206" s="234"/>
      <c r="R206" s="182"/>
    </row>
    <row r="207" spans="2:21">
      <c r="B207" s="183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234"/>
      <c r="O207" s="234"/>
      <c r="Q207" s="234"/>
      <c r="R207" s="182"/>
    </row>
    <row r="208" spans="2:21">
      <c r="B208" s="183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234"/>
      <c r="O208" s="234"/>
      <c r="P208" s="234"/>
      <c r="Q208" s="234"/>
      <c r="R208" s="182"/>
    </row>
    <row r="209" spans="2:18">
      <c r="B209" s="183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234"/>
      <c r="O209" s="234"/>
      <c r="P209" s="234"/>
      <c r="Q209" s="234"/>
      <c r="R209" s="182"/>
    </row>
    <row r="210" spans="2:18">
      <c r="B210" s="183"/>
      <c r="D210" s="636">
        <f>DATA!$B$22</f>
      </c>
      <c r="E210" s="636"/>
      <c r="F210" s="636"/>
      <c r="G210" s="636"/>
      <c r="H210" s="636"/>
      <c r="I210" s="190"/>
      <c r="L210" s="190"/>
      <c r="M210" s="190"/>
      <c r="N210" s="641">
        <f>D14</f>
      </c>
      <c r="O210" s="641"/>
      <c r="P210" s="641"/>
      <c r="Q210" s="641"/>
      <c r="R210" s="182"/>
    </row>
    <row r="211" spans="2:18">
      <c r="B211" s="183"/>
      <c r="D211" s="634">
        <f>DATA!$B$23</f>
      </c>
      <c r="E211" s="634"/>
      <c r="F211" s="634"/>
      <c r="G211" s="634"/>
      <c r="H211" s="634"/>
      <c r="I211" s="184"/>
      <c r="J211" s="184"/>
      <c r="K211" s="184"/>
      <c r="L211" s="190"/>
      <c r="M211" s="190"/>
      <c r="N211" s="640">
        <f>DATA!$B$16</f>
      </c>
      <c r="O211" s="640"/>
      <c r="P211" s="640"/>
      <c r="Q211" s="640"/>
      <c r="R211" s="182"/>
    </row>
    <row r="212" spans="2:18" ht="15.6" thickBot="1">
      <c r="B212" s="191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3"/>
    </row>
    <row r="213" spans="2:18" ht="15.6" thickTop="1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</row>
    <row r="214" spans="2:18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spans="2:18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spans="2:18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spans="2:18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spans="2:18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spans="2:18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spans="2:18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spans="2:18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spans="2:18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spans="2:18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spans="2:18"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</row>
    <row r="225" spans="2:18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</row>
    <row r="226" spans="2:18"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</row>
    <row r="227" spans="2:18"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</row>
    <row r="228" spans="2:18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</row>
    <row r="229" spans="2:18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</row>
    <row r="230" spans="2:18"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</row>
    <row r="231" spans="2:18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</row>
    <row r="232" spans="2:18"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</row>
    <row r="233" spans="2:18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</row>
    <row r="234" spans="2:18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</row>
    <row r="235" spans="2:18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</row>
    <row r="236" spans="2:18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</row>
    <row r="237" spans="2:18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</row>
    <row r="238" spans="2:18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</row>
    <row r="239" spans="2:18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</row>
    <row r="240" spans="2:18"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</row>
    <row r="241" spans="2:18"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</row>
    <row r="242" spans="2:18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</row>
    <row r="243" spans="2:18"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</row>
    <row r="244" spans="2:18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</row>
    <row r="245" spans="2:18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</row>
    <row r="246" spans="2:18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</row>
    <row r="247" spans="2:18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</row>
    <row r="248" spans="2:18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</row>
    <row r="249" spans="2:18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</row>
    <row r="250" spans="2:18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</row>
    <row r="251" spans="2:18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</row>
    <row r="252" spans="2:18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</row>
    <row r="253" spans="2:18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</row>
    <row r="254" spans="2:18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</row>
    <row r="255" spans="2:18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</row>
    <row r="256" spans="2:18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</row>
    <row r="257" spans="2:18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2:18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2:18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2:18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2:18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2:18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</sheetData>
  <mergeCells count="198">
    <mergeCell ref="N204:Q204"/>
    <mergeCell ref="D210:H210"/>
    <mergeCell ref="N210:Q210"/>
    <mergeCell ref="D211:H211"/>
    <mergeCell ref="N211:Q211"/>
    <mergeCell ref="N197:O197"/>
    <mergeCell ref="N198:O198"/>
    <mergeCell ref="D202:H202"/>
    <mergeCell ref="N202:Q202"/>
    <mergeCell ref="D203:H203"/>
    <mergeCell ref="N203:Q203"/>
    <mergeCell ref="Q188:R188"/>
    <mergeCell ref="Q189:R189"/>
    <mergeCell ref="N192:O192"/>
    <mergeCell ref="N193:O193"/>
    <mergeCell ref="N194:O194"/>
    <mergeCell ref="N196:O196"/>
    <mergeCell ref="Q182:R182"/>
    <mergeCell ref="Q183:R183"/>
    <mergeCell ref="Q184:R184"/>
    <mergeCell ref="Q185:R185"/>
    <mergeCell ref="Q186:R186"/>
    <mergeCell ref="Q187:R187"/>
    <mergeCell ref="Q176:R176"/>
    <mergeCell ref="Q177:R177"/>
    <mergeCell ref="Q178:R178"/>
    <mergeCell ref="Q179:R179"/>
    <mergeCell ref="Q180:R180"/>
    <mergeCell ref="Q181:R181"/>
    <mergeCell ref="Q170:R170"/>
    <mergeCell ref="Q171:R171"/>
    <mergeCell ref="Q172:R172"/>
    <mergeCell ref="Q173:R173"/>
    <mergeCell ref="Q174:R174"/>
    <mergeCell ref="Q175:R175"/>
    <mergeCell ref="Q165:R165"/>
    <mergeCell ref="Q166:R166"/>
    <mergeCell ref="Q167:R167"/>
    <mergeCell ref="Q168:R168"/>
    <mergeCell ref="D169:I169"/>
    <mergeCell ref="Q169:R169"/>
    <mergeCell ref="Q159:R159"/>
    <mergeCell ref="Q160:R160"/>
    <mergeCell ref="Q161:R161"/>
    <mergeCell ref="Q162:R162"/>
    <mergeCell ref="Q163:R163"/>
    <mergeCell ref="Q164:R164"/>
    <mergeCell ref="Q153:R153"/>
    <mergeCell ref="Q154:R154"/>
    <mergeCell ref="Q155:R155"/>
    <mergeCell ref="Q156:R156"/>
    <mergeCell ref="Q157:R157"/>
    <mergeCell ref="Q158:R158"/>
    <mergeCell ref="Q147:R147"/>
    <mergeCell ref="Q148:R148"/>
    <mergeCell ref="Q149:R149"/>
    <mergeCell ref="Q150:R150"/>
    <mergeCell ref="Q151:R151"/>
    <mergeCell ref="Q152:R152"/>
    <mergeCell ref="Q141:R141"/>
    <mergeCell ref="Q142:R142"/>
    <mergeCell ref="Q143:R143"/>
    <mergeCell ref="Q144:R144"/>
    <mergeCell ref="Q145:R145"/>
    <mergeCell ref="Q146:R146"/>
    <mergeCell ref="Q135:R135"/>
    <mergeCell ref="Q136:R136"/>
    <mergeCell ref="Q137:R137"/>
    <mergeCell ref="Q138:R138"/>
    <mergeCell ref="Q139:R139"/>
    <mergeCell ref="Q140:R140"/>
    <mergeCell ref="Q129:R129"/>
    <mergeCell ref="Q130:R130"/>
    <mergeCell ref="Q131:R131"/>
    <mergeCell ref="Q132:R132"/>
    <mergeCell ref="Q133:R133"/>
    <mergeCell ref="Q134:R134"/>
    <mergeCell ref="D124:I124"/>
    <mergeCell ref="Q124:R124"/>
    <mergeCell ref="Q125:R125"/>
    <mergeCell ref="Q126:R126"/>
    <mergeCell ref="Q127:R127"/>
    <mergeCell ref="Q128:R128"/>
    <mergeCell ref="Q118:R118"/>
    <mergeCell ref="Q119:R119"/>
    <mergeCell ref="Q120:R120"/>
    <mergeCell ref="Q121:R121"/>
    <mergeCell ref="Q122:R122"/>
    <mergeCell ref="Q123:R123"/>
    <mergeCell ref="Q112:R112"/>
    <mergeCell ref="Q113:R113"/>
    <mergeCell ref="Q114:R114"/>
    <mergeCell ref="Q115:R115"/>
    <mergeCell ref="Q116:R116"/>
    <mergeCell ref="Q117:R117"/>
    <mergeCell ref="Q106:R106"/>
    <mergeCell ref="Q107:R107"/>
    <mergeCell ref="Q108:R108"/>
    <mergeCell ref="Q109:R109"/>
    <mergeCell ref="Q110:R110"/>
    <mergeCell ref="Q111:R111"/>
    <mergeCell ref="Q100:R100"/>
    <mergeCell ref="Q101:R101"/>
    <mergeCell ref="Q102:R102"/>
    <mergeCell ref="Q103:R103"/>
    <mergeCell ref="Q104:R104"/>
    <mergeCell ref="Q105:R105"/>
    <mergeCell ref="Q94:R94"/>
    <mergeCell ref="Q95:R95"/>
    <mergeCell ref="Q96:R96"/>
    <mergeCell ref="Q97:R97"/>
    <mergeCell ref="Q98:R98"/>
    <mergeCell ref="Q99:R99"/>
    <mergeCell ref="Q88:R88"/>
    <mergeCell ref="Q89:R89"/>
    <mergeCell ref="Q90:R90"/>
    <mergeCell ref="Q91:R91"/>
    <mergeCell ref="Q92:R92"/>
    <mergeCell ref="Q93:R93"/>
    <mergeCell ref="D83:I83"/>
    <mergeCell ref="Q83:R83"/>
    <mergeCell ref="Q84:R84"/>
    <mergeCell ref="Q85:R85"/>
    <mergeCell ref="Q86:R86"/>
    <mergeCell ref="Q87:R87"/>
    <mergeCell ref="D80:I80"/>
    <mergeCell ref="Q80:R80"/>
    <mergeCell ref="D81:I81"/>
    <mergeCell ref="Q81:R81"/>
    <mergeCell ref="D82:I82"/>
    <mergeCell ref="Q82:R82"/>
    <mergeCell ref="Q74:R74"/>
    <mergeCell ref="Q75:R75"/>
    <mergeCell ref="Q76:R76"/>
    <mergeCell ref="Q77:R77"/>
    <mergeCell ref="Q78:R78"/>
    <mergeCell ref="Q79:R79"/>
    <mergeCell ref="Q68:R68"/>
    <mergeCell ref="Q69:R69"/>
    <mergeCell ref="Q70:R70"/>
    <mergeCell ref="Q71:R71"/>
    <mergeCell ref="Q72:R72"/>
    <mergeCell ref="Q73:R73"/>
    <mergeCell ref="D63:I63"/>
    <mergeCell ref="Q63:R63"/>
    <mergeCell ref="Q64:R64"/>
    <mergeCell ref="Q65:R65"/>
    <mergeCell ref="Q66:R66"/>
    <mergeCell ref="Q67:R67"/>
    <mergeCell ref="Q57:R57"/>
    <mergeCell ref="Q58:R58"/>
    <mergeCell ref="Q59:R59"/>
    <mergeCell ref="Q60:R60"/>
    <mergeCell ref="Q61:R61"/>
    <mergeCell ref="Q62:R62"/>
    <mergeCell ref="Q51:R51"/>
    <mergeCell ref="Q52:R52"/>
    <mergeCell ref="Q53:R53"/>
    <mergeCell ref="Q54:R54"/>
    <mergeCell ref="Q55:R55"/>
    <mergeCell ref="Q56:R56"/>
    <mergeCell ref="Q45:R45"/>
    <mergeCell ref="Q46:R46"/>
    <mergeCell ref="Q47:R47"/>
    <mergeCell ref="Q48:R48"/>
    <mergeCell ref="Q49:R49"/>
    <mergeCell ref="Q50:R50"/>
    <mergeCell ref="D40:I40"/>
    <mergeCell ref="Q40:R40"/>
    <mergeCell ref="Q41:R41"/>
    <mergeCell ref="Q42:R42"/>
    <mergeCell ref="Q43:R43"/>
    <mergeCell ref="Q44:R44"/>
    <mergeCell ref="D37:I37"/>
    <mergeCell ref="Q37:R37"/>
    <mergeCell ref="D38:I38"/>
    <mergeCell ref="Q38:R38"/>
    <mergeCell ref="D39:I39"/>
    <mergeCell ref="Q39:R39"/>
    <mergeCell ref="Q35:R35"/>
    <mergeCell ref="Q36:R36"/>
    <mergeCell ref="F18:R18"/>
    <mergeCell ref="C21:R22"/>
    <mergeCell ref="M23:N23"/>
    <mergeCell ref="I24:J24"/>
    <mergeCell ref="K24:L24"/>
    <mergeCell ref="H25:I25"/>
    <mergeCell ref="K25:L25"/>
    <mergeCell ref="B6:R6"/>
    <mergeCell ref="B7:R7"/>
    <mergeCell ref="B9:R9"/>
    <mergeCell ref="B10:R10"/>
    <mergeCell ref="C12:Q12"/>
    <mergeCell ref="F14:R15"/>
    <mergeCell ref="L29:L31"/>
    <mergeCell ref="Q33:R33"/>
    <mergeCell ref="C34:I34"/>
    <mergeCell ref="Q34:R34"/>
  </mergeCells>
  <printOptions horizontalCentered="1"/>
  <pageMargins left="0.32" right="0.27" top="0.75" bottom="0.75" header="0.3" footer="0.3"/>
  <pageSetup paperSize="9" scale="55" fitToHeight="0" orientation="portrait" r:id="rId1"/>
  <rowBreaks count="1" manualBreakCount="1">
    <brk id="139" min="1" max="17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70C0"/>
  </sheetPr>
  <dimension ref="B1:AT57"/>
  <sheetViews>
    <sheetView view="pageBreakPreview" zoomScale="40" zoomScaleNormal="60" zoomScaleSheetLayoutView="40" workbookViewId="0">
      <selection activeCell="R19" sqref="R19"/>
    </sheetView>
  </sheetViews>
  <sheetFormatPr defaultColWidth="4.1796875" defaultRowHeight="25.2" customHeight="1"/>
  <cols>
    <col min="1" max="1" width="5.453125" style="101" customWidth="1"/>
    <col min="2" max="2" width="5.54296875" style="106" customWidth="1"/>
    <col min="3" max="3" width="3.453125" style="107" customWidth="1"/>
    <col min="4" max="4" width="3.81640625" style="108" customWidth="1"/>
    <col min="5" max="5" width="5.1796875" style="107" customWidth="1"/>
    <col min="6" max="6" width="3.81640625" style="107" customWidth="1"/>
    <col min="7" max="7" width="3.08984375" style="107" customWidth="1"/>
    <col min="8" max="8" width="23" style="107" customWidth="1"/>
    <col min="9" max="9" width="37.6328125" style="107" customWidth="1"/>
    <col min="10" max="10" width="6.1796875" style="109" hidden="1" customWidth="1"/>
    <col min="11" max="11" width="12.81640625" style="109" hidden="1" customWidth="1"/>
    <col min="12" max="12" width="17" style="110" hidden="1" customWidth="1"/>
    <col min="13" max="13" width="22.1796875" style="110" hidden="1" customWidth="1"/>
    <col min="14" max="14" width="13.81640625" style="102" customWidth="1"/>
    <col min="15" max="15" width="14.54296875" style="109" bestFit="1" customWidth="1"/>
    <col min="16" max="16" width="24.81640625" style="111" customWidth="1"/>
    <col min="17" max="17" width="26.81640625" style="111" customWidth="1"/>
    <col min="18" max="18" width="14.81640625" style="102" bestFit="1" customWidth="1"/>
    <col min="19" max="21" width="13.453125" style="102" customWidth="1"/>
    <col min="22" max="22" width="14.453125" style="102" customWidth="1"/>
    <col min="23" max="23" width="13.453125" style="102" customWidth="1"/>
    <col min="24" max="24" width="14.81640625" style="102" bestFit="1" customWidth="1"/>
    <col min="25" max="25" width="9" style="101" customWidth="1"/>
    <col min="26" max="27" width="7.08984375" style="101" customWidth="1"/>
    <col min="28" max="28" width="14.453125" style="101" bestFit="1" customWidth="1"/>
    <col min="29" max="29" width="17.81640625" style="101" bestFit="1" customWidth="1"/>
    <col min="30" max="30" width="15.1796875" style="101" bestFit="1" customWidth="1"/>
    <col min="31" max="31" width="17.81640625" style="101" bestFit="1" customWidth="1"/>
    <col min="32" max="32" width="9.81640625" style="101" bestFit="1" customWidth="1"/>
    <col min="33" max="35" width="7.08984375" style="101" customWidth="1"/>
    <col min="36" max="36" width="15.1796875" style="101" bestFit="1" customWidth="1"/>
    <col min="37" max="37" width="7.08984375" style="101" customWidth="1"/>
    <col min="38" max="43" width="10.36328125" style="101" customWidth="1"/>
    <col min="44" max="128" width="7.08984375" style="101" customWidth="1"/>
    <col min="129" max="129" width="5.453125" style="101" customWidth="1"/>
    <col min="130" max="130" width="6.1796875" style="101" customWidth="1"/>
    <col min="131" max="131" width="4.81640625" style="101" customWidth="1"/>
    <col min="132" max="132" width="6" style="101" customWidth="1"/>
    <col min="133" max="16384" width="4.1796875" style="101"/>
  </cols>
  <sheetData>
    <row r="1" spans="2:46" ht="25.2" customHeight="1">
      <c r="AL1" s="666">
        <f>IF(COUNTIF($AT$13:$AT$37,"DITOLAK*")&gt;0,"DITOLAK: ada item yang volumenya MELEBIHI kontrak - cek kolom STATUS (AT) yang merah",IF(ROUND($AS$7,6)&gt;1,"DITOLAK: total bobot "&amp;TEXT($AS$7,"0.00%")&amp;" sudah melebihi 100% kontrak",IF(ROUND($AS$7,6)=1,"PROGRES SUDAH 100% - VOLUME KONTRAK HABIS. Penambahan progres akan ditolak.","AMAN - sisa bobot yang belum dialokasikan "&amp;TEXT(1-$AS$7,"0.00%"))))</f>
      </c>
      <c r="AM1" s="665"/>
      <c r="AN1" s="665"/>
      <c r="AO1" s="665"/>
      <c r="AP1" s="665"/>
      <c r="AQ1" s="665"/>
      <c r="AR1" s="665"/>
      <c r="AS1" s="665"/>
      <c r="AT1" s="665"/>
    </row>
    <row r="2" spans="2:46" ht="25.2" customHeight="1"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7"/>
      <c r="U2" s="667"/>
      <c r="V2" s="667"/>
      <c r="W2" s="667"/>
      <c r="X2" s="667"/>
      <c r="AL2" s="665"/>
      <c r="AM2" s="665"/>
      <c r="AN2" s="665"/>
      <c r="AO2" s="665"/>
      <c r="AP2" s="665"/>
      <c r="AQ2" s="665"/>
      <c r="AR2" s="665"/>
      <c r="AS2" s="665"/>
      <c r="AT2" s="665"/>
    </row>
    <row r="3" spans="2:46" ht="25.2" customHeight="1">
      <c r="B3" s="668" t="s">
        <v>137</v>
      </c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  <c r="N3" s="668"/>
      <c r="O3" s="668"/>
      <c r="P3" s="668"/>
      <c r="Q3" s="668"/>
      <c r="R3" s="668"/>
      <c r="S3" s="668"/>
      <c r="T3" s="668"/>
      <c r="U3" s="668"/>
      <c r="V3" s="668"/>
      <c r="W3" s="668"/>
      <c r="X3" s="668"/>
    </row>
    <row r="4" spans="2:46" ht="25.2" customHeight="1">
      <c r="B4" s="668">
        <f>UPPER(""&amp;DATA!$B$6)</f>
      </c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  <c r="N4" s="668"/>
      <c r="O4" s="668"/>
      <c r="P4" s="668"/>
      <c r="Q4" s="668"/>
      <c r="R4" s="668"/>
      <c r="S4" s="668"/>
      <c r="T4" s="668"/>
      <c r="U4" s="668"/>
      <c r="V4" s="668"/>
      <c r="W4" s="668"/>
      <c r="X4" s="668"/>
      <c r="AC4" s="251"/>
      <c r="AI4" s="247"/>
      <c r="AJ4" s="248"/>
      <c r="AL4" s="466" t="s">
        <v>51</v>
      </c>
    </row>
    <row r="5" spans="2:46" ht="25.2" customHeight="1">
      <c r="B5" s="668" t="s">
        <v>138</v>
      </c>
      <c r="C5" s="668"/>
      <c r="D5" s="668"/>
      <c r="E5" s="668"/>
      <c r="F5" s="668"/>
      <c r="G5" s="668"/>
      <c r="H5" s="668"/>
      <c r="I5" s="668"/>
      <c r="J5" s="668"/>
      <c r="K5" s="668"/>
      <c r="L5" s="668"/>
      <c r="M5" s="668"/>
      <c r="N5" s="668"/>
      <c r="O5" s="668"/>
      <c r="P5" s="668"/>
      <c r="Q5" s="668"/>
      <c r="R5" s="668"/>
      <c r="S5" s="668"/>
      <c r="T5" s="668"/>
      <c r="U5" s="668"/>
      <c r="V5" s="668"/>
      <c r="W5" s="668"/>
      <c r="X5" s="668"/>
      <c r="AC5" s="251"/>
      <c r="AG5" s="247"/>
      <c r="AI5" s="247"/>
      <c r="AJ5" s="249"/>
      <c r="AL5" s="467">
        <v>1</v>
      </c>
    </row>
    <row r="6" spans="2:46" ht="15" customHeight="1" thickBot="1">
      <c r="B6" s="112"/>
      <c r="C6" s="113"/>
      <c r="D6" s="114"/>
      <c r="E6" s="113"/>
      <c r="F6" s="113"/>
      <c r="G6" s="113"/>
      <c r="H6" s="113"/>
      <c r="I6" s="113"/>
      <c r="J6" s="115"/>
      <c r="K6" s="116"/>
      <c r="L6" s="117"/>
      <c r="M6" s="117"/>
      <c r="N6" s="118"/>
      <c r="O6" s="115"/>
      <c r="P6" s="119"/>
      <c r="Q6" s="119"/>
      <c r="R6" s="120"/>
      <c r="S6" s="120"/>
      <c r="T6" s="120"/>
      <c r="U6" s="120"/>
      <c r="V6" s="120"/>
      <c r="W6" s="120"/>
      <c r="X6" s="120"/>
    </row>
    <row r="7" spans="2:46" s="103" customFormat="1" ht="25.2" customHeight="1">
      <c r="B7" s="669" t="s">
        <v>139</v>
      </c>
      <c r="C7" s="672" t="s">
        <v>140</v>
      </c>
      <c r="D7" s="673"/>
      <c r="E7" s="673"/>
      <c r="F7" s="673"/>
      <c r="G7" s="673"/>
      <c r="H7" s="673"/>
      <c r="I7" s="674"/>
      <c r="J7" s="681" t="s">
        <v>141</v>
      </c>
      <c r="K7" s="684" t="s">
        <v>142</v>
      </c>
      <c r="L7" s="685"/>
      <c r="M7" s="686"/>
      <c r="N7" s="690" t="s">
        <v>143</v>
      </c>
      <c r="O7" s="681" t="s">
        <v>141</v>
      </c>
      <c r="P7" s="693" t="s">
        <v>144</v>
      </c>
      <c r="Q7" s="693" t="s">
        <v>145</v>
      </c>
      <c r="R7" s="121" t="s">
        <v>146</v>
      </c>
      <c r="S7" s="696" t="s">
        <v>147</v>
      </c>
      <c r="T7" s="696"/>
      <c r="U7" s="696" t="s">
        <v>148</v>
      </c>
      <c r="V7" s="696"/>
      <c r="W7" s="696" t="s">
        <v>149</v>
      </c>
      <c r="X7" s="697"/>
      <c r="AJ7" s="250"/>
      <c r="AL7" s="457" t="s">
        <v>150</v>
      </c>
      <c r="AR7" s="457" t="s">
        <v>151</v>
      </c>
      <c r="AS7" s="473" cm="1">
        <f t="array" ref="AS7">SUMPRODUCT(IFERROR($AR$13:$AR$37/$N$13:$N$37*$R$13:$R$37,0))</f>
      </c>
    </row>
    <row r="8" spans="2:46" s="103" customFormat="1" ht="25.2" customHeight="1">
      <c r="B8" s="670"/>
      <c r="C8" s="675"/>
      <c r="D8" s="676"/>
      <c r="E8" s="676"/>
      <c r="F8" s="676"/>
      <c r="G8" s="676"/>
      <c r="H8" s="676"/>
      <c r="I8" s="677"/>
      <c r="J8" s="682"/>
      <c r="K8" s="687"/>
      <c r="L8" s="688"/>
      <c r="M8" s="689"/>
      <c r="N8" s="691"/>
      <c r="O8" s="682"/>
      <c r="P8" s="694"/>
      <c r="Q8" s="694"/>
      <c r="R8" s="698" t="s">
        <v>152</v>
      </c>
      <c r="S8" s="661" t="s">
        <v>153</v>
      </c>
      <c r="T8" s="661" t="s">
        <v>146</v>
      </c>
      <c r="U8" s="661" t="s">
        <v>153</v>
      </c>
      <c r="V8" s="661" t="s">
        <v>146</v>
      </c>
      <c r="W8" s="661" t="s">
        <v>153</v>
      </c>
      <c r="X8" s="656" t="s">
        <v>146</v>
      </c>
    </row>
    <row r="9" spans="2:46" s="103" customFormat="1" ht="32.25" customHeight="1" thickBot="1">
      <c r="B9" s="671"/>
      <c r="C9" s="678"/>
      <c r="D9" s="679"/>
      <c r="E9" s="679"/>
      <c r="F9" s="679"/>
      <c r="G9" s="679"/>
      <c r="H9" s="679"/>
      <c r="I9" s="680"/>
      <c r="J9" s="683"/>
      <c r="K9" s="122" t="s">
        <v>143</v>
      </c>
      <c r="L9" s="122" t="s">
        <v>154</v>
      </c>
      <c r="M9" s="122" t="s">
        <v>155</v>
      </c>
      <c r="N9" s="692"/>
      <c r="O9" s="683"/>
      <c r="P9" s="695"/>
      <c r="Q9" s="695"/>
      <c r="R9" s="662"/>
      <c r="S9" s="662"/>
      <c r="T9" s="662"/>
      <c r="U9" s="662"/>
      <c r="V9" s="662"/>
      <c r="W9" s="662"/>
      <c r="X9" s="657"/>
      <c r="AL9" s="458" t="s">
        <v>156</v>
      </c>
      <c r="AM9" s="458" t="s">
        <v>157</v>
      </c>
      <c r="AN9" s="458" t="s">
        <v>158</v>
      </c>
      <c r="AO9" s="458" t="s">
        <v>159</v>
      </c>
      <c r="AP9" s="458" t="s">
        <v>160</v>
      </c>
      <c r="AQ9" s="458" t="s">
        <v>161</v>
      </c>
      <c r="AR9" s="457" t="s">
        <v>162</v>
      </c>
      <c r="AS9" s="457" t="s">
        <v>163</v>
      </c>
      <c r="AT9" s="457" t="s">
        <v>164</v>
      </c>
    </row>
    <row r="10" spans="2:46" s="104" customFormat="1" ht="25.2" customHeight="1">
      <c r="B10" s="123"/>
      <c r="C10" s="124"/>
      <c r="D10" s="125"/>
      <c r="E10" s="126"/>
      <c r="F10" s="126"/>
      <c r="G10" s="126"/>
      <c r="H10" s="126"/>
      <c r="I10" s="126"/>
      <c r="J10" s="127"/>
      <c r="K10" s="127"/>
      <c r="L10" s="128"/>
      <c r="M10" s="127"/>
      <c r="N10" s="129"/>
      <c r="O10" s="127"/>
      <c r="P10" s="130"/>
      <c r="Q10" s="130"/>
      <c r="R10" s="129"/>
      <c r="S10" s="129"/>
      <c r="T10" s="129"/>
      <c r="U10" s="129"/>
      <c r="V10" s="129"/>
      <c r="W10" s="129"/>
      <c r="X10" s="131"/>
      <c r="AL10" s="459"/>
      <c r="AM10" s="459"/>
      <c r="AN10" s="459"/>
      <c r="AO10" s="459"/>
      <c r="AP10" s="459"/>
      <c r="AQ10" s="459"/>
    </row>
    <row r="11" spans="2:46" s="105" customFormat="1" ht="30" customHeight="1">
      <c r="B11" s="533"/>
      <c r="C11" s="699">
        <f>DATA!$B$6</f>
      </c>
      <c r="D11" s="700"/>
      <c r="E11" s="700"/>
      <c r="F11" s="700"/>
      <c r="G11" s="700"/>
      <c r="H11" s="700"/>
      <c r="I11" s="701"/>
      <c r="J11" s="534"/>
      <c r="K11" s="535"/>
      <c r="L11" s="536"/>
      <c r="M11" s="537"/>
      <c r="N11" s="538"/>
      <c r="O11" s="538"/>
      <c r="P11" s="539"/>
      <c r="Q11" s="538"/>
      <c r="R11" s="540"/>
      <c r="S11" s="541"/>
      <c r="T11" s="540"/>
      <c r="U11" s="541"/>
      <c r="V11" s="540"/>
      <c r="W11" s="542"/>
      <c r="X11" s="543"/>
      <c r="AC11" s="105" t="s">
        <v>165</v>
      </c>
      <c r="AL11" s="460"/>
      <c r="AM11" s="460"/>
      <c r="AN11" s="460"/>
      <c r="AO11" s="460"/>
      <c r="AP11" s="460"/>
      <c r="AQ11" s="460"/>
    </row>
    <row r="12" spans="2:46" s="105" customFormat="1" ht="30" customHeight="1">
      <c r="B12" s="123"/>
      <c r="C12" s="373">
        <f>lamp1!C14</f>
      </c>
      <c r="D12" s="504"/>
      <c r="E12" s="554"/>
      <c r="F12" s="554"/>
      <c r="G12" s="554"/>
      <c r="H12" s="554"/>
      <c r="I12" s="555"/>
      <c r="J12" s="239"/>
      <c r="K12" s="240"/>
      <c r="L12" s="241"/>
      <c r="M12" s="242"/>
      <c r="N12" s="167"/>
      <c r="O12" s="167"/>
      <c r="P12" s="134"/>
      <c r="Q12" s="167"/>
      <c r="R12" s="201"/>
      <c r="S12" s="135"/>
      <c r="T12" s="201"/>
      <c r="U12" s="135"/>
      <c r="V12" s="201"/>
      <c r="W12" s="170"/>
      <c r="X12" s="202"/>
      <c r="AL12" s="460"/>
      <c r="AM12" s="460"/>
      <c r="AN12" s="460"/>
      <c r="AO12" s="460"/>
      <c r="AP12" s="460"/>
      <c r="AQ12" s="460"/>
    </row>
    <row r="13" spans="2:46" s="105" customFormat="1" ht="27" customHeight="1">
      <c r="B13" s="123">
        <f>lamp1!B15</f>
      </c>
      <c r="C13" s="373">
        <f>lamp1!C15</f>
      </c>
      <c r="D13" s="374"/>
      <c r="E13" s="375"/>
      <c r="F13" s="376"/>
      <c r="G13" s="376"/>
      <c r="H13" s="377"/>
      <c r="I13" s="378"/>
      <c r="J13" s="379"/>
      <c r="K13" s="380"/>
      <c r="L13" s="381"/>
      <c r="M13" s="382"/>
      <c r="N13" s="489"/>
      <c r="O13" s="489"/>
      <c r="P13" s="490"/>
      <c r="Q13" s="491"/>
      <c r="R13" s="492"/>
      <c r="S13" s="493"/>
      <c r="T13" s="492"/>
      <c r="U13" s="493"/>
      <c r="V13" s="492"/>
      <c r="W13" s="494"/>
      <c r="X13" s="495"/>
      <c r="AL13" s="482">
        <f>'REKAP PROGRES'!J5</f>
      </c>
      <c r="AM13" s="482">
        <f>'REKAP PROGRES'!K5</f>
      </c>
      <c r="AN13" s="482">
        <f>'REKAP PROGRES'!L5</f>
      </c>
      <c r="AO13" s="482">
        <f>'REKAP PROGRES'!M5</f>
      </c>
      <c r="AP13" s="482">
        <f>'REKAP PROGRES'!N5</f>
      </c>
      <c r="AQ13" s="482">
        <f>'REKAP PROGRES'!O5</f>
      </c>
      <c r="AR13" s="557">
        <f>SUM($AL13:$AQ13)</f>
      </c>
      <c r="AS13" s="105">
        <f>IF(N(N15)=0,"",N15-AR13)</f>
      </c>
      <c r="AT13" s="105">
        <f>IF(N(N15)=0,IF(AR13&gt;0,"DITOLAK - BARIS BUKAN ITEM",""),IF(AR13&gt;N15,"DITOLAK - MELEBIHI KONTRAK",IF(AR13=N15,"HABIS - 100%","")))</f>
      </c>
    </row>
    <row r="14" spans="2:46" s="105" customFormat="1" ht="27" customHeight="1">
      <c r="B14" s="123"/>
      <c r="C14" s="373">
        <f>lamp1!C16</f>
      </c>
      <c r="D14" s="374"/>
      <c r="E14" s="375"/>
      <c r="F14" s="376"/>
      <c r="G14" s="376"/>
      <c r="H14" s="377"/>
      <c r="I14" s="378"/>
      <c r="J14" s="379"/>
      <c r="K14" s="380"/>
      <c r="L14" s="381"/>
      <c r="M14" s="382"/>
      <c r="N14" s="167"/>
      <c r="O14" s="167"/>
      <c r="P14" s="260"/>
      <c r="Q14" s="168"/>
      <c r="R14" s="201"/>
      <c r="S14" s="135"/>
      <c r="T14" s="201"/>
      <c r="U14" s="213"/>
      <c r="V14" s="201"/>
      <c r="W14" s="244"/>
      <c r="X14" s="202"/>
      <c r="AL14" s="482">
        <f>'REKAP PROGRES'!J6</f>
      </c>
      <c r="AM14" s="482">
        <f>'REKAP PROGRES'!K6</f>
      </c>
      <c r="AN14" s="482">
        <f>'REKAP PROGRES'!L6</f>
      </c>
      <c r="AO14" s="482">
        <f>'REKAP PROGRES'!M6</f>
      </c>
      <c r="AP14" s="482">
        <f>'REKAP PROGRES'!N6</f>
      </c>
      <c r="AQ14" s="482">
        <f>'REKAP PROGRES'!O6</f>
      </c>
      <c r="AR14" s="557">
        <f t="shared" ref="AR14:AR34" si="0">SUM($AL14:$AQ14)</f>
      </c>
      <c r="AS14" s="105">
        <f>IF(N(N16)=0,"",N16-AR14)</f>
      </c>
      <c r="AT14" s="105">
        <f t="shared" ref="AT14:AT37" si="1">IF(N(N16)=0,IF(AR14&gt;0,"DITOLAK - BARIS BUKAN ITEM",""),IF(AR14&gt;N16,"DITOLAK - MELEBIHI KONTRAK",IF(AR14=N16,"HABIS - 100%","")))</f>
      </c>
    </row>
    <row r="15" spans="2:46" s="105" customFormat="1" ht="27" customHeight="1">
      <c r="B15" s="497">
        <f>lamp1!B17</f>
      </c>
      <c r="C15" s="232"/>
      <c r="D15" s="164">
        <f>lamp1!D17</f>
      </c>
      <c r="E15" s="484"/>
      <c r="F15" s="484"/>
      <c r="G15" s="484"/>
      <c r="H15" s="484"/>
      <c r="I15" s="484"/>
      <c r="J15" s="484"/>
      <c r="K15" s="484"/>
      <c r="L15" s="484"/>
      <c r="M15" s="485"/>
      <c r="N15" s="167">
        <f>lamp1!H17</f>
      </c>
      <c r="O15" s="167">
        <f>lamp1!I17</f>
      </c>
      <c r="P15" s="260">
        <f>lamp1!J17</f>
      </c>
      <c r="Q15" s="168">
        <f>P15*N15</f>
      </c>
      <c r="R15" s="425">
        <f>IFERROR(Q15/$Q$38,0)</f>
      </c>
      <c r="S15" s="135">
        <f ca="1">IF($AL$5&lt;=1,0,SUM(OFFSET($AL15,0,0,1,$AL$5-1)))</f>
      </c>
      <c r="T15" s="425">
        <f ca="1">IFERROR(S15/N15*R15,0)</f>
      </c>
      <c r="U15" s="213" cm="1">
        <f t="array" ref="U15">IFERROR(INDEX($AL15:$AQ15,$AL$5),0)</f>
      </c>
      <c r="V15" s="425">
        <f>IFERROR(U15/N15*R15,0)</f>
      </c>
      <c r="W15" s="244">
        <f ca="1">S15+U15</f>
      </c>
      <c r="X15" s="202">
        <f ca="1">T15+V15</f>
      </c>
      <c r="AL15" s="482">
        <f>'REKAP PROGRES'!J7</f>
      </c>
      <c r="AM15" s="482">
        <f>'REKAP PROGRES'!K7</f>
      </c>
      <c r="AN15" s="482">
        <f>'REKAP PROGRES'!L7</f>
      </c>
      <c r="AO15" s="482">
        <f>'REKAP PROGRES'!M7</f>
      </c>
      <c r="AP15" s="482">
        <f>'REKAP PROGRES'!N7</f>
      </c>
      <c r="AQ15" s="482">
        <f>'REKAP PROGRES'!O7</f>
      </c>
      <c r="AR15" s="557">
        <f t="shared" si="0"/>
      </c>
      <c r="AS15" s="105">
        <f t="shared" ref="AS15:AS37" si="2">IF(N(N17)=0,"",N17-AR15)</f>
      </c>
      <c r="AT15" s="105">
        <f t="shared" si="1"/>
      </c>
    </row>
    <row r="16" spans="2:46" s="105" customFormat="1" ht="27" customHeight="1">
      <c r="B16" s="497">
        <f>lamp1!B18</f>
      </c>
      <c r="C16" s="232"/>
      <c r="D16" s="164">
        <f>lamp1!D18</f>
      </c>
      <c r="E16" s="484"/>
      <c r="F16" s="484"/>
      <c r="G16" s="484"/>
      <c r="H16" s="484"/>
      <c r="I16" s="484"/>
      <c r="J16" s="484"/>
      <c r="K16" s="484"/>
      <c r="L16" s="484"/>
      <c r="M16" s="485"/>
      <c r="N16" s="167">
        <f>lamp1!H18</f>
      </c>
      <c r="O16" s="167">
        <f>lamp1!I18</f>
      </c>
      <c r="P16" s="260">
        <f>lamp1!J18</f>
      </c>
      <c r="Q16" s="168">
        <f t="shared" ref="Q16:Q22" si="3">P16*N16</f>
      </c>
      <c r="R16" s="425">
        <f t="shared" ref="R16:R22" si="4">IFERROR(Q16/$Q$38,0)</f>
      </c>
      <c r="S16" s="135">
        <f ca="1">IF($AL$5&lt;=1,0,SUM(OFFSET($AL16,0,0,1,$AL$5-1)))</f>
      </c>
      <c r="T16" s="425">
        <f t="shared" ref="T16:T22" ca="1" si="5">IFERROR(S16/N16*R16,0)</f>
      </c>
      <c r="U16" s="213" cm="1">
        <f t="array" ref="U16">IFERROR(INDEX($AL16:$AQ16,$AL$5),0)</f>
      </c>
      <c r="V16" s="425">
        <f t="shared" ref="V16:V22" si="6">IFERROR(U16/N16*R16,0)</f>
      </c>
      <c r="W16" s="244">
        <f t="shared" ref="W16:W22" ca="1" si="7">S16+U16</f>
      </c>
      <c r="X16" s="202">
        <f t="shared" ref="X16:X22" ca="1" si="8">T16+V16</f>
      </c>
      <c r="AL16" s="482">
        <f>'REKAP PROGRES'!J8</f>
      </c>
      <c r="AM16" s="482">
        <f>'REKAP PROGRES'!K8</f>
      </c>
      <c r="AN16" s="482">
        <f>'REKAP PROGRES'!L8</f>
      </c>
      <c r="AO16" s="482">
        <f>'REKAP PROGRES'!M8</f>
      </c>
      <c r="AP16" s="482">
        <f>'REKAP PROGRES'!N8</f>
      </c>
      <c r="AQ16" s="482">
        <f>'REKAP PROGRES'!O8</f>
      </c>
      <c r="AR16" s="557">
        <f t="shared" si="0"/>
      </c>
      <c r="AS16" s="105">
        <f t="shared" si="2"/>
      </c>
      <c r="AT16" s="105">
        <f t="shared" si="1"/>
      </c>
    </row>
    <row r="17" spans="2:46" s="105" customFormat="1" ht="27" customHeight="1">
      <c r="B17" s="497">
        <f>lamp1!B19</f>
      </c>
      <c r="C17" s="232"/>
      <c r="D17" s="164">
        <f>lamp1!D19</f>
      </c>
      <c r="E17" s="484"/>
      <c r="F17" s="484"/>
      <c r="G17" s="484"/>
      <c r="H17" s="484"/>
      <c r="I17" s="484"/>
      <c r="J17" s="484"/>
      <c r="K17" s="484"/>
      <c r="L17" s="484"/>
      <c r="M17" s="485"/>
      <c r="N17" s="167">
        <f>lamp1!H19</f>
      </c>
      <c r="O17" s="167">
        <f>lamp1!I19</f>
      </c>
      <c r="P17" s="260">
        <f>lamp1!J19</f>
      </c>
      <c r="Q17" s="168">
        <f t="shared" si="3"/>
      </c>
      <c r="R17" s="425">
        <f t="shared" si="4"/>
      </c>
      <c r="S17" s="135">
        <f ca="1">IF($AL$5&lt;=1,0,SUM(OFFSET($AL17,0,0,1,$AL$5-1)))</f>
      </c>
      <c r="T17" s="425">
        <f t="shared" ca="1" si="5"/>
      </c>
      <c r="U17" s="213" cm="1">
        <f t="array" ref="U17">IFERROR(INDEX($AL17:$AQ17,$AL$5),0)</f>
      </c>
      <c r="V17" s="425">
        <f t="shared" si="6"/>
      </c>
      <c r="W17" s="244">
        <f t="shared" ca="1" si="7"/>
      </c>
      <c r="X17" s="202">
        <f t="shared" ca="1" si="8"/>
      </c>
      <c r="AL17" s="482">
        <f>'REKAP PROGRES'!J9</f>
      </c>
      <c r="AM17" s="482">
        <f>'REKAP PROGRES'!K9</f>
      </c>
      <c r="AN17" s="482">
        <f>'REKAP PROGRES'!L9</f>
      </c>
      <c r="AO17" s="482">
        <f>'REKAP PROGRES'!M9</f>
      </c>
      <c r="AP17" s="482">
        <f>'REKAP PROGRES'!N9</f>
      </c>
      <c r="AQ17" s="482">
        <f>'REKAP PROGRES'!O9</f>
      </c>
      <c r="AR17" s="557">
        <f t="shared" si="0"/>
      </c>
      <c r="AS17" s="105">
        <f t="shared" si="2"/>
      </c>
      <c r="AT17" s="105">
        <f t="shared" si="1"/>
      </c>
    </row>
    <row r="18" spans="2:46" s="105" customFormat="1" ht="27" customHeight="1">
      <c r="B18" s="497">
        <f>lamp1!B20</f>
      </c>
      <c r="C18" s="373"/>
      <c r="D18" s="164">
        <f>lamp1!D20</f>
      </c>
      <c r="E18" s="375"/>
      <c r="F18" s="376"/>
      <c r="G18" s="376"/>
      <c r="H18" s="377"/>
      <c r="I18" s="378"/>
      <c r="J18" s="379"/>
      <c r="K18" s="380"/>
      <c r="L18" s="381"/>
      <c r="M18" s="382"/>
      <c r="N18" s="167">
        <f>lamp1!H20</f>
      </c>
      <c r="O18" s="167">
        <f>lamp1!I20</f>
      </c>
      <c r="P18" s="260">
        <f>lamp1!J20</f>
      </c>
      <c r="Q18" s="168">
        <f t="shared" si="3"/>
      </c>
      <c r="R18" s="425">
        <f t="shared" si="4"/>
      </c>
      <c r="S18" s="135">
        <f t="shared" ref="S18:S19" ca="1" si="9">IF($AL$5&lt;=1,0,SUM(OFFSET($AL18,0,0,1,$AL$5-1)))</f>
      </c>
      <c r="T18" s="425">
        <f t="shared" ca="1" si="5"/>
      </c>
      <c r="U18" s="213" cm="1">
        <f t="array" ref="U18">IFERROR(INDEX($AL18:$AQ18,$AL$5),0)</f>
      </c>
      <c r="V18" s="425">
        <f t="shared" si="6"/>
      </c>
      <c r="W18" s="244">
        <f t="shared" ca="1" si="7"/>
      </c>
      <c r="X18" s="202">
        <f t="shared" ca="1" si="8"/>
      </c>
      <c r="AL18" s="482">
        <f>'REKAP PROGRES'!J10</f>
      </c>
      <c r="AM18" s="482">
        <f>'REKAP PROGRES'!K10</f>
      </c>
      <c r="AN18" s="482">
        <f>'REKAP PROGRES'!L10</f>
      </c>
      <c r="AO18" s="482">
        <f>'REKAP PROGRES'!M10</f>
      </c>
      <c r="AP18" s="482">
        <f>'REKAP PROGRES'!N10</f>
      </c>
      <c r="AQ18" s="482">
        <f>'REKAP PROGRES'!O10</f>
      </c>
      <c r="AR18" s="557">
        <f t="shared" si="0"/>
      </c>
      <c r="AS18" s="105">
        <f t="shared" si="2"/>
      </c>
      <c r="AT18" s="105">
        <f t="shared" si="1"/>
      </c>
    </row>
    <row r="19" spans="2:46" s="105" customFormat="1" ht="27" customHeight="1">
      <c r="B19" s="497">
        <f>lamp1!B21</f>
      </c>
      <c r="C19" s="232"/>
      <c r="D19" s="164">
        <f>lamp1!D21</f>
      </c>
      <c r="E19" s="235"/>
      <c r="F19" s="236"/>
      <c r="G19" s="236"/>
      <c r="H19" s="237"/>
      <c r="I19" s="238"/>
      <c r="J19" s="239"/>
      <c r="K19" s="240"/>
      <c r="L19" s="241"/>
      <c r="M19" s="242"/>
      <c r="N19" s="167">
        <f>lamp1!H21</f>
      </c>
      <c r="O19" s="167">
        <f>lamp1!I21</f>
      </c>
      <c r="P19" s="260">
        <f>lamp1!J21</f>
      </c>
      <c r="Q19" s="168">
        <f t="shared" si="3"/>
      </c>
      <c r="R19" s="425">
        <f t="shared" si="4"/>
      </c>
      <c r="S19" s="135">
        <f t="shared" ca="1" si="9"/>
      </c>
      <c r="T19" s="425">
        <f t="shared" ca="1" si="5"/>
      </c>
      <c r="U19" s="213" cm="1">
        <f t="array" ref="U19">IFERROR(INDEX($AL19:$AQ19,$AL$5),0)</f>
      </c>
      <c r="V19" s="425">
        <f t="shared" si="6"/>
      </c>
      <c r="W19" s="244">
        <f t="shared" ca="1" si="7"/>
      </c>
      <c r="X19" s="202">
        <f t="shared" ca="1" si="8"/>
      </c>
      <c r="AL19" s="482">
        <f>'REKAP PROGRES'!J11</f>
      </c>
      <c r="AM19" s="482">
        <f>'REKAP PROGRES'!K11</f>
      </c>
      <c r="AN19" s="482">
        <f>'REKAP PROGRES'!L11</f>
      </c>
      <c r="AO19" s="482">
        <f>'REKAP PROGRES'!M11</f>
      </c>
      <c r="AP19" s="482">
        <f>'REKAP PROGRES'!N11</f>
      </c>
      <c r="AQ19" s="482">
        <f>'REKAP PROGRES'!O11</f>
      </c>
      <c r="AR19" s="557">
        <f t="shared" si="0"/>
      </c>
      <c r="AS19" s="105">
        <f t="shared" si="2"/>
      </c>
      <c r="AT19" s="105">
        <f t="shared" si="1"/>
      </c>
    </row>
    <row r="20" spans="2:46" s="105" customFormat="1" ht="27" customHeight="1">
      <c r="B20" s="497">
        <f>lamp1!B22</f>
      </c>
      <c r="C20" s="232"/>
      <c r="D20" s="164">
        <f>lamp1!D22</f>
      </c>
      <c r="E20" s="235"/>
      <c r="F20" s="236"/>
      <c r="G20" s="236"/>
      <c r="H20" s="237"/>
      <c r="I20" s="238"/>
      <c r="J20" s="239"/>
      <c r="K20" s="240"/>
      <c r="L20" s="241"/>
      <c r="M20" s="242"/>
      <c r="N20" s="167">
        <f>lamp1!H22</f>
      </c>
      <c r="O20" s="167">
        <f>lamp1!I22</f>
      </c>
      <c r="P20" s="260">
        <f>lamp1!J22</f>
      </c>
      <c r="Q20" s="168">
        <f t="shared" si="3"/>
      </c>
      <c r="R20" s="425">
        <f t="shared" si="4"/>
      </c>
      <c r="S20" s="371">
        <f t="shared" ref="S20:S36" ca="1" si="10">IF($AL$5&lt;=1,0,SUM(OFFSET($AL20,0,0,1,$AL$5-1)))</f>
      </c>
      <c r="T20" s="425">
        <f t="shared" ca="1" si="5"/>
      </c>
      <c r="U20" s="213" cm="1">
        <f t="array" ref="U20">IFERROR(INDEX($AL20:$AQ20,$AL$5),0)</f>
      </c>
      <c r="V20" s="425">
        <f t="shared" si="6"/>
      </c>
      <c r="W20" s="244">
        <f t="shared" ca="1" si="7"/>
      </c>
      <c r="X20" s="202">
        <f t="shared" ca="1" si="8"/>
      </c>
      <c r="AL20" s="482">
        <f>'REKAP PROGRES'!J12</f>
      </c>
      <c r="AM20" s="482">
        <f>'REKAP PROGRES'!K12</f>
      </c>
      <c r="AN20" s="482">
        <f>'REKAP PROGRES'!L12</f>
      </c>
      <c r="AO20" s="482">
        <f>'REKAP PROGRES'!M12</f>
      </c>
      <c r="AP20" s="482">
        <f>'REKAP PROGRES'!N12</f>
      </c>
      <c r="AQ20" s="482">
        <f>'REKAP PROGRES'!O12</f>
      </c>
      <c r="AR20" s="557">
        <f t="shared" si="0"/>
      </c>
      <c r="AS20" s="105">
        <f t="shared" si="2"/>
      </c>
      <c r="AT20" s="105">
        <f t="shared" si="1"/>
      </c>
    </row>
    <row r="21" spans="2:46" s="105" customFormat="1" ht="27" customHeight="1">
      <c r="B21" s="497">
        <f>lamp1!B23</f>
      </c>
      <c r="C21" s="232"/>
      <c r="D21" s="164">
        <f>lamp1!D23</f>
      </c>
      <c r="E21" s="235"/>
      <c r="F21" s="236"/>
      <c r="G21" s="236"/>
      <c r="H21" s="237"/>
      <c r="I21" s="238"/>
      <c r="J21" s="239"/>
      <c r="K21" s="240"/>
      <c r="L21" s="241"/>
      <c r="M21" s="242"/>
      <c r="N21" s="167">
        <f>lamp1!H23</f>
      </c>
      <c r="O21" s="167">
        <f>lamp1!I23</f>
      </c>
      <c r="P21" s="260">
        <f>lamp1!J23</f>
      </c>
      <c r="Q21" s="168">
        <v>0</v>
      </c>
      <c r="R21" s="425">
        <f t="shared" si="4"/>
      </c>
      <c r="S21" s="371">
        <f t="shared" ca="1" si="10"/>
      </c>
      <c r="T21" s="425">
        <f t="shared" ca="1" si="5"/>
      </c>
      <c r="U21" s="213" cm="1">
        <f t="array" ref="U21">IFERROR(INDEX($AL21:$AQ21,$AL$5),0)</f>
      </c>
      <c r="V21" s="425">
        <f t="shared" si="6"/>
      </c>
      <c r="W21" s="244">
        <f t="shared" ca="1" si="7"/>
      </c>
      <c r="X21" s="202">
        <f t="shared" ca="1" si="8"/>
      </c>
      <c r="AL21" s="482"/>
      <c r="AM21" s="482"/>
      <c r="AN21" s="482"/>
      <c r="AO21" s="482"/>
      <c r="AP21" s="482"/>
      <c r="AQ21" s="482"/>
      <c r="AR21" s="557"/>
      <c r="AS21" s="105">
        <f t="shared" si="2"/>
      </c>
      <c r="AT21" s="105">
        <f t="shared" si="1"/>
      </c>
    </row>
    <row r="22" spans="2:46" s="105" customFormat="1" ht="27" customHeight="1">
      <c r="B22" s="497">
        <f>lamp1!B24</f>
      </c>
      <c r="C22" s="232"/>
      <c r="D22" s="164">
        <f>lamp1!D24</f>
      </c>
      <c r="E22" s="235"/>
      <c r="F22" s="236"/>
      <c r="G22" s="236"/>
      <c r="H22" s="237"/>
      <c r="I22" s="238"/>
      <c r="J22" s="239"/>
      <c r="K22" s="240"/>
      <c r="L22" s="241"/>
      <c r="M22" s="242"/>
      <c r="N22" s="167">
        <f>lamp1!H24</f>
      </c>
      <c r="O22" s="167">
        <f>lamp1!I24</f>
      </c>
      <c r="P22" s="260">
        <f>lamp1!J24</f>
      </c>
      <c r="Q22" s="168">
        <f t="shared" si="3"/>
      </c>
      <c r="R22" s="425">
        <f t="shared" si="4"/>
      </c>
      <c r="S22" s="371">
        <f t="shared" ca="1" si="10"/>
      </c>
      <c r="T22" s="425">
        <f t="shared" ca="1" si="5"/>
      </c>
      <c r="U22" s="213" cm="1">
        <f t="array" ref="U22">IFERROR(INDEX($AL22:$AQ22,$AL$5),0)</f>
      </c>
      <c r="V22" s="425">
        <f t="shared" si="6"/>
      </c>
      <c r="W22" s="244">
        <f t="shared" ca="1" si="7"/>
      </c>
      <c r="X22" s="202">
        <f t="shared" ca="1" si="8"/>
      </c>
      <c r="AL22" s="482"/>
      <c r="AM22" s="482"/>
      <c r="AN22" s="482"/>
      <c r="AO22" s="482"/>
      <c r="AP22" s="482"/>
      <c r="AQ22" s="482"/>
      <c r="AR22" s="557"/>
      <c r="AS22" s="105">
        <f t="shared" si="2"/>
      </c>
      <c r="AT22" s="105">
        <f t="shared" si="1"/>
      </c>
    </row>
    <row r="23" spans="2:46" s="105" customFormat="1" ht="27" customHeight="1">
      <c r="B23" s="497"/>
      <c r="C23" s="232"/>
      <c r="D23" s="164"/>
      <c r="E23" s="235"/>
      <c r="F23" s="236"/>
      <c r="G23" s="236"/>
      <c r="H23" s="556"/>
      <c r="I23" s="238"/>
      <c r="J23" s="239"/>
      <c r="K23" s="240"/>
      <c r="L23" s="241"/>
      <c r="M23" s="242"/>
      <c r="N23" s="167"/>
      <c r="O23" s="167"/>
      <c r="P23" s="260"/>
      <c r="Q23" s="168"/>
      <c r="R23" s="425"/>
      <c r="S23" s="371"/>
      <c r="T23" s="425"/>
      <c r="U23" s="372"/>
      <c r="V23" s="425"/>
      <c r="W23" s="244"/>
      <c r="X23" s="202"/>
      <c r="AL23" s="482"/>
      <c r="AM23" s="482"/>
      <c r="AN23" s="482"/>
      <c r="AO23" s="482"/>
      <c r="AP23" s="482"/>
      <c r="AQ23" s="482"/>
      <c r="AR23" s="557"/>
      <c r="AS23" s="105">
        <f t="shared" si="2"/>
      </c>
      <c r="AT23" s="105">
        <f t="shared" si="1"/>
      </c>
    </row>
    <row r="24" spans="2:46" s="105" customFormat="1" ht="27" customHeight="1">
      <c r="B24" s="123">
        <f>lamp1!B26</f>
      </c>
      <c r="C24" s="373">
        <f>lamp1!C26</f>
      </c>
      <c r="D24" s="374"/>
      <c r="E24" s="375"/>
      <c r="F24" s="376"/>
      <c r="G24" s="376"/>
      <c r="H24" s="377"/>
      <c r="I24" s="378"/>
      <c r="J24" s="379"/>
      <c r="K24" s="380"/>
      <c r="L24" s="381"/>
      <c r="M24" s="382"/>
      <c r="N24" s="167"/>
      <c r="O24" s="167"/>
      <c r="P24" s="260"/>
      <c r="Q24" s="168"/>
      <c r="R24" s="425"/>
      <c r="S24" s="371"/>
      <c r="T24" s="425"/>
      <c r="U24" s="372"/>
      <c r="V24" s="425"/>
      <c r="W24" s="244"/>
      <c r="X24" s="202"/>
      <c r="AL24" s="482">
        <f>'REKAP PROGRES'!J16</f>
      </c>
      <c r="AM24" s="482">
        <f>'REKAP PROGRES'!K16</f>
      </c>
      <c r="AN24" s="482">
        <f>'REKAP PROGRES'!L16</f>
      </c>
      <c r="AO24" s="482">
        <f>'REKAP PROGRES'!M16</f>
      </c>
      <c r="AP24" s="482">
        <f>'REKAP PROGRES'!N16</f>
      </c>
      <c r="AQ24" s="482">
        <f>'REKAP PROGRES'!O16</f>
      </c>
      <c r="AR24" s="557">
        <f t="shared" si="0"/>
      </c>
      <c r="AS24" s="105">
        <f t="shared" si="2"/>
      </c>
      <c r="AT24" s="105">
        <f t="shared" si="1"/>
      </c>
    </row>
    <row r="25" spans="2:46" s="105" customFormat="1" ht="27" customHeight="1">
      <c r="B25" s="497"/>
      <c r="C25" s="373">
        <f>lamp1!C27</f>
      </c>
      <c r="D25" s="164"/>
      <c r="E25" s="375"/>
      <c r="F25" s="376"/>
      <c r="G25" s="376"/>
      <c r="H25" s="377"/>
      <c r="I25" s="378"/>
      <c r="J25" s="379"/>
      <c r="K25" s="380"/>
      <c r="L25" s="381"/>
      <c r="M25" s="382"/>
      <c r="N25" s="167"/>
      <c r="O25" s="167"/>
      <c r="P25" s="260"/>
      <c r="Q25" s="168"/>
      <c r="R25" s="425"/>
      <c r="S25" s="371"/>
      <c r="T25" s="425"/>
      <c r="U25" s="372"/>
      <c r="V25" s="425"/>
      <c r="W25" s="244"/>
      <c r="X25" s="202"/>
      <c r="AL25" s="482">
        <f>'REKAP PROGRES'!J17</f>
      </c>
      <c r="AM25" s="482">
        <f>'REKAP PROGRES'!K17</f>
      </c>
      <c r="AN25" s="482">
        <f>'REKAP PROGRES'!L17</f>
      </c>
      <c r="AO25" s="482">
        <f>'REKAP PROGRES'!M17</f>
      </c>
      <c r="AP25" s="482">
        <f>'REKAP PROGRES'!N17</f>
      </c>
      <c r="AQ25" s="482">
        <f>'REKAP PROGRES'!O17</f>
      </c>
      <c r="AR25" s="557">
        <f t="shared" si="0"/>
      </c>
      <c r="AS25" s="105">
        <f t="shared" si="2"/>
      </c>
      <c r="AT25" s="105">
        <f t="shared" si="1"/>
      </c>
    </row>
    <row r="26" spans="2:46" s="105" customFormat="1" ht="27" customHeight="1">
      <c r="B26" s="497">
        <f>lamp1!B28</f>
      </c>
      <c r="C26" s="373"/>
      <c r="D26" s="164">
        <f>lamp1!D28</f>
      </c>
      <c r="E26" s="375"/>
      <c r="F26" s="376"/>
      <c r="G26" s="376"/>
      <c r="H26" s="377"/>
      <c r="I26" s="378"/>
      <c r="J26" s="379"/>
      <c r="K26" s="380"/>
      <c r="L26" s="381"/>
      <c r="M26" s="382"/>
      <c r="N26" s="167">
        <f>lamp1!H28</f>
      </c>
      <c r="O26" s="167">
        <f>lamp1!I28</f>
      </c>
      <c r="P26" s="260">
        <f>lamp1!J28</f>
      </c>
      <c r="Q26" s="168">
        <f>P26*N26</f>
      </c>
      <c r="R26" s="425">
        <f t="shared" ref="R26:R36" si="11">IFERROR(Q26/$Q$38,0)</f>
      </c>
      <c r="S26" s="371">
        <f t="shared" ca="1" si="10"/>
      </c>
      <c r="T26" s="425">
        <f t="shared" ref="T26:T36" ca="1" si="12">IFERROR(S26/N26*R26,0)</f>
      </c>
      <c r="U26" s="213" cm="1">
        <f t="array" ref="U26">IFERROR(INDEX($AL26:$AQ26,$AL$5),0)</f>
      </c>
      <c r="V26" s="425">
        <f t="shared" ref="V26:V36" si="13">IFERROR(U26/N26*R26,0)</f>
      </c>
      <c r="W26" s="244">
        <f t="shared" ref="W26:X36" ca="1" si="14">S26+U26</f>
      </c>
      <c r="X26" s="202">
        <f t="shared" ca="1" si="14"/>
      </c>
      <c r="AL26" s="482">
        <f>'REKAP PROGRES'!J18</f>
      </c>
      <c r="AM26" s="482">
        <f>'REKAP PROGRES'!K18</f>
      </c>
      <c r="AN26" s="482">
        <f>'REKAP PROGRES'!L18</f>
      </c>
      <c r="AO26" s="482">
        <f>'REKAP PROGRES'!M18</f>
      </c>
      <c r="AP26" s="482">
        <f>'REKAP PROGRES'!N18</f>
      </c>
      <c r="AQ26" s="482">
        <f>'REKAP PROGRES'!O18</f>
      </c>
      <c r="AR26" s="557">
        <f t="shared" si="0"/>
      </c>
      <c r="AS26" s="105">
        <f t="shared" si="2"/>
      </c>
      <c r="AT26" s="105">
        <f t="shared" si="1"/>
      </c>
    </row>
    <row r="27" spans="2:46" s="105" customFormat="1" ht="27" customHeight="1">
      <c r="B27" s="497">
        <f>lamp1!B29</f>
      </c>
      <c r="C27" s="373"/>
      <c r="D27" s="164">
        <f>lamp1!D29</f>
      </c>
      <c r="E27" s="375"/>
      <c r="F27" s="376"/>
      <c r="G27" s="376"/>
      <c r="H27" s="377"/>
      <c r="I27" s="378"/>
      <c r="J27" s="379"/>
      <c r="K27" s="380"/>
      <c r="L27" s="381"/>
      <c r="M27" s="382"/>
      <c r="N27" s="167">
        <f>lamp1!H29</f>
      </c>
      <c r="O27" s="167">
        <f>lamp1!I29</f>
      </c>
      <c r="P27" s="260">
        <f>lamp1!J29</f>
      </c>
      <c r="Q27" s="168">
        <f t="shared" ref="Q27:Q36" si="15">P27*N27</f>
      </c>
      <c r="R27" s="425">
        <f t="shared" si="11"/>
      </c>
      <c r="S27" s="371">
        <f t="shared" ca="1" si="10"/>
      </c>
      <c r="T27" s="425">
        <f t="shared" ca="1" si="12"/>
      </c>
      <c r="U27" s="213" cm="1">
        <f t="array" ref="U27">IFERROR(INDEX($AL27:$AQ27,$AL$5),0)</f>
      </c>
      <c r="V27" s="425">
        <f t="shared" si="13"/>
      </c>
      <c r="W27" s="244">
        <f t="shared" ca="1" si="14"/>
      </c>
      <c r="X27" s="202">
        <f t="shared" ca="1" si="14"/>
      </c>
      <c r="AL27" s="482">
        <f>'REKAP PROGRES'!J19</f>
      </c>
      <c r="AM27" s="482">
        <f>'REKAP PROGRES'!K19</f>
      </c>
      <c r="AN27" s="482">
        <f>'REKAP PROGRES'!L19</f>
      </c>
      <c r="AO27" s="482">
        <f>'REKAP PROGRES'!M19</f>
      </c>
      <c r="AP27" s="482">
        <f>'REKAP PROGRES'!N19</f>
      </c>
      <c r="AQ27" s="482">
        <f>'REKAP PROGRES'!O19</f>
      </c>
      <c r="AR27" s="557">
        <f t="shared" si="0"/>
      </c>
      <c r="AS27" s="105">
        <f t="shared" si="2"/>
      </c>
      <c r="AT27" s="105">
        <f t="shared" si="1"/>
      </c>
    </row>
    <row r="28" spans="2:46" s="105" customFormat="1" ht="27" customHeight="1">
      <c r="B28" s="497">
        <f>lamp1!B30</f>
      </c>
      <c r="C28" s="373"/>
      <c r="D28" s="164">
        <f>lamp1!D30</f>
      </c>
      <c r="E28" s="375"/>
      <c r="F28" s="376"/>
      <c r="G28" s="376"/>
      <c r="H28" s="377"/>
      <c r="I28" s="378"/>
      <c r="J28" s="379"/>
      <c r="K28" s="380"/>
      <c r="L28" s="381"/>
      <c r="M28" s="382"/>
      <c r="N28" s="167">
        <f>lamp1!H30</f>
      </c>
      <c r="O28" s="167">
        <f>lamp1!I30</f>
      </c>
      <c r="P28" s="260">
        <f>lamp1!J30</f>
      </c>
      <c r="Q28" s="168">
        <f t="shared" si="15"/>
      </c>
      <c r="R28" s="425">
        <f t="shared" si="11"/>
      </c>
      <c r="S28" s="371">
        <f t="shared" ca="1" si="10"/>
      </c>
      <c r="T28" s="425">
        <f t="shared" ca="1" si="12"/>
      </c>
      <c r="U28" s="213" cm="1">
        <f t="array" ref="U28">IFERROR(INDEX($AL28:$AQ28,$AL$5),0)</f>
      </c>
      <c r="V28" s="425">
        <f t="shared" si="13"/>
      </c>
      <c r="W28" s="244">
        <f t="shared" ca="1" si="14"/>
      </c>
      <c r="X28" s="202">
        <f t="shared" ca="1" si="14"/>
      </c>
      <c r="AL28" s="482">
        <f>'REKAP PROGRES'!J20</f>
      </c>
      <c r="AM28" s="482">
        <f>'REKAP PROGRES'!K20</f>
      </c>
      <c r="AN28" s="482">
        <f>'REKAP PROGRES'!L20</f>
      </c>
      <c r="AO28" s="482">
        <f>'REKAP PROGRES'!M20</f>
      </c>
      <c r="AP28" s="482">
        <f>'REKAP PROGRES'!N20</f>
      </c>
      <c r="AQ28" s="482">
        <f>'REKAP PROGRES'!O20</f>
      </c>
      <c r="AR28" s="557">
        <f t="shared" si="0"/>
      </c>
      <c r="AS28" s="105">
        <f t="shared" si="2"/>
      </c>
      <c r="AT28" s="105">
        <f t="shared" si="1"/>
      </c>
    </row>
    <row r="29" spans="2:46" s="105" customFormat="1" ht="27" customHeight="1">
      <c r="B29" s="497">
        <f>lamp1!B31</f>
      </c>
      <c r="C29" s="373"/>
      <c r="D29" s="164">
        <f>lamp1!D31</f>
      </c>
      <c r="E29" s="375"/>
      <c r="F29" s="376"/>
      <c r="G29" s="376"/>
      <c r="H29" s="377"/>
      <c r="I29" s="378"/>
      <c r="J29" s="379"/>
      <c r="K29" s="380"/>
      <c r="L29" s="381"/>
      <c r="M29" s="382"/>
      <c r="N29" s="167">
        <f>lamp1!H31</f>
      </c>
      <c r="O29" s="167">
        <f>lamp1!I31</f>
      </c>
      <c r="P29" s="260">
        <f>lamp1!J31</f>
      </c>
      <c r="Q29" s="168">
        <f t="shared" si="15"/>
      </c>
      <c r="R29" s="425">
        <f t="shared" si="11"/>
      </c>
      <c r="S29" s="371">
        <f t="shared" ca="1" si="10"/>
      </c>
      <c r="T29" s="425">
        <f t="shared" ca="1" si="12"/>
      </c>
      <c r="U29" s="213" cm="1">
        <f t="array" ref="U29">IFERROR(INDEX($AL29:$AQ29,$AL$5),0)</f>
      </c>
      <c r="V29" s="425">
        <f t="shared" si="13"/>
      </c>
      <c r="W29" s="244">
        <f t="shared" ca="1" si="14"/>
      </c>
      <c r="X29" s="202">
        <f t="shared" ca="1" si="14"/>
      </c>
      <c r="AL29" s="482">
        <f>'REKAP PROGRES'!J21</f>
      </c>
      <c r="AM29" s="482">
        <f>'REKAP PROGRES'!K21</f>
      </c>
      <c r="AN29" s="482">
        <f>'REKAP PROGRES'!L21</f>
      </c>
      <c r="AO29" s="482">
        <f>'REKAP PROGRES'!M21</f>
      </c>
      <c r="AP29" s="482">
        <f>'REKAP PROGRES'!N21</f>
      </c>
      <c r="AQ29" s="482">
        <f>'REKAP PROGRES'!O21</f>
      </c>
      <c r="AR29" s="557">
        <f t="shared" si="0"/>
      </c>
      <c r="AS29" s="105">
        <f t="shared" si="2"/>
      </c>
      <c r="AT29" s="105">
        <f t="shared" si="1"/>
      </c>
    </row>
    <row r="30" spans="2:46" s="105" customFormat="1" ht="27" customHeight="1">
      <c r="B30" s="497">
        <f>lamp1!B32</f>
      </c>
      <c r="C30" s="373"/>
      <c r="D30" s="164">
        <f>lamp1!D32</f>
      </c>
      <c r="E30" s="375"/>
      <c r="F30" s="376"/>
      <c r="G30" s="376"/>
      <c r="H30" s="377"/>
      <c r="I30" s="378"/>
      <c r="J30" s="379"/>
      <c r="K30" s="380"/>
      <c r="L30" s="381"/>
      <c r="M30" s="382"/>
      <c r="N30" s="167">
        <f>lamp1!H32</f>
      </c>
      <c r="O30" s="167">
        <f>lamp1!I32</f>
      </c>
      <c r="P30" s="260">
        <f>lamp1!J32</f>
      </c>
      <c r="Q30" s="168">
        <f t="shared" si="15"/>
      </c>
      <c r="R30" s="425">
        <f t="shared" si="11"/>
      </c>
      <c r="S30" s="371">
        <f t="shared" ca="1" si="10"/>
      </c>
      <c r="T30" s="425">
        <f t="shared" ca="1" si="12"/>
      </c>
      <c r="U30" s="213" cm="1">
        <f t="array" ref="U30">IFERROR(INDEX($AL30:$AQ30,$AL$5),0)</f>
      </c>
      <c r="V30" s="425">
        <f t="shared" si="13"/>
      </c>
      <c r="W30" s="244">
        <f t="shared" ca="1" si="14"/>
      </c>
      <c r="X30" s="202">
        <f t="shared" ca="1" si="14"/>
      </c>
      <c r="AL30" s="482">
        <f>'REKAP PROGRES'!J22</f>
      </c>
      <c r="AM30" s="482">
        <f>'REKAP PROGRES'!K22</f>
      </c>
      <c r="AN30" s="482">
        <f>'REKAP PROGRES'!L22</f>
      </c>
      <c r="AO30" s="482">
        <f>'REKAP PROGRES'!M22</f>
      </c>
      <c r="AP30" s="482">
        <f>'REKAP PROGRES'!N22</f>
      </c>
      <c r="AQ30" s="482">
        <f>'REKAP PROGRES'!O22</f>
      </c>
      <c r="AR30" s="557">
        <f t="shared" si="0"/>
      </c>
      <c r="AS30" s="105">
        <f t="shared" si="2"/>
      </c>
      <c r="AT30" s="105">
        <f t="shared" si="1"/>
      </c>
    </row>
    <row r="31" spans="2:46" s="105" customFormat="1" ht="27" customHeight="1">
      <c r="B31" s="497">
        <f>lamp1!B33</f>
      </c>
      <c r="C31" s="373"/>
      <c r="D31" s="164">
        <f>lamp1!D33</f>
      </c>
      <c r="E31" s="375"/>
      <c r="F31" s="376"/>
      <c r="G31" s="376"/>
      <c r="H31" s="377"/>
      <c r="I31" s="378"/>
      <c r="J31" s="379"/>
      <c r="K31" s="380"/>
      <c r="L31" s="381"/>
      <c r="M31" s="382"/>
      <c r="N31" s="167">
        <f>lamp1!H33</f>
      </c>
      <c r="O31" s="167">
        <f>lamp1!I33</f>
      </c>
      <c r="P31" s="260">
        <f>lamp1!J33</f>
      </c>
      <c r="Q31" s="168">
        <f t="shared" si="15"/>
      </c>
      <c r="R31" s="425">
        <f t="shared" si="11"/>
      </c>
      <c r="S31" s="371">
        <f t="shared" ca="1" si="10"/>
      </c>
      <c r="T31" s="425">
        <f t="shared" ca="1" si="12"/>
      </c>
      <c r="U31" s="213" cm="1">
        <f t="array" ref="U31">IFERROR(INDEX($AL31:$AQ31,$AL$5),0)</f>
      </c>
      <c r="V31" s="425">
        <f t="shared" si="13"/>
      </c>
      <c r="W31" s="244">
        <f t="shared" ca="1" si="14"/>
      </c>
      <c r="X31" s="202">
        <f t="shared" ca="1" si="14"/>
      </c>
      <c r="AL31" s="482"/>
      <c r="AM31" s="482"/>
      <c r="AN31" s="482"/>
      <c r="AO31" s="482"/>
      <c r="AP31" s="482"/>
      <c r="AQ31" s="482"/>
      <c r="AR31" s="557"/>
      <c r="AS31" s="105">
        <f t="shared" si="2"/>
      </c>
      <c r="AT31" s="105">
        <f t="shared" si="1"/>
      </c>
    </row>
    <row r="32" spans="2:46" s="105" customFormat="1" ht="27" customHeight="1">
      <c r="B32" s="497">
        <f>lamp1!B34</f>
      </c>
      <c r="C32" s="373"/>
      <c r="D32" s="164">
        <f>lamp1!D34</f>
      </c>
      <c r="E32" s="375"/>
      <c r="F32" s="376"/>
      <c r="G32" s="376"/>
      <c r="H32" s="377"/>
      <c r="I32" s="378"/>
      <c r="J32" s="379"/>
      <c r="K32" s="380"/>
      <c r="L32" s="381"/>
      <c r="M32" s="382"/>
      <c r="N32" s="167">
        <f>lamp1!H34</f>
      </c>
      <c r="O32" s="167">
        <f>lamp1!I34</f>
      </c>
      <c r="P32" s="260">
        <f>lamp1!J34</f>
      </c>
      <c r="Q32" s="168">
        <f t="shared" si="15"/>
      </c>
      <c r="R32" s="425">
        <f t="shared" si="11"/>
      </c>
      <c r="S32" s="371">
        <f t="shared" ca="1" si="10"/>
      </c>
      <c r="T32" s="425">
        <f t="shared" ca="1" si="12"/>
      </c>
      <c r="U32" s="213" cm="1">
        <f t="array" ref="U32">IFERROR(INDEX($AL32:$AQ32,$AL$5),0)</f>
      </c>
      <c r="V32" s="425">
        <f t="shared" si="13"/>
      </c>
      <c r="W32" s="244">
        <f t="shared" ca="1" si="14"/>
      </c>
      <c r="X32" s="202">
        <f t="shared" ca="1" si="14"/>
      </c>
      <c r="AL32" s="482"/>
      <c r="AM32" s="482"/>
      <c r="AN32" s="482"/>
      <c r="AO32" s="482"/>
      <c r="AP32" s="482"/>
      <c r="AQ32" s="482"/>
      <c r="AR32" s="557"/>
      <c r="AS32" s="105">
        <f t="shared" si="2"/>
      </c>
      <c r="AT32" s="105">
        <f t="shared" si="1"/>
      </c>
    </row>
    <row r="33" spans="2:46" s="105" customFormat="1" ht="27" customHeight="1">
      <c r="B33" s="497">
        <f>lamp1!B35</f>
      </c>
      <c r="C33" s="373"/>
      <c r="D33" s="164">
        <f>lamp1!D35</f>
      </c>
      <c r="E33" s="375"/>
      <c r="F33" s="376"/>
      <c r="G33" s="376"/>
      <c r="H33" s="377"/>
      <c r="I33" s="378"/>
      <c r="J33" s="379"/>
      <c r="K33" s="380"/>
      <c r="L33" s="381"/>
      <c r="M33" s="382"/>
      <c r="N33" s="167">
        <f>lamp1!H35</f>
      </c>
      <c r="O33" s="167">
        <f>lamp1!I35</f>
      </c>
      <c r="P33" s="260">
        <f>lamp1!J35</f>
      </c>
      <c r="Q33" s="168">
        <v>0</v>
      </c>
      <c r="R33" s="168">
        <v>0</v>
      </c>
      <c r="S33" s="168">
        <v>0</v>
      </c>
      <c r="T33" s="168">
        <v>0</v>
      </c>
      <c r="U33" s="168">
        <v>0</v>
      </c>
      <c r="V33" s="168">
        <v>0</v>
      </c>
      <c r="W33" s="168">
        <v>0</v>
      </c>
      <c r="X33" s="168">
        <v>0</v>
      </c>
      <c r="AL33" s="482">
        <f>'REKAP PROGRES'!J25</f>
      </c>
      <c r="AM33" s="482">
        <f>'REKAP PROGRES'!K25</f>
      </c>
      <c r="AN33" s="482">
        <f>'REKAP PROGRES'!L25</f>
      </c>
      <c r="AO33" s="482">
        <f>'REKAP PROGRES'!M25</f>
      </c>
      <c r="AP33" s="482">
        <f>'REKAP PROGRES'!N25</f>
      </c>
      <c r="AQ33" s="482">
        <f>'REKAP PROGRES'!O25</f>
      </c>
      <c r="AR33" s="557">
        <f t="shared" si="0"/>
      </c>
      <c r="AS33" s="105">
        <f t="shared" si="2"/>
      </c>
      <c r="AT33" s="105">
        <f t="shared" si="1"/>
      </c>
    </row>
    <row r="34" spans="2:46" s="105" customFormat="1" ht="27" customHeight="1">
      <c r="B34" s="497">
        <f>lamp1!B36</f>
      </c>
      <c r="C34" s="373"/>
      <c r="D34" s="164">
        <f>lamp1!D36</f>
      </c>
      <c r="E34" s="375"/>
      <c r="F34" s="376"/>
      <c r="G34" s="376"/>
      <c r="H34" s="377"/>
      <c r="I34" s="378"/>
      <c r="J34" s="379"/>
      <c r="K34" s="380"/>
      <c r="L34" s="381"/>
      <c r="M34" s="382"/>
      <c r="N34" s="167">
        <f>lamp1!H36</f>
      </c>
      <c r="O34" s="167">
        <f>lamp1!I36</f>
      </c>
      <c r="P34" s="260">
        <f>lamp1!J36</f>
      </c>
      <c r="Q34" s="168">
        <v>0</v>
      </c>
      <c r="R34" s="168">
        <v>0</v>
      </c>
      <c r="S34" s="168">
        <v>0</v>
      </c>
      <c r="T34" s="168">
        <v>0</v>
      </c>
      <c r="U34" s="168">
        <v>0</v>
      </c>
      <c r="V34" s="168">
        <v>0</v>
      </c>
      <c r="W34" s="168">
        <v>0</v>
      </c>
      <c r="X34" s="168">
        <v>0</v>
      </c>
      <c r="AL34" s="482">
        <f>'REKAP PROGRES'!J26</f>
      </c>
      <c r="AM34" s="482">
        <f>'REKAP PROGRES'!K26</f>
      </c>
      <c r="AN34" s="482">
        <f>'REKAP PROGRES'!L26</f>
      </c>
      <c r="AO34" s="482">
        <f>'REKAP PROGRES'!M26</f>
      </c>
      <c r="AP34" s="482">
        <f>'REKAP PROGRES'!N26</f>
      </c>
      <c r="AQ34" s="482">
        <f>'REKAP PROGRES'!O26</f>
      </c>
      <c r="AR34" s="557">
        <f t="shared" si="0"/>
      </c>
      <c r="AS34" s="105">
        <f t="shared" si="2"/>
      </c>
      <c r="AT34" s="105">
        <f t="shared" si="1"/>
      </c>
    </row>
    <row r="35" spans="2:46" s="105" customFormat="1" ht="27" customHeight="1">
      <c r="B35" s="497">
        <f>lamp1!B37</f>
      </c>
      <c r="C35" s="373"/>
      <c r="D35" s="164">
        <f>lamp1!D37</f>
      </c>
      <c r="E35" s="375"/>
      <c r="F35" s="376"/>
      <c r="G35" s="376"/>
      <c r="H35" s="377"/>
      <c r="I35" s="378"/>
      <c r="J35" s="379"/>
      <c r="K35" s="380"/>
      <c r="L35" s="381"/>
      <c r="M35" s="382"/>
      <c r="N35" s="167">
        <f>lamp1!H37</f>
      </c>
      <c r="O35" s="167">
        <f>lamp1!I37</f>
      </c>
      <c r="P35" s="260">
        <f>lamp1!J37</f>
      </c>
      <c r="Q35" s="168">
        <f t="shared" si="15"/>
      </c>
      <c r="R35" s="425">
        <f t="shared" si="11"/>
      </c>
      <c r="S35" s="371">
        <f t="shared" ca="1" si="10"/>
      </c>
      <c r="T35" s="425">
        <f t="shared" ca="1" si="12"/>
      </c>
      <c r="U35" s="213" cm="1">
        <f t="array" ref="U35">IFERROR(INDEX($AL35:$AQ35,$AL$5),0)</f>
      </c>
      <c r="V35" s="425">
        <f t="shared" si="13"/>
      </c>
      <c r="W35" s="244">
        <f t="shared" ca="1" si="14"/>
      </c>
      <c r="X35" s="202">
        <f t="shared" ca="1" si="14"/>
      </c>
      <c r="AL35" s="482"/>
      <c r="AM35" s="482"/>
      <c r="AN35" s="482"/>
      <c r="AO35" s="482"/>
      <c r="AP35" s="482"/>
      <c r="AQ35" s="482"/>
      <c r="AR35" s="557"/>
      <c r="AS35" s="105">
        <f t="shared" si="2"/>
      </c>
      <c r="AT35" s="105">
        <f t="shared" si="1"/>
      </c>
    </row>
    <row r="36" spans="2:46" s="105" customFormat="1" ht="27" customHeight="1">
      <c r="B36" s="497">
        <f>lamp1!B38</f>
      </c>
      <c r="C36" s="232"/>
      <c r="D36" s="164">
        <f>lamp1!D38</f>
      </c>
      <c r="E36" s="235"/>
      <c r="F36" s="236"/>
      <c r="G36" s="236"/>
      <c r="H36" s="237"/>
      <c r="I36" s="238"/>
      <c r="J36" s="239"/>
      <c r="K36" s="240"/>
      <c r="L36" s="241"/>
      <c r="M36" s="242"/>
      <c r="N36" s="167">
        <f>lamp1!H38</f>
      </c>
      <c r="O36" s="167">
        <f>lamp1!I38</f>
      </c>
      <c r="P36" s="260">
        <f>lamp1!J38</f>
      </c>
      <c r="Q36" s="168">
        <f t="shared" si="15"/>
      </c>
      <c r="R36" s="425">
        <f t="shared" si="11"/>
      </c>
      <c r="S36" s="371">
        <f t="shared" ca="1" si="10"/>
      </c>
      <c r="T36" s="425">
        <f t="shared" ca="1" si="12"/>
      </c>
      <c r="U36" s="213" cm="1">
        <f t="array" ref="U36">IFERROR(INDEX($AL36:$AQ36,$AL$5),0)</f>
      </c>
      <c r="V36" s="425">
        <f t="shared" si="13"/>
      </c>
      <c r="W36" s="244">
        <f t="shared" ca="1" si="14"/>
      </c>
      <c r="X36" s="202">
        <f t="shared" ca="1" si="14"/>
      </c>
      <c r="AB36" s="424">
        <f>Q36/Q38</f>
      </c>
      <c r="AL36" s="482"/>
      <c r="AM36" s="482"/>
      <c r="AN36" s="482"/>
      <c r="AO36" s="482"/>
      <c r="AP36" s="482"/>
      <c r="AQ36" s="482"/>
      <c r="AR36" s="557"/>
      <c r="AS36" s="105">
        <f t="shared" si="2"/>
      </c>
      <c r="AT36" s="105">
        <f t="shared" si="1"/>
      </c>
    </row>
    <row r="37" spans="2:46" s="105" customFormat="1" ht="25.2" customHeight="1">
      <c r="B37" s="140"/>
      <c r="C37" s="200"/>
      <c r="D37" s="196"/>
      <c r="E37" s="141"/>
      <c r="F37" s="141"/>
      <c r="G37" s="141"/>
      <c r="H37" s="141"/>
      <c r="I37" s="142"/>
      <c r="J37" s="143"/>
      <c r="K37" s="144"/>
      <c r="L37" s="145"/>
      <c r="M37" s="145"/>
      <c r="N37" s="167"/>
      <c r="O37" s="132"/>
      <c r="P37" s="133"/>
      <c r="Q37" s="168"/>
      <c r="R37" s="427"/>
      <c r="S37" s="146"/>
      <c r="T37" s="427"/>
      <c r="U37" s="146"/>
      <c r="V37" s="427"/>
      <c r="W37" s="170"/>
      <c r="X37" s="171"/>
      <c r="AL37" s="482"/>
      <c r="AM37" s="482"/>
      <c r="AN37" s="482"/>
      <c r="AO37" s="482"/>
      <c r="AP37" s="482"/>
      <c r="AQ37" s="482"/>
      <c r="AR37" s="557"/>
      <c r="AS37" s="105">
        <f t="shared" si="2"/>
      </c>
      <c r="AT37" s="105">
        <f t="shared" si="1"/>
      </c>
    </row>
    <row r="38" spans="2:46" ht="25.2" customHeight="1" thickBot="1">
      <c r="B38" s="147"/>
      <c r="C38" s="148" t="s">
        <v>123</v>
      </c>
      <c r="D38" s="149"/>
      <c r="E38" s="150"/>
      <c r="F38" s="150"/>
      <c r="G38" s="150"/>
      <c r="H38" s="150"/>
      <c r="I38" s="150"/>
      <c r="J38" s="151"/>
      <c r="K38" s="152"/>
      <c r="L38" s="153"/>
      <c r="M38" s="154"/>
      <c r="N38" s="155"/>
      <c r="O38" s="151"/>
      <c r="P38" s="156"/>
      <c r="Q38" s="169">
        <f>SUM(Q13:Q37)</f>
      </c>
      <c r="R38" s="428">
        <f>SUM(R13:R37)</f>
      </c>
      <c r="S38" s="197"/>
      <c r="T38" s="428">
        <f ca="1">SUM(T13:T37)</f>
      </c>
      <c r="U38" s="198"/>
      <c r="V38" s="558">
        <f>SUM(V13:V37)</f>
      </c>
      <c r="W38" s="197"/>
      <c r="X38" s="199">
        <f ca="1">SUM(X13:X37)</f>
      </c>
      <c r="Z38" s="666" cm="1">
        <f t="array" aca="1" ref="Z38" ca="1">IF(SUMPRODUCT(--(W15:W37&gt;IFERROR(N15:N37*1,0)))&gt;0,"DITOLAK: ada item dengan progres s/d periode ini MELEBIHI volume kontrak",IF(ROUND(X38,6)&gt;1,"DITOLAK: bobot s/d periode ini "&amp;TEXT(X38,"0.00%")&amp;" sudah melebihi 100%",IF(ROUND(X38,6)=1,"PROGRES SUDAH 100% - VOLUME KONTRAK HABIS, penambahan progres ditolak","SISA BOBOT BELUM DITAGIH: "&amp;TEXT(1-X38,"0.00%"))))</f>
      </c>
      <c r="AA38" s="665"/>
      <c r="AB38" s="665"/>
      <c r="AC38" s="665"/>
      <c r="AD38" s="665"/>
      <c r="AE38" s="665"/>
      <c r="AF38" s="665"/>
      <c r="AG38" s="665"/>
      <c r="AH38" s="665"/>
    </row>
    <row r="39" spans="2:46" ht="25.2" customHeight="1">
      <c r="B39" s="157"/>
      <c r="C39" s="158"/>
      <c r="D39" s="159"/>
      <c r="E39" s="158"/>
      <c r="F39" s="158"/>
      <c r="G39" s="158"/>
      <c r="H39" s="158"/>
      <c r="I39" s="158"/>
      <c r="J39" s="160"/>
      <c r="K39" s="158"/>
      <c r="L39" s="158"/>
      <c r="M39" s="158"/>
      <c r="N39" s="161"/>
      <c r="O39" s="160"/>
      <c r="P39" s="161"/>
      <c r="Q39" s="161"/>
      <c r="R39" s="162"/>
      <c r="S39" s="120"/>
      <c r="T39" s="120"/>
      <c r="U39" s="120"/>
      <c r="V39" s="120"/>
      <c r="W39" s="120"/>
      <c r="X39" s="120"/>
      <c r="Z39" s="665"/>
      <c r="AA39" s="665"/>
      <c r="AB39" s="665"/>
      <c r="AC39" s="665"/>
      <c r="AD39" s="665"/>
      <c r="AE39" s="665"/>
      <c r="AF39" s="665"/>
      <c r="AG39" s="665"/>
      <c r="AH39" s="665"/>
    </row>
    <row r="40" spans="2:46" ht="25.2" customHeight="1">
      <c r="B40" s="157"/>
      <c r="C40" s="158"/>
      <c r="D40" s="159"/>
      <c r="E40" s="158"/>
      <c r="F40" s="158"/>
      <c r="G40" s="158"/>
      <c r="H40" s="158"/>
      <c r="I40" s="158"/>
      <c r="J40" s="160"/>
      <c r="K40" s="158"/>
      <c r="L40" s="158"/>
      <c r="M40" s="158"/>
      <c r="N40" s="163"/>
      <c r="O40" s="160"/>
      <c r="P40" s="161"/>
      <c r="Q40" s="161"/>
      <c r="R40" s="120"/>
      <c r="S40" s="120"/>
      <c r="T40" s="120"/>
      <c r="U40" s="120"/>
      <c r="V40" s="172"/>
      <c r="W40" s="203">
        <f>DATA!$B$36&amp;", "&amp;BAPP!W2</f>
      </c>
      <c r="X40" s="172"/>
    </row>
    <row r="41" spans="2:46" ht="25.2" customHeight="1">
      <c r="B41" s="658" t="s">
        <v>166</v>
      </c>
      <c r="C41" s="658"/>
      <c r="D41" s="658"/>
      <c r="E41" s="658"/>
      <c r="F41" s="658"/>
      <c r="G41" s="658"/>
      <c r="H41" s="658"/>
      <c r="I41" s="173"/>
      <c r="J41" s="173"/>
      <c r="K41" s="173"/>
      <c r="L41" s="173"/>
      <c r="M41" s="173"/>
      <c r="N41" s="658" t="s">
        <v>167</v>
      </c>
      <c r="O41" s="658"/>
      <c r="P41" s="658"/>
      <c r="Q41" s="658"/>
      <c r="R41" s="658"/>
      <c r="S41" s="658"/>
      <c r="T41" s="658"/>
      <c r="U41" s="120"/>
      <c r="V41" s="658" t="s">
        <v>168</v>
      </c>
      <c r="W41" s="658"/>
      <c r="X41" s="658"/>
    </row>
    <row r="42" spans="2:46" ht="25.2" hidden="1" customHeight="1">
      <c r="B42" s="658">
        <f>DATA!$B$107</f>
      </c>
      <c r="C42" s="658"/>
      <c r="D42" s="658"/>
      <c r="E42" s="658"/>
      <c r="F42" s="658"/>
      <c r="G42" s="658"/>
      <c r="H42" s="658"/>
      <c r="I42" s="173"/>
      <c r="J42" s="173"/>
      <c r="K42" s="173"/>
      <c r="L42" s="173"/>
      <c r="M42" s="173"/>
      <c r="N42" s="658">
        <f>B42</f>
      </c>
      <c r="O42" s="658"/>
      <c r="P42" s="658"/>
      <c r="Q42" s="161"/>
      <c r="R42" s="655">
        <f>N42</f>
      </c>
      <c r="S42" s="655"/>
      <c r="T42" s="655"/>
      <c r="U42" s="120"/>
      <c r="V42" s="655" t="s">
        <v>169</v>
      </c>
      <c r="W42" s="655"/>
      <c r="X42" s="655"/>
    </row>
    <row r="43" spans="2:46" ht="25.2" hidden="1" customHeight="1">
      <c r="B43" s="658">
        <f>DATA!$B$108</f>
      </c>
      <c r="C43" s="658"/>
      <c r="D43" s="658"/>
      <c r="E43" s="658"/>
      <c r="F43" s="658"/>
      <c r="G43" s="658"/>
      <c r="H43" s="658"/>
      <c r="I43" s="173"/>
      <c r="J43" s="173"/>
      <c r="K43" s="173"/>
      <c r="L43" s="173"/>
      <c r="M43" s="173"/>
      <c r="N43" s="658">
        <f>$B$43</f>
      </c>
      <c r="O43" s="658"/>
      <c r="P43" s="658"/>
      <c r="Q43" s="161"/>
      <c r="R43" s="655">
        <f>$B$43</f>
      </c>
      <c r="S43" s="655"/>
      <c r="T43" s="655"/>
      <c r="U43" s="120"/>
      <c r="V43" s="655"/>
      <c r="W43" s="655"/>
      <c r="X43" s="655"/>
    </row>
    <row r="44" spans="2:46" ht="25.2" customHeight="1">
      <c r="B44" s="157"/>
      <c r="C44" s="158"/>
      <c r="D44" s="159"/>
      <c r="E44" s="158"/>
      <c r="F44" s="158"/>
      <c r="G44" s="158"/>
      <c r="H44" s="158"/>
      <c r="I44" s="158"/>
      <c r="J44" s="158"/>
      <c r="K44" s="158"/>
      <c r="L44" s="158"/>
      <c r="M44" s="158"/>
      <c r="N44" s="161"/>
      <c r="O44" s="158"/>
      <c r="P44" s="161"/>
      <c r="Q44" s="161"/>
      <c r="R44" s="120"/>
      <c r="S44" s="120"/>
      <c r="T44" s="120"/>
      <c r="U44" s="120"/>
      <c r="V44" s="120"/>
      <c r="W44" s="120"/>
      <c r="X44" s="120"/>
    </row>
    <row r="45" spans="2:46" ht="25.2" customHeight="1">
      <c r="B45" s="157"/>
      <c r="C45" s="158"/>
      <c r="D45" s="159"/>
      <c r="E45" s="158"/>
      <c r="F45" s="158"/>
      <c r="G45" s="158"/>
      <c r="H45" s="158"/>
      <c r="I45" s="158"/>
      <c r="J45" s="158"/>
      <c r="K45" s="158"/>
      <c r="L45" s="158"/>
      <c r="M45" s="158"/>
      <c r="N45" s="161"/>
      <c r="O45" s="158"/>
      <c r="P45" s="161"/>
      <c r="Q45" s="161"/>
      <c r="R45" s="120"/>
      <c r="S45" s="120"/>
      <c r="T45" s="120"/>
      <c r="U45" s="120"/>
      <c r="V45" s="120"/>
      <c r="W45" s="120"/>
      <c r="X45" s="120"/>
    </row>
    <row r="46" spans="2:46" ht="25.2" customHeight="1">
      <c r="B46" s="157"/>
      <c r="C46" s="158"/>
      <c r="D46" s="159"/>
      <c r="E46" s="158"/>
      <c r="F46" s="158"/>
      <c r="G46" s="158"/>
      <c r="H46" s="158"/>
      <c r="I46" s="158"/>
      <c r="J46" s="158"/>
      <c r="K46" s="158"/>
      <c r="L46" s="158"/>
      <c r="M46" s="158"/>
      <c r="N46" s="161"/>
      <c r="O46" s="158"/>
      <c r="P46" s="161"/>
      <c r="Q46" s="161"/>
      <c r="R46" s="120"/>
      <c r="S46" s="120"/>
      <c r="T46" s="120"/>
      <c r="U46" s="120"/>
      <c r="V46" s="120"/>
      <c r="W46" s="120"/>
      <c r="X46" s="120"/>
    </row>
    <row r="47" spans="2:46" ht="25.2" customHeight="1">
      <c r="B47" s="157"/>
      <c r="C47" s="158"/>
      <c r="D47" s="159"/>
      <c r="E47" s="158"/>
      <c r="F47" s="158"/>
      <c r="G47" s="158"/>
      <c r="H47" s="158"/>
      <c r="I47" s="158"/>
      <c r="J47" s="158"/>
      <c r="K47" s="158"/>
      <c r="L47" s="158"/>
      <c r="M47" s="158"/>
      <c r="N47" s="161"/>
      <c r="O47" s="158"/>
      <c r="P47" s="161"/>
      <c r="Q47" s="161"/>
      <c r="R47" s="120"/>
      <c r="S47" s="120"/>
      <c r="T47" s="120"/>
      <c r="U47" s="120"/>
      <c r="V47" s="120"/>
      <c r="W47" s="120"/>
      <c r="X47" s="120"/>
    </row>
    <row r="48" spans="2:46" ht="25.2" customHeight="1">
      <c r="B48" s="157"/>
      <c r="C48" s="158"/>
      <c r="D48" s="159"/>
      <c r="E48" s="158"/>
      <c r="F48" s="158"/>
      <c r="G48" s="158"/>
      <c r="H48" s="158"/>
      <c r="I48" s="158"/>
      <c r="J48" s="158"/>
      <c r="K48" s="158"/>
      <c r="L48" s="158"/>
      <c r="M48" s="158"/>
      <c r="N48" s="161"/>
      <c r="O48" s="158"/>
      <c r="P48" s="161"/>
      <c r="Q48" s="161"/>
      <c r="R48" s="120"/>
      <c r="S48" s="120"/>
      <c r="T48" s="120"/>
      <c r="U48" s="120"/>
      <c r="V48" s="120"/>
      <c r="W48" s="120"/>
      <c r="X48" s="120"/>
    </row>
    <row r="49" spans="2:24" ht="25.2" customHeight="1">
      <c r="B49" s="157"/>
      <c r="C49" s="158"/>
      <c r="D49" s="159"/>
      <c r="E49" s="158"/>
      <c r="F49" s="158"/>
      <c r="G49" s="158"/>
      <c r="H49" s="158"/>
      <c r="I49" s="158"/>
      <c r="J49" s="158"/>
      <c r="K49" s="158"/>
      <c r="L49" s="158"/>
      <c r="M49" s="158"/>
      <c r="N49" s="161"/>
      <c r="O49" s="158"/>
      <c r="P49" s="161"/>
      <c r="Q49" s="161"/>
      <c r="R49" s="120"/>
      <c r="S49" s="120"/>
      <c r="T49" s="120"/>
      <c r="U49" s="120"/>
      <c r="V49" s="120"/>
      <c r="W49" s="120"/>
      <c r="X49" s="120"/>
    </row>
    <row r="50" spans="2:24" ht="25.2" customHeight="1">
      <c r="B50" s="659">
        <f>DATA!$B$109</f>
      </c>
      <c r="C50" s="660"/>
      <c r="D50" s="660"/>
      <c r="E50" s="660"/>
      <c r="F50" s="660"/>
      <c r="G50" s="660"/>
      <c r="H50" s="660"/>
      <c r="I50" s="174"/>
      <c r="J50" s="174"/>
      <c r="K50" s="174"/>
      <c r="L50" s="174"/>
      <c r="M50" s="174"/>
      <c r="N50" s="659">
        <f>DATA!$B$111</f>
      </c>
      <c r="O50" s="660"/>
      <c r="P50" s="660"/>
      <c r="Q50" s="218"/>
      <c r="R50" s="664">
        <f>DATA!$B$113</f>
      </c>
      <c r="S50" s="665"/>
      <c r="T50" s="665"/>
      <c r="U50" s="665"/>
      <c r="V50" s="663">
        <f>DATA!B22</f>
      </c>
      <c r="W50" s="663"/>
      <c r="X50" s="663"/>
    </row>
    <row r="51" spans="2:24" ht="25.2" customHeight="1">
      <c r="B51" s="658">
        <f>DATA!$B$110</f>
      </c>
      <c r="C51" s="658"/>
      <c r="D51" s="658"/>
      <c r="E51" s="658"/>
      <c r="F51" s="658"/>
      <c r="G51" s="658"/>
      <c r="H51" s="658"/>
      <c r="I51" s="173"/>
      <c r="J51" s="173"/>
      <c r="K51" s="173"/>
      <c r="L51" s="173"/>
      <c r="M51" s="173"/>
      <c r="N51" s="658">
        <f>DATA!$B$112</f>
      </c>
      <c r="O51" s="658"/>
      <c r="P51" s="658"/>
      <c r="Q51" s="219"/>
      <c r="R51" s="702">
        <f>DATA!$B$114</f>
      </c>
      <c r="S51" s="703"/>
      <c r="T51" s="703"/>
      <c r="U51" s="703"/>
      <c r="V51" s="655">
        <f>DATA!B23</f>
      </c>
      <c r="W51" s="655"/>
      <c r="X51" s="655"/>
    </row>
    <row r="54" spans="2:24" ht="25.2" customHeight="1">
      <c r="P54" s="166"/>
    </row>
    <row r="55" spans="2:24" ht="25.2" customHeight="1">
      <c r="J55" s="165" t="s">
        <v>170</v>
      </c>
      <c r="O55" s="165"/>
      <c r="P55" s="165"/>
    </row>
    <row r="56" spans="2:24" ht="25.2" customHeight="1">
      <c r="J56" s="165">
        <f>DATA!$B$62</f>
      </c>
      <c r="O56" s="165"/>
    </row>
    <row r="57" spans="2:24" ht="25.2" customHeight="1">
      <c r="J57" s="165">
        <f>DATA!$B$108</f>
      </c>
      <c r="O57" s="165"/>
    </row>
  </sheetData>
  <mergeCells count="46">
    <mergeCell ref="B41:H41"/>
    <mergeCell ref="V41:X41"/>
    <mergeCell ref="N51:P51"/>
    <mergeCell ref="B3:X3"/>
    <mergeCell ref="O7:O9"/>
    <mergeCell ref="B51:H51"/>
    <mergeCell ref="V51:X51"/>
    <mergeCell ref="B43:H43"/>
    <mergeCell ref="R43:T43"/>
    <mergeCell ref="V43:X43"/>
    <mergeCell ref="S7:T7"/>
    <mergeCell ref="B42:H42"/>
    <mergeCell ref="B50:H50"/>
    <mergeCell ref="R42:T42"/>
    <mergeCell ref="C11:I11"/>
    <mergeCell ref="R51:U51"/>
    <mergeCell ref="U7:V7"/>
    <mergeCell ref="W7:X7"/>
    <mergeCell ref="R8:R9"/>
    <mergeCell ref="S8:S9"/>
    <mergeCell ref="T8:T9"/>
    <mergeCell ref="AL1:AT1"/>
    <mergeCell ref="AL2:AT2"/>
    <mergeCell ref="Z38:AH38"/>
    <mergeCell ref="Z39:AH39"/>
    <mergeCell ref="N41:T41"/>
    <mergeCell ref="U8:U9"/>
    <mergeCell ref="B2:X2"/>
    <mergeCell ref="B4:X4"/>
    <mergeCell ref="B5:X5"/>
    <mergeCell ref="B7:B9"/>
    <mergeCell ref="C7:I9"/>
    <mergeCell ref="J7:J9"/>
    <mergeCell ref="K7:M8"/>
    <mergeCell ref="N7:N9"/>
    <mergeCell ref="P7:P9"/>
    <mergeCell ref="Q7:Q9"/>
    <mergeCell ref="V42:X42"/>
    <mergeCell ref="X8:X9"/>
    <mergeCell ref="N43:P43"/>
    <mergeCell ref="N50:P50"/>
    <mergeCell ref="V8:V9"/>
    <mergeCell ref="W8:W9"/>
    <mergeCell ref="V50:X50"/>
    <mergeCell ref="N42:P42"/>
    <mergeCell ref="R50:U50"/>
  </mergeCells>
  <conditionalFormatting sqref="Z38:AH39">
    <cfRule type="containsText" dxfId="32" priority="11" operator="containsText" text="DITOLAK">
      <formula>NOT(ISERROR(SEARCH("DITOLAK",Z38)))</formula>
    </cfRule>
    <cfRule type="containsText" dxfId="31" priority="12" operator="containsText" text="HABIS">
      <formula>NOT(ISERROR(SEARCH("HABIS",Z38)))</formula>
    </cfRule>
    <cfRule type="containsText" dxfId="30" priority="13" operator="containsText" text="SISA">
      <formula>NOT(ISERROR(SEARCH("SISA",Z38)))</formula>
    </cfRule>
  </conditionalFormatting>
  <conditionalFormatting sqref="AL13:AQ37">
    <cfRule type="expression" dxfId="29" priority="10">
      <formula>AND(AL13&lt;&gt;"",SUM($AL13:$AQ13)&gt;N($N13))</formula>
    </cfRule>
  </conditionalFormatting>
  <conditionalFormatting sqref="AL1:AT2">
    <cfRule type="containsText" dxfId="28" priority="1" operator="containsText" text="DITOLAK">
      <formula>NOT(ISERROR(SEARCH("DITOLAK",AL1)))</formula>
    </cfRule>
    <cfRule type="containsText" dxfId="27" priority="2" operator="containsText" text="100%">
      <formula>NOT(ISERROR(SEARCH("100%",AL1)))</formula>
    </cfRule>
    <cfRule type="containsText" dxfId="26" priority="3" operator="containsText" text="AMAN">
      <formula>NOT(ISERROR(SEARCH("AMAN",AL1)))</formula>
    </cfRule>
    <cfRule type="containsText" dxfId="25" priority="6" operator="containsText" text="100%">
      <formula>NOT(ISERROR(SEARCH("100%",AL1)))</formula>
    </cfRule>
    <cfRule type="containsText" dxfId="24" priority="7" operator="containsText" text="AMAN">
      <formula>NOT(ISERROR(SEARCH("AMAN",AL1)))</formula>
    </cfRule>
  </conditionalFormatting>
  <conditionalFormatting sqref="AT13:AT37">
    <cfRule type="containsText" dxfId="23" priority="8" operator="containsText" text="DITOLAK">
      <formula>NOT(ISERROR(SEARCH("DITOLAK",AT13)))</formula>
    </cfRule>
    <cfRule type="containsText" dxfId="22" priority="9" operator="containsText" text="HABIS">
      <formula>NOT(ISERROR(SEARCH("HABIS",AT13)))</formula>
    </cfRule>
  </conditionalFormatting>
  <printOptions horizontalCentered="1"/>
  <pageMargins left="0.18" right="0.14000000000000001" top="0.39370078740157499" bottom="0.39370078740157499" header="0.31496062992126" footer="0.31496062992126"/>
  <pageSetup paperSize="9" scale="39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5940-FFB1-405A-A469-701B73AD465B}">
  <sheetPr>
    <tabColor rgb="FF0070C0"/>
  </sheetPr>
  <dimension ref="B2:AQ185"/>
  <sheetViews>
    <sheetView view="pageBreakPreview" topLeftCell="H1" zoomScale="40" zoomScaleNormal="60" zoomScaleSheetLayoutView="40" workbookViewId="0">
      <selection activeCell="U14" sqref="U14"/>
    </sheetView>
  </sheetViews>
  <sheetFormatPr defaultColWidth="4.1796875" defaultRowHeight="25.2" customHeight="1"/>
  <cols>
    <col min="1" max="1" width="5.453125" style="101" customWidth="1"/>
    <col min="2" max="2" width="5.54296875" style="106" customWidth="1"/>
    <col min="3" max="3" width="3.453125" style="107" customWidth="1"/>
    <col min="4" max="4" width="3.81640625" style="108" customWidth="1"/>
    <col min="5" max="5" width="5.1796875" style="107" customWidth="1"/>
    <col min="6" max="6" width="3.81640625" style="107" customWidth="1"/>
    <col min="7" max="7" width="3.08984375" style="107" customWidth="1"/>
    <col min="8" max="8" width="23" style="107" customWidth="1"/>
    <col min="9" max="9" width="29.1796875" style="107" customWidth="1"/>
    <col min="10" max="10" width="6.1796875" style="109" hidden="1" customWidth="1"/>
    <col min="11" max="11" width="12.81640625" style="109" hidden="1" customWidth="1"/>
    <col min="12" max="12" width="17" style="110" hidden="1" customWidth="1"/>
    <col min="13" max="13" width="22.1796875" style="110" hidden="1" customWidth="1"/>
    <col min="14" max="14" width="13.81640625" style="102" customWidth="1"/>
    <col min="15" max="15" width="14.54296875" style="109" bestFit="1" customWidth="1"/>
    <col min="16" max="16" width="24.81640625" style="111" customWidth="1"/>
    <col min="17" max="17" width="26.81640625" style="111" customWidth="1"/>
    <col min="18" max="18" width="14.81640625" style="102" bestFit="1" customWidth="1"/>
    <col min="19" max="21" width="13.453125" style="102" customWidth="1"/>
    <col min="22" max="22" width="14.453125" style="102" customWidth="1"/>
    <col min="23" max="23" width="13.453125" style="102" customWidth="1"/>
    <col min="24" max="24" width="14.81640625" style="102" bestFit="1" customWidth="1"/>
    <col min="25" max="25" width="9" style="101" customWidth="1"/>
    <col min="26" max="27" width="7.08984375" style="101" customWidth="1"/>
    <col min="28" max="28" width="14.453125" style="101" bestFit="1" customWidth="1"/>
    <col min="29" max="29" width="17.81640625" style="101" bestFit="1" customWidth="1"/>
    <col min="30" max="30" width="15.1796875" style="101" bestFit="1" customWidth="1"/>
    <col min="31" max="31" width="17.81640625" style="101" bestFit="1" customWidth="1"/>
    <col min="32" max="32" width="9.81640625" style="101" bestFit="1" customWidth="1"/>
    <col min="33" max="35" width="7.08984375" style="101" customWidth="1"/>
    <col min="36" max="36" width="15.1796875" style="101" bestFit="1" customWidth="1"/>
    <col min="37" max="37" width="7.08984375" style="101" customWidth="1"/>
    <col min="38" max="43" width="10.36328125" style="101" customWidth="1"/>
    <col min="44" max="128" width="7.08984375" style="101" customWidth="1"/>
    <col min="129" max="129" width="5.453125" style="101" customWidth="1"/>
    <col min="130" max="130" width="6.1796875" style="101" customWidth="1"/>
    <col min="131" max="131" width="4.81640625" style="101" customWidth="1"/>
    <col min="132" max="132" width="6" style="101" customWidth="1"/>
    <col min="133" max="16384" width="4.1796875" style="101"/>
  </cols>
  <sheetData>
    <row r="2" spans="2:43" ht="25.2" customHeight="1"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7"/>
      <c r="U2" s="667"/>
      <c r="V2" s="667"/>
      <c r="W2" s="667"/>
      <c r="X2" s="667"/>
    </row>
    <row r="3" spans="2:43" ht="25.2" customHeight="1">
      <c r="B3" s="668" t="s">
        <v>137</v>
      </c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  <c r="N3" s="668"/>
      <c r="O3" s="668"/>
      <c r="P3" s="668"/>
      <c r="Q3" s="668"/>
      <c r="R3" s="668"/>
      <c r="S3" s="668"/>
      <c r="T3" s="668"/>
      <c r="U3" s="668"/>
      <c r="V3" s="668"/>
      <c r="W3" s="668"/>
      <c r="X3" s="668"/>
    </row>
    <row r="4" spans="2:43" ht="25.2" customHeight="1">
      <c r="B4" s="668">
        <f>UPPER(""&amp;#REF!)</f>
      </c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  <c r="N4" s="668"/>
      <c r="O4" s="668"/>
      <c r="P4" s="668"/>
      <c r="Q4" s="668"/>
      <c r="R4" s="668"/>
      <c r="S4" s="668"/>
      <c r="T4" s="668"/>
      <c r="U4" s="668"/>
      <c r="V4" s="668"/>
      <c r="W4" s="668"/>
      <c r="X4" s="668"/>
      <c r="AC4" s="251"/>
      <c r="AI4" s="247"/>
      <c r="AJ4" s="248"/>
      <c r="AL4" s="466" t="s">
        <v>51</v>
      </c>
    </row>
    <row r="5" spans="2:43" ht="25.2" customHeight="1">
      <c r="B5" s="668" t="s">
        <v>138</v>
      </c>
      <c r="C5" s="668"/>
      <c r="D5" s="668"/>
      <c r="E5" s="668"/>
      <c r="F5" s="668"/>
      <c r="G5" s="668"/>
      <c r="H5" s="668"/>
      <c r="I5" s="668"/>
      <c r="J5" s="668"/>
      <c r="K5" s="668"/>
      <c r="L5" s="668"/>
      <c r="M5" s="668"/>
      <c r="N5" s="668"/>
      <c r="O5" s="668"/>
      <c r="P5" s="668"/>
      <c r="Q5" s="668"/>
      <c r="R5" s="668"/>
      <c r="S5" s="668"/>
      <c r="T5" s="668"/>
      <c r="U5" s="668"/>
      <c r="V5" s="668"/>
      <c r="W5" s="668"/>
      <c r="X5" s="668"/>
      <c r="AC5" s="251"/>
      <c r="AG5" s="247"/>
      <c r="AI5" s="247"/>
      <c r="AJ5" s="249"/>
      <c r="AL5" s="467">
        <v>2</v>
      </c>
    </row>
    <row r="6" spans="2:43" ht="15" customHeight="1" thickBot="1">
      <c r="B6" s="112"/>
      <c r="C6" s="113"/>
      <c r="D6" s="114"/>
      <c r="E6" s="113"/>
      <c r="F6" s="113"/>
      <c r="G6" s="113"/>
      <c r="H6" s="113"/>
      <c r="I6" s="113"/>
      <c r="J6" s="115"/>
      <c r="K6" s="116"/>
      <c r="L6" s="117"/>
      <c r="M6" s="117"/>
      <c r="N6" s="118"/>
      <c r="O6" s="115"/>
      <c r="P6" s="119"/>
      <c r="Q6" s="119"/>
      <c r="R6" s="120"/>
      <c r="S6" s="120"/>
      <c r="T6" s="120"/>
      <c r="U6" s="120"/>
      <c r="V6" s="120"/>
      <c r="W6" s="120"/>
      <c r="X6" s="120"/>
    </row>
    <row r="7" spans="2:43" s="103" customFormat="1" ht="25.2" customHeight="1">
      <c r="B7" s="669" t="s">
        <v>139</v>
      </c>
      <c r="C7" s="672" t="s">
        <v>140</v>
      </c>
      <c r="D7" s="673"/>
      <c r="E7" s="673"/>
      <c r="F7" s="673"/>
      <c r="G7" s="673"/>
      <c r="H7" s="673"/>
      <c r="I7" s="674"/>
      <c r="J7" s="681" t="s">
        <v>141</v>
      </c>
      <c r="K7" s="684" t="s">
        <v>142</v>
      </c>
      <c r="L7" s="685"/>
      <c r="M7" s="686"/>
      <c r="N7" s="690" t="s">
        <v>143</v>
      </c>
      <c r="O7" s="681" t="s">
        <v>141</v>
      </c>
      <c r="P7" s="693" t="s">
        <v>144</v>
      </c>
      <c r="Q7" s="693" t="s">
        <v>145</v>
      </c>
      <c r="R7" s="121" t="s">
        <v>146</v>
      </c>
      <c r="S7" s="696" t="s">
        <v>147</v>
      </c>
      <c r="T7" s="696"/>
      <c r="U7" s="696" t="s">
        <v>148</v>
      </c>
      <c r="V7" s="696"/>
      <c r="W7" s="696" t="s">
        <v>149</v>
      </c>
      <c r="X7" s="697"/>
      <c r="AJ7" s="250"/>
      <c r="AL7" s="457" t="s">
        <v>171</v>
      </c>
    </row>
    <row r="8" spans="2:43" s="103" customFormat="1" ht="25.2" customHeight="1">
      <c r="B8" s="670"/>
      <c r="C8" s="675"/>
      <c r="D8" s="676"/>
      <c r="E8" s="676"/>
      <c r="F8" s="676"/>
      <c r="G8" s="676"/>
      <c r="H8" s="676"/>
      <c r="I8" s="677"/>
      <c r="J8" s="682"/>
      <c r="K8" s="687"/>
      <c r="L8" s="688"/>
      <c r="M8" s="689"/>
      <c r="N8" s="691"/>
      <c r="O8" s="682"/>
      <c r="P8" s="694"/>
      <c r="Q8" s="694"/>
      <c r="R8" s="698" t="s">
        <v>152</v>
      </c>
      <c r="S8" s="661" t="s">
        <v>153</v>
      </c>
      <c r="T8" s="661" t="s">
        <v>146</v>
      </c>
      <c r="U8" s="661" t="s">
        <v>153</v>
      </c>
      <c r="V8" s="661" t="s">
        <v>146</v>
      </c>
      <c r="W8" s="661" t="s">
        <v>153</v>
      </c>
      <c r="X8" s="656" t="s">
        <v>146</v>
      </c>
    </row>
    <row r="9" spans="2:43" s="103" customFormat="1" ht="32.25" customHeight="1" thickBot="1">
      <c r="B9" s="671"/>
      <c r="C9" s="678"/>
      <c r="D9" s="679"/>
      <c r="E9" s="679"/>
      <c r="F9" s="679"/>
      <c r="G9" s="679"/>
      <c r="H9" s="679"/>
      <c r="I9" s="680"/>
      <c r="J9" s="683"/>
      <c r="K9" s="122" t="s">
        <v>143</v>
      </c>
      <c r="L9" s="122" t="s">
        <v>154</v>
      </c>
      <c r="M9" s="122" t="s">
        <v>155</v>
      </c>
      <c r="N9" s="692"/>
      <c r="O9" s="683"/>
      <c r="P9" s="695"/>
      <c r="Q9" s="695"/>
      <c r="R9" s="662"/>
      <c r="S9" s="662"/>
      <c r="T9" s="662"/>
      <c r="U9" s="662"/>
      <c r="V9" s="662"/>
      <c r="W9" s="662"/>
      <c r="X9" s="657"/>
      <c r="AL9" s="458" t="s">
        <v>156</v>
      </c>
      <c r="AM9" s="458" t="s">
        <v>157</v>
      </c>
      <c r="AN9" s="458" t="s">
        <v>158</v>
      </c>
      <c r="AO9" s="458" t="s">
        <v>159</v>
      </c>
      <c r="AP9" s="458" t="s">
        <v>160</v>
      </c>
      <c r="AQ9" s="458" t="s">
        <v>161</v>
      </c>
    </row>
    <row r="10" spans="2:43" s="104" customFormat="1" ht="25.2" customHeight="1">
      <c r="B10" s="123"/>
      <c r="C10" s="124"/>
      <c r="D10" s="125"/>
      <c r="E10" s="126"/>
      <c r="F10" s="126"/>
      <c r="G10" s="126"/>
      <c r="H10" s="126"/>
      <c r="I10" s="126"/>
      <c r="J10" s="127"/>
      <c r="K10" s="127"/>
      <c r="L10" s="128"/>
      <c r="M10" s="127"/>
      <c r="N10" s="129"/>
      <c r="O10" s="127"/>
      <c r="P10" s="130"/>
      <c r="Q10" s="130"/>
      <c r="R10" s="129"/>
      <c r="S10" s="129"/>
      <c r="T10" s="129"/>
      <c r="U10" s="129"/>
      <c r="V10" s="129"/>
      <c r="W10" s="129"/>
      <c r="X10" s="131"/>
      <c r="AL10" s="459"/>
      <c r="AM10" s="459"/>
      <c r="AN10" s="459"/>
      <c r="AO10" s="459"/>
      <c r="AP10" s="459"/>
      <c r="AQ10" s="459"/>
    </row>
    <row r="11" spans="2:43" s="105" customFormat="1" ht="64.8" customHeight="1">
      <c r="B11" s="123"/>
      <c r="C11" s="706">
        <f>DATA!$B$6</f>
      </c>
      <c r="D11" s="707"/>
      <c r="E11" s="707"/>
      <c r="F11" s="707"/>
      <c r="G11" s="707"/>
      <c r="H11" s="707"/>
      <c r="I11" s="708"/>
      <c r="J11" s="136"/>
      <c r="K11" s="137"/>
      <c r="L11" s="138"/>
      <c r="M11" s="139"/>
      <c r="N11" s="167"/>
      <c r="O11" s="167"/>
      <c r="P11" s="134"/>
      <c r="Q11" s="167"/>
      <c r="R11" s="201"/>
      <c r="S11" s="135"/>
      <c r="T11" s="201"/>
      <c r="U11" s="213"/>
      <c r="V11" s="201"/>
      <c r="W11" s="170"/>
      <c r="X11" s="202"/>
      <c r="AC11" s="105" t="s">
        <v>165</v>
      </c>
      <c r="AL11" s="460"/>
      <c r="AM11" s="460"/>
      <c r="AN11" s="460"/>
      <c r="AO11" s="460"/>
      <c r="AP11" s="460"/>
      <c r="AQ11" s="460"/>
    </row>
    <row r="12" spans="2:43" s="105" customFormat="1" ht="27" customHeight="1">
      <c r="B12" s="383">
        <f>#REF!</f>
      </c>
      <c r="C12" s="384"/>
      <c r="D12" s="385">
        <f>IF(#REF!&lt;&gt;"",#REF!,IF(#REF!&lt;&gt;"",#REF!,""))</f>
      </c>
      <c r="E12" s="386"/>
      <c r="F12" s="387"/>
      <c r="G12" s="387"/>
      <c r="H12" s="388"/>
      <c r="I12" s="389"/>
      <c r="J12" s="390"/>
      <c r="K12" s="391"/>
      <c r="L12" s="392"/>
      <c r="M12" s="393"/>
      <c r="N12" s="394"/>
      <c r="O12" s="394"/>
      <c r="P12" s="395"/>
      <c r="Q12" s="396"/>
      <c r="R12" s="397"/>
      <c r="S12" s="398"/>
      <c r="T12" s="397"/>
      <c r="U12" s="398"/>
      <c r="V12" s="397"/>
      <c r="W12" s="399"/>
      <c r="X12" s="400"/>
      <c r="AL12" s="460"/>
      <c r="AM12" s="460"/>
      <c r="AN12" s="460"/>
      <c r="AO12" s="460"/>
      <c r="AP12" s="460"/>
      <c r="AQ12" s="460"/>
    </row>
    <row r="13" spans="2:43" s="105" customFormat="1" ht="27" customHeight="1">
      <c r="B13" s="123">
        <f>#REF!</f>
      </c>
      <c r="C13" s="373"/>
      <c r="D13" s="374">
        <f>IF(#REF!&lt;&gt;"",#REF!,IF(#REF!&lt;&gt;"",#REF!,""))</f>
      </c>
      <c r="E13" s="375"/>
      <c r="F13" s="376"/>
      <c r="G13" s="376"/>
      <c r="H13" s="377"/>
      <c r="I13" s="378"/>
      <c r="J13" s="379"/>
      <c r="K13" s="380"/>
      <c r="L13" s="381"/>
      <c r="M13" s="382"/>
      <c r="N13" s="167"/>
      <c r="O13" s="167"/>
      <c r="P13" s="260"/>
      <c r="Q13" s="168"/>
      <c r="R13" s="201"/>
      <c r="S13" s="135"/>
      <c r="T13" s="201"/>
      <c r="U13" s="213"/>
      <c r="V13" s="201"/>
      <c r="W13" s="244"/>
      <c r="X13" s="202"/>
      <c r="AL13" s="460"/>
      <c r="AM13" s="460"/>
      <c r="AN13" s="460"/>
      <c r="AO13" s="460"/>
      <c r="AP13" s="460"/>
      <c r="AQ13" s="460"/>
    </row>
    <row r="14" spans="2:43" s="105" customFormat="1" ht="27" customHeight="1">
      <c r="B14" s="243">
        <f>#REF!</f>
      </c>
      <c r="C14" s="232"/>
      <c r="D14" s="164">
        <f>IF(#REF!&lt;&gt;"",#REF!,IF(#REF!&lt;&gt;"",#REF!,""))</f>
      </c>
      <c r="E14" s="235"/>
      <c r="F14" s="236"/>
      <c r="G14" s="236"/>
      <c r="H14" s="237"/>
      <c r="I14" s="238"/>
      <c r="J14" s="239"/>
      <c r="K14" s="240"/>
      <c r="L14" s="241"/>
      <c r="M14" s="242"/>
      <c r="N14" s="167">
        <f>#REF!</f>
      </c>
      <c r="O14" s="167">
        <f>#REF!</f>
      </c>
      <c r="P14" s="260">
        <f>#REF!</f>
      </c>
      <c r="Q14" s="168">
        <f>P14*N14</f>
      </c>
      <c r="R14" s="425">
        <f>IFERROR(Q14/$Q$166,0)</f>
      </c>
      <c r="S14" s="135">
        <f ca="1">IF($AL$5&lt;=1,0,SUM(OFFSET('rincian '!#REF!,0,0,1,$AL$5-1)))</f>
      </c>
      <c r="T14" s="425">
        <f ca="1">IFERROR(S14/N14*R14,0)</f>
      </c>
      <c r="U14" s="213" cm="1">
        <f t="array" ref="U14">IFERROR(INDEX('rincian '!#REF!,$AL$5),0)</f>
      </c>
      <c r="V14" s="425">
        <f>IFERROR(U14/N14*R14,0)</f>
      </c>
      <c r="W14" s="244">
        <f t="shared" ref="W14:X17" ca="1" si="0">S14+U14</f>
      </c>
      <c r="X14" s="202">
        <f t="shared" ca="1" si="0"/>
      </c>
      <c r="AL14" s="460"/>
      <c r="AM14" s="460"/>
      <c r="AN14" s="460"/>
      <c r="AO14" s="460"/>
      <c r="AP14" s="460"/>
      <c r="AQ14" s="460"/>
    </row>
    <row r="15" spans="2:43" s="105" customFormat="1" ht="40.049999999999997" customHeight="1">
      <c r="B15" s="243">
        <f>#REF!</f>
      </c>
      <c r="C15" s="232"/>
      <c r="D15" s="704">
        <f>IF(#REF!&lt;&gt;"",#REF!,IF(#REF!&lt;&gt;"",#REF!,""))</f>
      </c>
      <c r="E15" s="704"/>
      <c r="F15" s="704"/>
      <c r="G15" s="704"/>
      <c r="H15" s="704"/>
      <c r="I15" s="704"/>
      <c r="J15" s="704"/>
      <c r="K15" s="704"/>
      <c r="L15" s="704"/>
      <c r="M15" s="705"/>
      <c r="N15" s="167">
        <f>#REF!</f>
      </c>
      <c r="O15" s="167">
        <f>#REF!</f>
      </c>
      <c r="P15" s="260">
        <f>#REF!</f>
      </c>
      <c r="Q15" s="168">
        <f>P15*N15</f>
      </c>
      <c r="R15" s="425">
        <f>IFERROR(Q15/$Q$166,0)</f>
      </c>
      <c r="S15" s="135">
        <f ca="1">IF($AL$5&lt;=1,0,SUM(OFFSET('rincian '!$AL15,0,0,1,$AL$5-1)))</f>
      </c>
      <c r="T15" s="425">
        <f ca="1">IFERROR(S15/N15*R15,0)</f>
      </c>
      <c r="U15" s="213" cm="1">
        <f t="array" ref="U15">IFERROR(INDEX('rincian '!$AL15:$AQ15,$AL$5),0)</f>
      </c>
      <c r="V15" s="425">
        <f>IFERROR(U15/N15*R15,0)</f>
      </c>
      <c r="W15" s="244">
        <f t="shared" ca="1" si="0"/>
      </c>
      <c r="X15" s="202">
        <f t="shared" ca="1" si="0"/>
      </c>
      <c r="AL15" s="460"/>
      <c r="AM15" s="460"/>
      <c r="AN15" s="460"/>
      <c r="AO15" s="460"/>
      <c r="AP15" s="460"/>
      <c r="AQ15" s="460"/>
    </row>
    <row r="16" spans="2:43" s="105" customFormat="1" ht="40.049999999999997" customHeight="1">
      <c r="B16" s="243">
        <f>#REF!</f>
      </c>
      <c r="C16" s="232"/>
      <c r="D16" s="704">
        <f>IF(#REF!&lt;&gt;"",#REF!,IF(#REF!&lt;&gt;"",#REF!,""))</f>
      </c>
      <c r="E16" s="704"/>
      <c r="F16" s="704"/>
      <c r="G16" s="704"/>
      <c r="H16" s="704"/>
      <c r="I16" s="704"/>
      <c r="J16" s="704"/>
      <c r="K16" s="704"/>
      <c r="L16" s="704"/>
      <c r="M16" s="705"/>
      <c r="N16" s="167">
        <f>#REF!</f>
      </c>
      <c r="O16" s="167">
        <f>#REF!</f>
      </c>
      <c r="P16" s="260">
        <f>#REF!</f>
      </c>
      <c r="Q16" s="168">
        <f>P16*N16</f>
      </c>
      <c r="R16" s="425">
        <f>IFERROR(Q16/$Q$166,0)</f>
      </c>
      <c r="S16" s="135">
        <f ca="1">IF($AL$5&lt;=1,0,SUM(OFFSET('rincian '!$AL16,0,0,1,$AL$5-1)))</f>
      </c>
      <c r="T16" s="425">
        <f ca="1">IFERROR(S16/N16*R16,0)</f>
      </c>
      <c r="U16" s="213" cm="1">
        <f t="array" ref="U16">IFERROR(INDEX('rincian '!$AL16:$AQ16,$AL$5),0)</f>
      </c>
      <c r="V16" s="425">
        <f>IFERROR(U16/N16*R16,0)</f>
      </c>
      <c r="W16" s="244">
        <f t="shared" ca="1" si="0"/>
      </c>
      <c r="X16" s="202">
        <f t="shared" ca="1" si="0"/>
      </c>
      <c r="AL16" s="460"/>
      <c r="AM16" s="460"/>
      <c r="AN16" s="460"/>
      <c r="AO16" s="460"/>
      <c r="AP16" s="460"/>
      <c r="AQ16" s="460"/>
    </row>
    <row r="17" spans="2:43" s="105" customFormat="1" ht="40.049999999999997" customHeight="1">
      <c r="B17" s="243">
        <f>#REF!</f>
      </c>
      <c r="C17" s="232"/>
      <c r="D17" s="704">
        <f>IF(#REF!&lt;&gt;"",#REF!,IF(#REF!&lt;&gt;"",#REF!,""))</f>
      </c>
      <c r="E17" s="704"/>
      <c r="F17" s="704"/>
      <c r="G17" s="704"/>
      <c r="H17" s="704"/>
      <c r="I17" s="704"/>
      <c r="J17" s="704"/>
      <c r="K17" s="704"/>
      <c r="L17" s="704"/>
      <c r="M17" s="705"/>
      <c r="N17" s="167">
        <f>#REF!</f>
      </c>
      <c r="O17" s="167">
        <f>#REF!</f>
      </c>
      <c r="P17" s="260">
        <f>#REF!</f>
      </c>
      <c r="Q17" s="168">
        <f>P17*N17</f>
      </c>
      <c r="R17" s="425">
        <f>IFERROR(Q17/$Q$166,0)</f>
      </c>
      <c r="S17" s="135">
        <f ca="1">IF($AL$5&lt;=1,0,SUM(OFFSET('rincian '!$AL17,0,0,1,$AL$5-1)))</f>
      </c>
      <c r="T17" s="425">
        <f ca="1">IFERROR(S17/N17*R17,0)</f>
      </c>
      <c r="U17" s="213" cm="1">
        <f t="array" ref="U17">IFERROR(INDEX('rincian '!$AL17:$AQ17,$AL$5),0)</f>
      </c>
      <c r="V17" s="425">
        <f>IFERROR(U17/N17*R17,0)</f>
      </c>
      <c r="W17" s="244">
        <f t="shared" ca="1" si="0"/>
      </c>
      <c r="X17" s="202">
        <f t="shared" ca="1" si="0"/>
      </c>
      <c r="AL17" s="460"/>
      <c r="AM17" s="460"/>
      <c r="AN17" s="460"/>
      <c r="AO17" s="460"/>
      <c r="AP17" s="460"/>
      <c r="AQ17" s="460"/>
    </row>
    <row r="18" spans="2:43" s="105" customFormat="1" ht="27" customHeight="1">
      <c r="B18" s="123">
        <f>#REF!</f>
      </c>
      <c r="C18" s="373"/>
      <c r="D18" s="374">
        <f>IF(#REF!&lt;&gt;"",#REF!,IF(#REF!&lt;&gt;"",#REF!,""))</f>
      </c>
      <c r="E18" s="375"/>
      <c r="F18" s="376"/>
      <c r="G18" s="376"/>
      <c r="H18" s="377"/>
      <c r="I18" s="378"/>
      <c r="J18" s="379"/>
      <c r="K18" s="380"/>
      <c r="L18" s="381"/>
      <c r="M18" s="382"/>
      <c r="N18" s="167"/>
      <c r="O18" s="167"/>
      <c r="P18" s="260"/>
      <c r="Q18" s="168"/>
      <c r="R18" s="425"/>
      <c r="S18" s="135"/>
      <c r="T18" s="425"/>
      <c r="U18" s="213"/>
      <c r="V18" s="425"/>
      <c r="W18" s="244"/>
      <c r="X18" s="202"/>
      <c r="AL18" s="460"/>
      <c r="AM18" s="460"/>
      <c r="AN18" s="460"/>
      <c r="AO18" s="460"/>
      <c r="AP18" s="460"/>
      <c r="AQ18" s="460"/>
    </row>
    <row r="19" spans="2:43" s="105" customFormat="1" ht="27" customHeight="1">
      <c r="B19" s="370">
        <f>#REF!</f>
      </c>
      <c r="C19" s="232"/>
      <c r="D19" s="164">
        <f>IF(#REF!&lt;&gt;"",#REF!,IF(#REF!&lt;&gt;"",#REF!,""))</f>
      </c>
      <c r="E19" s="235"/>
      <c r="F19" s="236"/>
      <c r="G19" s="236"/>
      <c r="H19" s="237"/>
      <c r="I19" s="238"/>
      <c r="J19" s="239"/>
      <c r="K19" s="240"/>
      <c r="L19" s="241"/>
      <c r="M19" s="242"/>
      <c r="N19" s="167">
        <f>#REF!</f>
      </c>
      <c r="O19" s="167">
        <f>#REF!</f>
      </c>
      <c r="P19" s="260">
        <f>#REF!</f>
      </c>
      <c r="Q19" s="168">
        <f t="shared" ref="Q19:Q24" si="1">P19*N19</f>
      </c>
      <c r="R19" s="425">
        <f t="shared" ref="R19:R24" si="2">IFERROR(Q19/$Q$166,0)</f>
      </c>
      <c r="S19" s="371">
        <f ca="1">IF($AL$5&lt;=1,0,SUM(OFFSET('rincian '!$AL19,0,0,1,$AL$5-1)))</f>
      </c>
      <c r="T19" s="425">
        <f t="shared" ref="T19:T24" ca="1" si="3">IFERROR(S19/N19*R19,0)</f>
      </c>
      <c r="U19" s="372" cm="1">
        <f t="array" ref="U19">IFERROR(INDEX('rincian '!$AL19:$AQ19,$AL$5),0)</f>
      </c>
      <c r="V19" s="425">
        <f>IFERROR(U19/N19*R19,0)</f>
      </c>
      <c r="W19" s="244">
        <f t="shared" ref="W19:X24" ca="1" si="4">S19+U19</f>
      </c>
      <c r="X19" s="202">
        <f t="shared" ca="1" si="4"/>
      </c>
      <c r="AL19" s="460"/>
      <c r="AM19" s="460"/>
      <c r="AN19" s="460"/>
      <c r="AO19" s="460"/>
      <c r="AP19" s="460"/>
      <c r="AQ19" s="460"/>
    </row>
    <row r="20" spans="2:43" s="105" customFormat="1" ht="27" customHeight="1">
      <c r="B20" s="370">
        <f>#REF!</f>
      </c>
      <c r="C20" s="232"/>
      <c r="D20" s="164">
        <f>IF(#REF!&lt;&gt;"",#REF!,IF(#REF!&lt;&gt;"",#REF!,""))</f>
      </c>
      <c r="E20" s="235"/>
      <c r="F20" s="236"/>
      <c r="G20" s="236"/>
      <c r="H20" s="237"/>
      <c r="I20" s="238"/>
      <c r="J20" s="239"/>
      <c r="K20" s="240"/>
      <c r="L20" s="241"/>
      <c r="M20" s="242"/>
      <c r="N20" s="167">
        <f>#REF!</f>
      </c>
      <c r="O20" s="167">
        <f>#REF!</f>
      </c>
      <c r="P20" s="260">
        <f>#REF!</f>
      </c>
      <c r="Q20" s="168">
        <f t="shared" si="1"/>
      </c>
      <c r="R20" s="425">
        <f t="shared" si="2"/>
      </c>
      <c r="S20" s="371">
        <f ca="1">IF($AL$5&lt;=1,0,SUM(OFFSET('rincian '!$AL20,0,0,1,$AL$5-1)))</f>
      </c>
      <c r="T20" s="425">
        <f t="shared" ca="1" si="3"/>
      </c>
      <c r="U20" s="372" cm="1">
        <f t="array" ref="U20">IFERROR(INDEX('rincian '!$AL20:$AQ20,$AL$5),0)</f>
      </c>
      <c r="V20" s="425">
        <f t="shared" ref="V20:V24" si="5">IFERROR(U20/N20*R20,0)</f>
      </c>
      <c r="W20" s="244">
        <f t="shared" ca="1" si="4"/>
      </c>
      <c r="X20" s="202">
        <f t="shared" ca="1" si="4"/>
      </c>
      <c r="AL20" s="460"/>
      <c r="AM20" s="460"/>
      <c r="AN20" s="460"/>
      <c r="AO20" s="460"/>
      <c r="AP20" s="460"/>
      <c r="AQ20" s="460"/>
    </row>
    <row r="21" spans="2:43" s="105" customFormat="1" ht="27" customHeight="1">
      <c r="B21" s="370">
        <f>#REF!</f>
      </c>
      <c r="C21" s="232"/>
      <c r="D21" s="164">
        <f>IF(#REF!&lt;&gt;"",#REF!,IF(#REF!&lt;&gt;"",#REF!,""))</f>
      </c>
      <c r="E21" s="235"/>
      <c r="F21" s="236"/>
      <c r="G21" s="236"/>
      <c r="H21" s="237"/>
      <c r="I21" s="238"/>
      <c r="J21" s="239"/>
      <c r="K21" s="240"/>
      <c r="L21" s="241"/>
      <c r="M21" s="242"/>
      <c r="N21" s="167">
        <f>#REF!</f>
      </c>
      <c r="O21" s="167">
        <f>#REF!</f>
      </c>
      <c r="P21" s="260">
        <f>#REF!</f>
      </c>
      <c r="Q21" s="168">
        <f t="shared" si="1"/>
      </c>
      <c r="R21" s="425">
        <f t="shared" si="2"/>
      </c>
      <c r="S21" s="371">
        <f ca="1">IF($AL$5&lt;=1,0,SUM(OFFSET('rincian '!$AL21,0,0,1,$AL$5-1)))</f>
      </c>
      <c r="T21" s="425">
        <f t="shared" ca="1" si="3"/>
      </c>
      <c r="U21" s="372" cm="1">
        <f t="array" ref="U21">IFERROR(INDEX('rincian '!$AL21:$AQ21,$AL$5),0)</f>
      </c>
      <c r="V21" s="425">
        <f t="shared" si="5"/>
      </c>
      <c r="W21" s="244">
        <f t="shared" ca="1" si="4"/>
      </c>
      <c r="X21" s="202">
        <f t="shared" ca="1" si="4"/>
      </c>
      <c r="AL21" s="460"/>
      <c r="AM21" s="460"/>
      <c r="AN21" s="460"/>
      <c r="AO21" s="460"/>
      <c r="AP21" s="460"/>
      <c r="AQ21" s="460"/>
    </row>
    <row r="22" spans="2:43" s="105" customFormat="1" ht="27" customHeight="1">
      <c r="B22" s="370">
        <f>#REF!</f>
      </c>
      <c r="C22" s="232"/>
      <c r="D22" s="164">
        <f>IF(#REF!&lt;&gt;"",#REF!,IF(#REF!&lt;&gt;"",#REF!,""))</f>
      </c>
      <c r="E22" s="235"/>
      <c r="F22" s="236"/>
      <c r="G22" s="236"/>
      <c r="H22" s="237"/>
      <c r="I22" s="238"/>
      <c r="J22" s="239"/>
      <c r="K22" s="240"/>
      <c r="L22" s="241"/>
      <c r="M22" s="242"/>
      <c r="N22" s="167">
        <f>#REF!</f>
      </c>
      <c r="O22" s="167">
        <f>#REF!</f>
      </c>
      <c r="P22" s="260">
        <f>#REF!</f>
      </c>
      <c r="Q22" s="168">
        <f t="shared" si="1"/>
      </c>
      <c r="R22" s="425">
        <f t="shared" si="2"/>
      </c>
      <c r="S22" s="371">
        <f ca="1">IF($AL$5&lt;=1,0,SUM(OFFSET('rincian '!$AL22,0,0,1,$AL$5-1)))</f>
      </c>
      <c r="T22" s="425">
        <f t="shared" ca="1" si="3"/>
      </c>
      <c r="U22" s="372" cm="1">
        <f t="array" ref="U22">IFERROR(INDEX('rincian '!$AL22:$AQ22,$AL$5),0)</f>
      </c>
      <c r="V22" s="425">
        <f t="shared" si="5"/>
      </c>
      <c r="W22" s="244">
        <f t="shared" ca="1" si="4"/>
      </c>
      <c r="X22" s="202">
        <f t="shared" ca="1" si="4"/>
      </c>
      <c r="AL22" s="460"/>
      <c r="AM22" s="460"/>
      <c r="AN22" s="460"/>
      <c r="AO22" s="460"/>
      <c r="AP22" s="460"/>
      <c r="AQ22" s="460"/>
    </row>
    <row r="23" spans="2:43" s="105" customFormat="1" ht="27" customHeight="1">
      <c r="B23" s="370">
        <f>#REF!</f>
      </c>
      <c r="C23" s="232"/>
      <c r="D23" s="164">
        <f>IF(#REF!&lt;&gt;"",#REF!,IF(#REF!&lt;&gt;"",#REF!,""))</f>
      </c>
      <c r="E23" s="235"/>
      <c r="F23" s="236"/>
      <c r="G23" s="236"/>
      <c r="H23" s="237"/>
      <c r="I23" s="238"/>
      <c r="J23" s="239"/>
      <c r="K23" s="240"/>
      <c r="L23" s="241"/>
      <c r="M23" s="242"/>
      <c r="N23" s="167">
        <f>#REF!</f>
      </c>
      <c r="O23" s="167">
        <f>#REF!</f>
      </c>
      <c r="P23" s="260">
        <f>#REF!</f>
      </c>
      <c r="Q23" s="168">
        <f t="shared" si="1"/>
      </c>
      <c r="R23" s="425">
        <f t="shared" si="2"/>
      </c>
      <c r="S23" s="371">
        <f ca="1">IF($AL$5&lt;=1,0,SUM(OFFSET('rincian '!#REF!,0,0,1,$AL$5-1)))</f>
      </c>
      <c r="T23" s="425">
        <f t="shared" ca="1" si="3"/>
      </c>
      <c r="U23" s="372" cm="1">
        <f t="array" ref="U23">IFERROR(INDEX('rincian '!#REF!,$AL$5),0)</f>
      </c>
      <c r="V23" s="425">
        <f t="shared" si="5"/>
      </c>
      <c r="W23" s="244">
        <f t="shared" ca="1" si="4"/>
      </c>
      <c r="X23" s="202">
        <f t="shared" ca="1" si="4"/>
      </c>
      <c r="AL23" s="460"/>
      <c r="AM23" s="460"/>
      <c r="AN23" s="460"/>
      <c r="AO23" s="460"/>
      <c r="AP23" s="460"/>
      <c r="AQ23" s="460"/>
    </row>
    <row r="24" spans="2:43" s="105" customFormat="1" ht="27" customHeight="1">
      <c r="B24" s="401">
        <f>#REF!</f>
      </c>
      <c r="C24" s="373"/>
      <c r="D24" s="374">
        <f>IF(#REF!&lt;&gt;"",#REF!,IF(#REF!&lt;&gt;"",#REF!,""))</f>
      </c>
      <c r="E24" s="375"/>
      <c r="F24" s="376"/>
      <c r="G24" s="376"/>
      <c r="H24" s="377"/>
      <c r="I24" s="378"/>
      <c r="J24" s="379"/>
      <c r="K24" s="380"/>
      <c r="L24" s="381"/>
      <c r="M24" s="382"/>
      <c r="N24" s="167">
        <f>#REF!</f>
      </c>
      <c r="O24" s="167">
        <f>#REF!</f>
      </c>
      <c r="P24" s="260">
        <f>#REF!</f>
      </c>
      <c r="Q24" s="168">
        <f t="shared" si="1"/>
      </c>
      <c r="R24" s="425">
        <f t="shared" si="2"/>
      </c>
      <c r="S24" s="371">
        <f ca="1">IF($AL$5&lt;=1,0,SUM(OFFSET('rincian '!$AL24,0,0,1,$AL$5-1)))</f>
      </c>
      <c r="T24" s="425">
        <f t="shared" ca="1" si="3"/>
      </c>
      <c r="U24" s="372" cm="1">
        <f t="array" ref="U24">IFERROR(INDEX('rincian '!$AL24:$AQ24,$AL$5),0)</f>
      </c>
      <c r="V24" s="425">
        <f t="shared" si="5"/>
      </c>
      <c r="W24" s="244">
        <f t="shared" ca="1" si="4"/>
      </c>
      <c r="X24" s="202">
        <f t="shared" ca="1" si="4"/>
      </c>
      <c r="AL24" s="460"/>
      <c r="AM24" s="460"/>
      <c r="AN24" s="460"/>
      <c r="AO24" s="460"/>
      <c r="AP24" s="460"/>
      <c r="AQ24" s="460"/>
    </row>
    <row r="25" spans="2:43" s="105" customFormat="1" ht="27" customHeight="1">
      <c r="B25" s="401">
        <f>#REF!</f>
      </c>
      <c r="C25" s="373"/>
      <c r="D25" s="374">
        <f>IF(#REF!&lt;&gt;"",#REF!,IF(#REF!&lt;&gt;"",#REF!,""))</f>
      </c>
      <c r="E25" s="375"/>
      <c r="F25" s="376"/>
      <c r="G25" s="376"/>
      <c r="H25" s="377"/>
      <c r="I25" s="378"/>
      <c r="J25" s="379"/>
      <c r="K25" s="380"/>
      <c r="L25" s="381"/>
      <c r="M25" s="382"/>
      <c r="N25" s="167"/>
      <c r="O25" s="167"/>
      <c r="P25" s="260"/>
      <c r="Q25" s="168"/>
      <c r="R25" s="425"/>
      <c r="S25" s="371"/>
      <c r="T25" s="425"/>
      <c r="U25" s="372"/>
      <c r="V25" s="425"/>
      <c r="W25" s="244"/>
      <c r="X25" s="202"/>
      <c r="AL25" s="460"/>
      <c r="AM25" s="460"/>
      <c r="AN25" s="460"/>
      <c r="AO25" s="460"/>
      <c r="AP25" s="460"/>
      <c r="AQ25" s="460"/>
    </row>
    <row r="26" spans="2:43" s="105" customFormat="1" ht="27" customHeight="1">
      <c r="B26" s="370">
        <f>#REF!</f>
      </c>
      <c r="C26" s="232"/>
      <c r="D26" s="164">
        <f>IF(#REF!&lt;&gt;"",#REF!,IF(#REF!&lt;&gt;"",#REF!,""))</f>
      </c>
      <c r="E26" s="235"/>
      <c r="F26" s="236"/>
      <c r="G26" s="236"/>
      <c r="H26" s="237"/>
      <c r="I26" s="238"/>
      <c r="J26" s="239"/>
      <c r="K26" s="240"/>
      <c r="L26" s="241"/>
      <c r="M26" s="242"/>
      <c r="N26" s="167">
        <f>#REF!</f>
      </c>
      <c r="O26" s="167">
        <f>#REF!</f>
      </c>
      <c r="P26" s="260">
        <f>#REF!</f>
      </c>
      <c r="Q26" s="168">
        <f>P26*N26</f>
      </c>
      <c r="R26" s="425">
        <f>IFERROR(Q26/$Q$166,0)</f>
      </c>
      <c r="S26" s="371">
        <f ca="1">IF($AL$5&lt;=1,0,SUM(OFFSET('rincian '!$AL36,0,0,1,$AL$5-1)))</f>
      </c>
      <c r="T26" s="425">
        <f ca="1">IFERROR(S26/N26*R26,0)</f>
      </c>
      <c r="U26" s="372" cm="1">
        <f t="array" ref="U26">IFERROR(INDEX('rincian '!$AL36:$AQ36,$AL$5),0)</f>
      </c>
      <c r="V26" s="425">
        <f>IFERROR(U26/N26*R26,0)</f>
      </c>
      <c r="W26" s="244">
        <f t="shared" ref="W26:X29" ca="1" si="6">S26+U26</f>
      </c>
      <c r="X26" s="202">
        <f t="shared" ca="1" si="6"/>
      </c>
      <c r="AB26" s="424">
        <f>Q26/Q166</f>
      </c>
      <c r="AL26" s="460"/>
      <c r="AM26" s="460"/>
      <c r="AN26" s="460"/>
      <c r="AO26" s="460"/>
      <c r="AP26" s="460"/>
      <c r="AQ26" s="460"/>
    </row>
    <row r="27" spans="2:43" s="105" customFormat="1" ht="27" customHeight="1">
      <c r="B27" s="370">
        <f>#REF!</f>
      </c>
      <c r="C27" s="232"/>
      <c r="D27" s="164">
        <f>IF(#REF!&lt;&gt;"",#REF!,IF(#REF!&lt;&gt;"",#REF!,""))</f>
      </c>
      <c r="E27" s="235"/>
      <c r="F27" s="236"/>
      <c r="G27" s="236"/>
      <c r="H27" s="237"/>
      <c r="I27" s="238"/>
      <c r="J27" s="239"/>
      <c r="K27" s="240"/>
      <c r="L27" s="241"/>
      <c r="M27" s="242"/>
      <c r="N27" s="167">
        <f>#REF!</f>
      </c>
      <c r="O27" s="167">
        <f>#REF!</f>
      </c>
      <c r="P27" s="260">
        <f>#REF!</f>
      </c>
      <c r="Q27" s="168">
        <f>P27*N27</f>
      </c>
      <c r="R27" s="425">
        <f>IFERROR(Q27/$Q$166,0)</f>
      </c>
      <c r="S27" s="371">
        <f ca="1">IF($AL$5&lt;=1,0,SUM(OFFSET('rincian '!#REF!,0,0,1,$AL$5-1)))</f>
      </c>
      <c r="T27" s="425">
        <f ca="1">IFERROR(S27/N27*R27,0)</f>
      </c>
      <c r="U27" s="372" cm="1">
        <f t="array" ref="U27">IFERROR(INDEX('rincian '!#REF!,$AL$5),0)</f>
      </c>
      <c r="V27" s="425">
        <f t="shared" ref="V27:V29" si="7">IFERROR(U27/N27*R27,0)</f>
      </c>
      <c r="W27" s="244">
        <f t="shared" ca="1" si="6"/>
      </c>
      <c r="X27" s="202">
        <f t="shared" ca="1" si="6"/>
      </c>
      <c r="AL27" s="460"/>
      <c r="AM27" s="460"/>
      <c r="AN27" s="460"/>
      <c r="AO27" s="460"/>
      <c r="AP27" s="460"/>
      <c r="AQ27" s="460"/>
    </row>
    <row r="28" spans="2:43" s="105" customFormat="1" ht="27" customHeight="1">
      <c r="B28" s="370">
        <f>#REF!</f>
      </c>
      <c r="C28" s="232"/>
      <c r="D28" s="164">
        <f>IF(#REF!&lt;&gt;"",#REF!,IF(#REF!&lt;&gt;"",#REF!,""))</f>
      </c>
      <c r="E28" s="235"/>
      <c r="F28" s="236"/>
      <c r="G28" s="236"/>
      <c r="H28" s="237"/>
      <c r="I28" s="238"/>
      <c r="J28" s="239"/>
      <c r="K28" s="240"/>
      <c r="L28" s="241"/>
      <c r="M28" s="242"/>
      <c r="N28" s="167">
        <f>#REF!</f>
      </c>
      <c r="O28" s="167">
        <f>#REF!</f>
      </c>
      <c r="P28" s="260">
        <f>#REF!</f>
      </c>
      <c r="Q28" s="168">
        <f>P28*N28</f>
      </c>
      <c r="R28" s="425">
        <f>IFERROR(Q28/$Q$166,0)</f>
      </c>
      <c r="S28" s="371">
        <f ca="1">IF($AL$5&lt;=1,0,SUM(OFFSET('rincian '!#REF!,0,0,1,$AL$5-1)))</f>
      </c>
      <c r="T28" s="425">
        <f ca="1">IFERROR(S28/N28*R28,0)</f>
      </c>
      <c r="U28" s="372" cm="1">
        <f t="array" ref="U28">IFERROR(INDEX('rincian '!#REF!,$AL$5),0)</f>
      </c>
      <c r="V28" s="425">
        <f t="shared" si="7"/>
      </c>
      <c r="W28" s="244">
        <f t="shared" ca="1" si="6"/>
      </c>
      <c r="X28" s="202">
        <f t="shared" ca="1" si="6"/>
      </c>
      <c r="AL28" s="460"/>
      <c r="AM28" s="460"/>
      <c r="AN28" s="460"/>
      <c r="AO28" s="460"/>
      <c r="AP28" s="460"/>
      <c r="AQ28" s="460"/>
    </row>
    <row r="29" spans="2:43" s="105" customFormat="1" ht="27" customHeight="1">
      <c r="B29" s="370">
        <f>#REF!</f>
      </c>
      <c r="C29" s="232"/>
      <c r="D29" s="164">
        <f>IF(#REF!&lt;&gt;"",#REF!,IF(#REF!&lt;&gt;"",#REF!,""))</f>
      </c>
      <c r="E29" s="235"/>
      <c r="F29" s="236"/>
      <c r="G29" s="236"/>
      <c r="H29" s="237"/>
      <c r="I29" s="238"/>
      <c r="J29" s="239"/>
      <c r="K29" s="240"/>
      <c r="L29" s="241"/>
      <c r="M29" s="242"/>
      <c r="N29" s="167">
        <f>#REF!</f>
      </c>
      <c r="O29" s="167">
        <f>#REF!</f>
      </c>
      <c r="P29" s="260">
        <f>#REF!</f>
      </c>
      <c r="Q29" s="168">
        <f>P29*N29</f>
      </c>
      <c r="R29" s="425">
        <f>IFERROR(Q29/$Q$166,0)</f>
      </c>
      <c r="S29" s="371">
        <f ca="1">IF($AL$5&lt;=1,0,SUM(OFFSET('rincian '!#REF!,0,0,1,$AL$5-1)))</f>
      </c>
      <c r="T29" s="425">
        <f ca="1">IFERROR(S29/N29*R29,0)</f>
      </c>
      <c r="U29" s="372" cm="1">
        <f t="array" ref="U29">IFERROR(INDEX('rincian '!#REF!,$AL$5),0)</f>
      </c>
      <c r="V29" s="425">
        <f t="shared" si="7"/>
      </c>
      <c r="W29" s="244">
        <f t="shared" ca="1" si="6"/>
      </c>
      <c r="X29" s="202">
        <f t="shared" ca="1" si="6"/>
      </c>
      <c r="AL29" s="460"/>
      <c r="AM29" s="460"/>
      <c r="AN29" s="460"/>
      <c r="AO29" s="460"/>
      <c r="AP29" s="460"/>
      <c r="AQ29" s="460"/>
    </row>
    <row r="30" spans="2:43" s="105" customFormat="1" ht="27" customHeight="1">
      <c r="B30" s="401">
        <f>#REF!</f>
      </c>
      <c r="C30" s="373"/>
      <c r="D30" s="374">
        <f>IF(#REF!&lt;&gt;"",#REF!,IF(#REF!&lt;&gt;"",#REF!,""))</f>
      </c>
      <c r="E30" s="375"/>
      <c r="F30" s="376"/>
      <c r="G30" s="376"/>
      <c r="H30" s="377"/>
      <c r="I30" s="378"/>
      <c r="J30" s="379"/>
      <c r="K30" s="380"/>
      <c r="L30" s="381"/>
      <c r="M30" s="382"/>
      <c r="N30" s="167"/>
      <c r="O30" s="167"/>
      <c r="P30" s="260"/>
      <c r="Q30" s="168"/>
      <c r="R30" s="425"/>
      <c r="S30" s="371"/>
      <c r="T30" s="425"/>
      <c r="U30" s="372"/>
      <c r="V30" s="425"/>
      <c r="W30" s="244"/>
      <c r="X30" s="202"/>
      <c r="AL30" s="460"/>
      <c r="AM30" s="460"/>
      <c r="AN30" s="460"/>
      <c r="AO30" s="460"/>
      <c r="AP30" s="460"/>
      <c r="AQ30" s="460"/>
    </row>
    <row r="31" spans="2:43" s="105" customFormat="1" ht="27" customHeight="1">
      <c r="B31" s="370">
        <f>#REF!</f>
      </c>
      <c r="C31" s="232"/>
      <c r="D31" s="164">
        <f>IF(#REF!&lt;&gt;"",#REF!,IF(#REF!&lt;&gt;"",#REF!,""))</f>
      </c>
      <c r="E31" s="235"/>
      <c r="F31" s="236"/>
      <c r="G31" s="236"/>
      <c r="H31" s="237"/>
      <c r="I31" s="238"/>
      <c r="J31" s="239"/>
      <c r="K31" s="240"/>
      <c r="L31" s="241"/>
      <c r="M31" s="242"/>
      <c r="N31" s="167">
        <f>#REF!</f>
      </c>
      <c r="O31" s="167">
        <f>#REF!</f>
      </c>
      <c r="P31" s="260">
        <f>#REF!</f>
      </c>
      <c r="Q31" s="168">
        <f>P31*N31</f>
      </c>
      <c r="R31" s="425">
        <f>IFERROR(Q31/$Q$166,0)</f>
      </c>
      <c r="S31" s="371">
        <f ca="1">IF($AL$5&lt;=1,0,SUM(OFFSET('rincian '!#REF!,0,0,1,$AL$5-1)))</f>
      </c>
      <c r="T31" s="425">
        <f ca="1">IFERROR(S31/N31*R31,0)</f>
      </c>
      <c r="U31" s="372" cm="1">
        <f t="array" ref="U31">IFERROR(INDEX('rincian '!#REF!,$AL$5),0)</f>
      </c>
      <c r="V31" s="425">
        <f>IFERROR(U31/N31*R31,0)</f>
      </c>
      <c r="W31" s="244">
        <f t="shared" ref="W31:X35" ca="1" si="8">S31+U31</f>
      </c>
      <c r="X31" s="202">
        <f t="shared" ca="1" si="8"/>
      </c>
      <c r="AL31" s="460"/>
      <c r="AM31" s="460"/>
      <c r="AN31" s="460"/>
      <c r="AO31" s="460"/>
      <c r="AP31" s="460"/>
      <c r="AQ31" s="460"/>
    </row>
    <row r="32" spans="2:43" s="105" customFormat="1" ht="27" customHeight="1">
      <c r="B32" s="370">
        <f>#REF!</f>
      </c>
      <c r="C32" s="232"/>
      <c r="D32" s="164">
        <f>IF(#REF!&lt;&gt;"",#REF!,IF(#REF!&lt;&gt;"",#REF!,""))</f>
      </c>
      <c r="E32" s="235"/>
      <c r="F32" s="236"/>
      <c r="G32" s="236"/>
      <c r="H32" s="237"/>
      <c r="I32" s="238"/>
      <c r="J32" s="239"/>
      <c r="K32" s="240"/>
      <c r="L32" s="241"/>
      <c r="M32" s="242"/>
      <c r="N32" s="167">
        <f>#REF!</f>
      </c>
      <c r="O32" s="167">
        <f>#REF!</f>
      </c>
      <c r="P32" s="260">
        <f>#REF!</f>
      </c>
      <c r="Q32" s="168">
        <f>P32*N32</f>
      </c>
      <c r="R32" s="425">
        <f>IFERROR(Q32/$Q$166,0)</f>
      </c>
      <c r="S32" s="371">
        <f ca="1">IF($AL$5&lt;=1,0,SUM(OFFSET('rincian '!#REF!,0,0,1,$AL$5-1)))</f>
      </c>
      <c r="T32" s="425">
        <f ca="1">IFERROR(S32/N32*R32,0)</f>
      </c>
      <c r="U32" s="372" cm="1">
        <f t="array" ref="U32">IFERROR(INDEX('rincian '!#REF!,$AL$5),0)</f>
      </c>
      <c r="V32" s="425">
        <f>IFERROR(U32/N32*R32,0)</f>
      </c>
      <c r="W32" s="244">
        <f t="shared" ca="1" si="8"/>
      </c>
      <c r="X32" s="202">
        <f t="shared" ca="1" si="8"/>
      </c>
      <c r="AL32" s="460"/>
      <c r="AM32" s="460"/>
      <c r="AN32" s="460"/>
      <c r="AO32" s="460"/>
      <c r="AP32" s="460"/>
      <c r="AQ32" s="460"/>
    </row>
    <row r="33" spans="2:43" s="105" customFormat="1" ht="27" customHeight="1">
      <c r="B33" s="370">
        <f>#REF!</f>
      </c>
      <c r="C33" s="232"/>
      <c r="D33" s="164">
        <f>IF(#REF!&lt;&gt;"",#REF!,IF(#REF!&lt;&gt;"",#REF!,""))</f>
      </c>
      <c r="E33" s="235"/>
      <c r="F33" s="236"/>
      <c r="G33" s="236"/>
      <c r="H33" s="237"/>
      <c r="I33" s="238"/>
      <c r="J33" s="239"/>
      <c r="K33" s="240"/>
      <c r="L33" s="241"/>
      <c r="M33" s="242"/>
      <c r="N33" s="167">
        <f>#REF!</f>
      </c>
      <c r="O33" s="167">
        <f>#REF!</f>
      </c>
      <c r="P33" s="260">
        <f>#REF!</f>
      </c>
      <c r="Q33" s="168">
        <f>P33*N33</f>
      </c>
      <c r="R33" s="425">
        <f>IFERROR(Q33/$Q$166,0)</f>
      </c>
      <c r="S33" s="371">
        <f ca="1">IF($AL$5&lt;=1,0,SUM(OFFSET('rincian '!#REF!,0,0,1,$AL$5-1)))</f>
      </c>
      <c r="T33" s="425">
        <f ca="1">IFERROR(S33/N33*R33,0)</f>
      </c>
      <c r="U33" s="372" cm="1">
        <f t="array" ref="U33">IFERROR(INDEX('rincian '!#REF!,$AL$5),0)</f>
      </c>
      <c r="V33" s="425">
        <f>IFERROR(U33/N33*R33,0)</f>
      </c>
      <c r="W33" s="244">
        <f t="shared" ca="1" si="8"/>
      </c>
      <c r="X33" s="202">
        <f t="shared" ca="1" si="8"/>
      </c>
      <c r="AL33" s="460"/>
      <c r="AM33" s="460"/>
      <c r="AN33" s="460"/>
      <c r="AO33" s="460"/>
      <c r="AP33" s="460"/>
      <c r="AQ33" s="460"/>
    </row>
    <row r="34" spans="2:43" s="105" customFormat="1" ht="27" customHeight="1">
      <c r="B34" s="370">
        <f>#REF!</f>
      </c>
      <c r="C34" s="232"/>
      <c r="D34" s="164">
        <f>IF(#REF!&lt;&gt;"",#REF!,IF(#REF!&lt;&gt;"",#REF!,""))</f>
      </c>
      <c r="E34" s="235"/>
      <c r="F34" s="236"/>
      <c r="G34" s="236"/>
      <c r="H34" s="237"/>
      <c r="I34" s="238"/>
      <c r="J34" s="239"/>
      <c r="K34" s="240"/>
      <c r="L34" s="241"/>
      <c r="M34" s="242"/>
      <c r="N34" s="167">
        <f>#REF!</f>
      </c>
      <c r="O34" s="167">
        <f>#REF!</f>
      </c>
      <c r="P34" s="260">
        <f>#REF!</f>
      </c>
      <c r="Q34" s="168">
        <f>P34*N34</f>
      </c>
      <c r="R34" s="425">
        <f>IFERROR(Q34/$Q$166,0)</f>
      </c>
      <c r="S34" s="371">
        <f ca="1">IF($AL$5&lt;=1,0,SUM(OFFSET('rincian '!#REF!,0,0,1,$AL$5-1)))</f>
      </c>
      <c r="T34" s="425">
        <f ca="1">IFERROR(S34/N34*R34,0)</f>
      </c>
      <c r="U34" s="372" cm="1">
        <f t="array" ref="U34">IFERROR(INDEX('rincian '!#REF!,$AL$5),0)</f>
      </c>
      <c r="V34" s="425">
        <f>IFERROR(U34/N34*R34,0)</f>
      </c>
      <c r="W34" s="244">
        <f t="shared" ca="1" si="8"/>
      </c>
      <c r="X34" s="202">
        <f t="shared" ca="1" si="8"/>
      </c>
      <c r="AL34" s="460"/>
      <c r="AM34" s="460"/>
      <c r="AN34" s="460"/>
      <c r="AO34" s="460"/>
      <c r="AP34" s="460"/>
      <c r="AQ34" s="460"/>
    </row>
    <row r="35" spans="2:43" s="105" customFormat="1" ht="27" customHeight="1">
      <c r="B35" s="370">
        <f>#REF!</f>
      </c>
      <c r="C35" s="232"/>
      <c r="D35" s="164">
        <f>IF(#REF!&lt;&gt;"",#REF!,IF(#REF!&lt;&gt;"",#REF!,""))</f>
      </c>
      <c r="E35" s="235"/>
      <c r="F35" s="236"/>
      <c r="G35" s="236"/>
      <c r="H35" s="237"/>
      <c r="I35" s="238"/>
      <c r="J35" s="239"/>
      <c r="K35" s="240"/>
      <c r="L35" s="241"/>
      <c r="M35" s="242"/>
      <c r="N35" s="167">
        <f>#REF!</f>
      </c>
      <c r="O35" s="167">
        <f>#REF!</f>
      </c>
      <c r="P35" s="260">
        <f>#REF!</f>
      </c>
      <c r="Q35" s="168">
        <f>P35*N35</f>
      </c>
      <c r="R35" s="425">
        <f>IFERROR(Q35/$Q$166,0)</f>
      </c>
      <c r="S35" s="371">
        <f ca="1">IF($AL$5&lt;=1,0,SUM(OFFSET('rincian '!#REF!,0,0,1,$AL$5-1)))</f>
      </c>
      <c r="T35" s="425">
        <f ca="1">IFERROR(S35/N35*R35,0)</f>
      </c>
      <c r="U35" s="372" cm="1">
        <f t="array" ref="U35">IFERROR(INDEX('rincian '!#REF!,$AL$5),0)</f>
      </c>
      <c r="V35" s="425">
        <f>IFERROR(U35/N35*R35,0)</f>
      </c>
      <c r="W35" s="244">
        <f t="shared" ca="1" si="8"/>
      </c>
      <c r="X35" s="202">
        <f t="shared" ca="1" si="8"/>
      </c>
      <c r="AL35" s="460"/>
      <c r="AM35" s="460"/>
      <c r="AN35" s="460"/>
      <c r="AO35" s="460"/>
      <c r="AP35" s="460"/>
      <c r="AQ35" s="460"/>
    </row>
    <row r="36" spans="2:43" s="105" customFormat="1" ht="27" customHeight="1">
      <c r="B36" s="370">
        <f>#REF!</f>
      </c>
      <c r="C36" s="232"/>
      <c r="D36" s="164">
        <f>IF(#REF!&lt;&gt;"",#REF!,IF(#REF!&lt;&gt;"",#REF!,""))</f>
      </c>
      <c r="E36" s="235"/>
      <c r="F36" s="236"/>
      <c r="G36" s="236"/>
      <c r="H36" s="237"/>
      <c r="I36" s="238"/>
      <c r="J36" s="239"/>
      <c r="K36" s="240"/>
      <c r="L36" s="241"/>
      <c r="M36" s="242"/>
      <c r="N36" s="167"/>
      <c r="O36" s="167"/>
      <c r="P36" s="260"/>
      <c r="Q36" s="168"/>
      <c r="R36" s="425"/>
      <c r="S36" s="371"/>
      <c r="T36" s="425"/>
      <c r="U36" s="372"/>
      <c r="V36" s="425"/>
      <c r="W36" s="244"/>
      <c r="X36" s="202"/>
      <c r="AL36" s="460"/>
      <c r="AM36" s="460"/>
      <c r="AN36" s="460"/>
      <c r="AO36" s="460"/>
      <c r="AP36" s="460"/>
      <c r="AQ36" s="460"/>
    </row>
    <row r="37" spans="2:43" s="105" customFormat="1" ht="27" customHeight="1">
      <c r="B37" s="370">
        <f>#REF!</f>
      </c>
      <c r="C37" s="232"/>
      <c r="D37" s="164">
        <f>IF(#REF!&lt;&gt;"",#REF!,IF(#REF!&lt;&gt;"",#REF!,""))</f>
      </c>
      <c r="E37" s="235"/>
      <c r="F37" s="236"/>
      <c r="G37" s="236"/>
      <c r="H37" s="237"/>
      <c r="I37" s="238"/>
      <c r="J37" s="239"/>
      <c r="K37" s="240"/>
      <c r="L37" s="241"/>
      <c r="M37" s="242"/>
      <c r="N37" s="167">
        <f>#REF!</f>
      </c>
      <c r="O37" s="167">
        <f>#REF!</f>
      </c>
      <c r="P37" s="260">
        <f>#REF!</f>
      </c>
      <c r="Q37" s="168">
        <f t="shared" ref="Q37:Q53" si="9">P37*N37</f>
      </c>
      <c r="R37" s="425">
        <f t="shared" ref="R37:R53" si="10">IFERROR(Q37/$Q$166,0)</f>
      </c>
      <c r="S37" s="371">
        <f ca="1">IF($AL$5&lt;=1,0,SUM(OFFSET('rincian '!#REF!,0,0,1,$AL$5-1)))</f>
      </c>
      <c r="T37" s="425">
        <f t="shared" ref="T37:T53" ca="1" si="11">IFERROR(S37/N37*R37,0)</f>
      </c>
      <c r="U37" s="372" cm="1">
        <f t="array" ref="U37">IFERROR(INDEX('rincian '!#REF!,$AL$5),0)</f>
      </c>
      <c r="V37" s="425">
        <f t="shared" ref="V37:V53" si="12">IFERROR(U37/N37*R37,0)</f>
      </c>
      <c r="W37" s="244">
        <f t="shared" ref="W37:X53" ca="1" si="13">S37+U37</f>
      </c>
      <c r="X37" s="202">
        <f t="shared" ca="1" si="13"/>
      </c>
      <c r="AL37" s="460"/>
      <c r="AM37" s="460"/>
      <c r="AN37" s="460"/>
      <c r="AO37" s="460"/>
      <c r="AP37" s="460"/>
      <c r="AQ37" s="460"/>
    </row>
    <row r="38" spans="2:43" s="105" customFormat="1" ht="27" customHeight="1">
      <c r="B38" s="370">
        <f>#REF!</f>
      </c>
      <c r="C38" s="232"/>
      <c r="D38" s="164">
        <f>IF(#REF!&lt;&gt;"",#REF!,IF(#REF!&lt;&gt;"",#REF!,""))</f>
      </c>
      <c r="E38" s="235"/>
      <c r="F38" s="236"/>
      <c r="G38" s="236"/>
      <c r="H38" s="237"/>
      <c r="I38" s="238"/>
      <c r="J38" s="239"/>
      <c r="K38" s="240"/>
      <c r="L38" s="241"/>
      <c r="M38" s="242"/>
      <c r="N38" s="167">
        <f>#REF!</f>
      </c>
      <c r="O38" s="167">
        <f>#REF!</f>
      </c>
      <c r="P38" s="260">
        <f>#REF!</f>
      </c>
      <c r="Q38" s="168">
        <f t="shared" si="9"/>
      </c>
      <c r="R38" s="425">
        <f t="shared" si="10"/>
      </c>
      <c r="S38" s="371">
        <f ca="1">IF($AL$5&lt;=1,0,SUM(OFFSET('rincian '!#REF!,0,0,1,$AL$5-1)))</f>
      </c>
      <c r="T38" s="425">
        <f t="shared" ca="1" si="11"/>
      </c>
      <c r="U38" s="372" cm="1">
        <f t="array" ref="U38">IFERROR(INDEX('rincian '!#REF!,$AL$5),0)</f>
      </c>
      <c r="V38" s="425">
        <f t="shared" si="12"/>
      </c>
      <c r="W38" s="244">
        <f t="shared" ca="1" si="13"/>
      </c>
      <c r="X38" s="202">
        <f t="shared" ca="1" si="13"/>
      </c>
      <c r="AL38" s="460"/>
      <c r="AM38" s="460"/>
      <c r="AN38" s="460"/>
      <c r="AO38" s="460"/>
      <c r="AP38" s="460"/>
      <c r="AQ38" s="460"/>
    </row>
    <row r="39" spans="2:43" s="105" customFormat="1" ht="27" customHeight="1">
      <c r="B39" s="370">
        <f>#REF!</f>
      </c>
      <c r="C39" s="232"/>
      <c r="D39" s="164">
        <f>IF(#REF!&lt;&gt;"",#REF!,IF(#REF!&lt;&gt;"",#REF!,""))</f>
      </c>
      <c r="E39" s="235"/>
      <c r="F39" s="236"/>
      <c r="G39" s="236"/>
      <c r="H39" s="237"/>
      <c r="I39" s="238"/>
      <c r="J39" s="239"/>
      <c r="K39" s="240"/>
      <c r="L39" s="241"/>
      <c r="M39" s="242"/>
      <c r="N39" s="167">
        <f>#REF!</f>
      </c>
      <c r="O39" s="167">
        <f>#REF!</f>
      </c>
      <c r="P39" s="260">
        <f>#REF!</f>
      </c>
      <c r="Q39" s="168">
        <f t="shared" si="9"/>
      </c>
      <c r="R39" s="425">
        <f t="shared" si="10"/>
      </c>
      <c r="S39" s="371">
        <f ca="1">IF($AL$5&lt;=1,0,SUM(OFFSET('rincian '!#REF!,0,0,1,$AL$5-1)))</f>
      </c>
      <c r="T39" s="425">
        <f t="shared" ca="1" si="11"/>
      </c>
      <c r="U39" s="372" cm="1">
        <f t="array" ref="U39">IFERROR(INDEX('rincian '!#REF!,$AL$5),0)</f>
      </c>
      <c r="V39" s="425">
        <f t="shared" si="12"/>
      </c>
      <c r="W39" s="244">
        <f t="shared" ca="1" si="13"/>
      </c>
      <c r="X39" s="202">
        <f t="shared" ca="1" si="13"/>
      </c>
      <c r="AL39" s="460"/>
      <c r="AM39" s="460"/>
      <c r="AN39" s="460"/>
      <c r="AO39" s="460"/>
      <c r="AP39" s="460"/>
      <c r="AQ39" s="460"/>
    </row>
    <row r="40" spans="2:43" s="105" customFormat="1" ht="21" customHeight="1">
      <c r="B40" s="370">
        <f>#REF!</f>
      </c>
      <c r="C40" s="232"/>
      <c r="D40" s="704">
        <f>IF(#REF!&lt;&gt;"",#REF!,IF(#REF!&lt;&gt;"",#REF!,""))</f>
      </c>
      <c r="E40" s="704"/>
      <c r="F40" s="704"/>
      <c r="G40" s="704"/>
      <c r="H40" s="704"/>
      <c r="I40" s="704"/>
      <c r="J40" s="704"/>
      <c r="K40" s="704"/>
      <c r="L40" s="704"/>
      <c r="M40" s="705"/>
      <c r="N40" s="167">
        <f>#REF!</f>
      </c>
      <c r="O40" s="167">
        <f>#REF!</f>
      </c>
      <c r="P40" s="260">
        <f>#REF!</f>
      </c>
      <c r="Q40" s="168">
        <f t="shared" si="9"/>
      </c>
      <c r="R40" s="425">
        <f t="shared" si="10"/>
      </c>
      <c r="S40" s="371">
        <f ca="1">IF($AL$5&lt;=1,0,SUM(OFFSET('rincian '!#REF!,0,0,1,$AL$5-1)))</f>
      </c>
      <c r="T40" s="425">
        <f t="shared" ca="1" si="11"/>
      </c>
      <c r="U40" s="372" cm="1">
        <f t="array" ref="U40">IFERROR(INDEX('rincian '!#REF!,$AL$5),0)</f>
      </c>
      <c r="V40" s="425">
        <f t="shared" si="12"/>
      </c>
      <c r="W40" s="244">
        <f t="shared" ca="1" si="13"/>
      </c>
      <c r="X40" s="202">
        <f t="shared" ca="1" si="13"/>
      </c>
      <c r="AL40" s="460"/>
      <c r="AM40" s="460"/>
      <c r="AN40" s="460"/>
      <c r="AO40" s="460"/>
      <c r="AP40" s="460"/>
      <c r="AQ40" s="460"/>
    </row>
    <row r="41" spans="2:43" s="105" customFormat="1" ht="27" customHeight="1">
      <c r="B41" s="370">
        <f>#REF!</f>
      </c>
      <c r="C41" s="232"/>
      <c r="D41" s="164">
        <f>IF(#REF!&lt;&gt;"",#REF!,IF(#REF!&lt;&gt;"",#REF!,""))</f>
      </c>
      <c r="E41" s="235"/>
      <c r="F41" s="236"/>
      <c r="G41" s="236"/>
      <c r="H41" s="237"/>
      <c r="I41" s="238"/>
      <c r="J41" s="239"/>
      <c r="K41" s="240"/>
      <c r="L41" s="241"/>
      <c r="M41" s="242"/>
      <c r="N41" s="167">
        <f>#REF!</f>
      </c>
      <c r="O41" s="167">
        <f>#REF!</f>
      </c>
      <c r="P41" s="260">
        <f>#REF!</f>
      </c>
      <c r="Q41" s="168">
        <f t="shared" si="9"/>
      </c>
      <c r="R41" s="425">
        <f t="shared" si="10"/>
      </c>
      <c r="S41" s="371">
        <f ca="1">IF($AL$5&lt;=1,0,SUM(OFFSET('rincian '!#REF!,0,0,1,$AL$5-1)))</f>
      </c>
      <c r="T41" s="425">
        <f t="shared" ca="1" si="11"/>
      </c>
      <c r="U41" s="372" cm="1">
        <f t="array" ref="U41">IFERROR(INDEX('rincian '!#REF!,$AL$5),0)</f>
      </c>
      <c r="V41" s="425">
        <f t="shared" si="12"/>
      </c>
      <c r="W41" s="244">
        <f t="shared" ca="1" si="13"/>
      </c>
      <c r="X41" s="202">
        <f t="shared" ca="1" si="13"/>
      </c>
      <c r="AL41" s="460"/>
      <c r="AM41" s="460"/>
      <c r="AN41" s="460"/>
      <c r="AO41" s="460"/>
      <c r="AP41" s="460"/>
      <c r="AQ41" s="460"/>
    </row>
    <row r="42" spans="2:43" s="105" customFormat="1" ht="27" customHeight="1">
      <c r="B42" s="370">
        <f>#REF!</f>
      </c>
      <c r="C42" s="232"/>
      <c r="D42" s="164">
        <f>IF(#REF!&lt;&gt;"",#REF!,IF(#REF!&lt;&gt;"",#REF!,""))</f>
      </c>
      <c r="E42" s="235"/>
      <c r="F42" s="236"/>
      <c r="G42" s="236"/>
      <c r="H42" s="237"/>
      <c r="I42" s="238"/>
      <c r="J42" s="239"/>
      <c r="K42" s="240"/>
      <c r="L42" s="241"/>
      <c r="M42" s="242"/>
      <c r="N42" s="167">
        <f>#REF!</f>
      </c>
      <c r="O42" s="167">
        <f>#REF!</f>
      </c>
      <c r="P42" s="260">
        <f>#REF!</f>
      </c>
      <c r="Q42" s="168">
        <f t="shared" si="9"/>
      </c>
      <c r="R42" s="425">
        <f t="shared" si="10"/>
      </c>
      <c r="S42" s="371">
        <f ca="1">IF($AL$5&lt;=1,0,SUM(OFFSET('rincian '!#REF!,0,0,1,$AL$5-1)))</f>
      </c>
      <c r="T42" s="425">
        <f t="shared" ca="1" si="11"/>
      </c>
      <c r="U42" s="372" cm="1">
        <f t="array" ref="U42">IFERROR(INDEX('rincian '!#REF!,$AL$5),0)</f>
      </c>
      <c r="V42" s="425">
        <f t="shared" si="12"/>
      </c>
      <c r="W42" s="244">
        <f t="shared" ca="1" si="13"/>
      </c>
      <c r="X42" s="202">
        <f t="shared" ca="1" si="13"/>
      </c>
      <c r="AL42" s="460"/>
      <c r="AM42" s="460"/>
      <c r="AN42" s="460"/>
      <c r="AO42" s="460"/>
      <c r="AP42" s="460"/>
      <c r="AQ42" s="460"/>
    </row>
    <row r="43" spans="2:43" s="105" customFormat="1" ht="27" customHeight="1">
      <c r="B43" s="370">
        <f>#REF!</f>
      </c>
      <c r="C43" s="232"/>
      <c r="D43" s="164">
        <f>IF(#REF!&lt;&gt;"",#REF!,IF(#REF!&lt;&gt;"",#REF!,""))</f>
      </c>
      <c r="E43" s="235"/>
      <c r="F43" s="236"/>
      <c r="G43" s="236"/>
      <c r="H43" s="237"/>
      <c r="I43" s="238"/>
      <c r="J43" s="239"/>
      <c r="K43" s="240"/>
      <c r="L43" s="241"/>
      <c r="M43" s="242"/>
      <c r="N43" s="167">
        <f>#REF!</f>
      </c>
      <c r="O43" s="167">
        <f>#REF!</f>
      </c>
      <c r="P43" s="260">
        <f>#REF!</f>
      </c>
      <c r="Q43" s="168">
        <f t="shared" si="9"/>
      </c>
      <c r="R43" s="425">
        <f t="shared" si="10"/>
      </c>
      <c r="S43" s="371">
        <f ca="1">IF($AL$5&lt;=1,0,SUM(OFFSET('rincian '!#REF!,0,0,1,$AL$5-1)))</f>
      </c>
      <c r="T43" s="425">
        <f t="shared" ca="1" si="11"/>
      </c>
      <c r="U43" s="372" cm="1">
        <f t="array" ref="U43">IFERROR(INDEX('rincian '!#REF!,$AL$5),0)</f>
      </c>
      <c r="V43" s="425">
        <f t="shared" si="12"/>
      </c>
      <c r="W43" s="244">
        <f t="shared" ca="1" si="13"/>
      </c>
      <c r="X43" s="202">
        <f t="shared" ca="1" si="13"/>
      </c>
      <c r="AL43" s="460"/>
      <c r="AM43" s="460"/>
      <c r="AN43" s="460"/>
      <c r="AO43" s="460"/>
      <c r="AP43" s="460"/>
      <c r="AQ43" s="460"/>
    </row>
    <row r="44" spans="2:43" s="105" customFormat="1" ht="27" customHeight="1">
      <c r="B44" s="370">
        <f>#REF!</f>
      </c>
      <c r="C44" s="232"/>
      <c r="D44" s="164">
        <f>IF(#REF!&lt;&gt;"",#REF!,IF(#REF!&lt;&gt;"",#REF!,""))</f>
      </c>
      <c r="E44" s="235"/>
      <c r="F44" s="236"/>
      <c r="G44" s="236"/>
      <c r="H44" s="237"/>
      <c r="I44" s="238"/>
      <c r="J44" s="239"/>
      <c r="K44" s="240"/>
      <c r="L44" s="241"/>
      <c r="M44" s="242"/>
      <c r="N44" s="167">
        <f>#REF!</f>
      </c>
      <c r="O44" s="167">
        <f>#REF!</f>
      </c>
      <c r="P44" s="260">
        <f>#REF!</f>
      </c>
      <c r="Q44" s="168">
        <f t="shared" si="9"/>
      </c>
      <c r="R44" s="425">
        <f t="shared" si="10"/>
      </c>
      <c r="S44" s="371">
        <f ca="1">IF($AL$5&lt;=1,0,SUM(OFFSET('rincian '!#REF!,0,0,1,$AL$5-1)))</f>
      </c>
      <c r="T44" s="425">
        <f t="shared" ca="1" si="11"/>
      </c>
      <c r="U44" s="372" cm="1">
        <f t="array" ref="U44">IFERROR(INDEX('rincian '!#REF!,$AL$5),0)</f>
      </c>
      <c r="V44" s="425">
        <f t="shared" si="12"/>
      </c>
      <c r="W44" s="244">
        <f t="shared" ca="1" si="13"/>
      </c>
      <c r="X44" s="202">
        <f t="shared" ca="1" si="13"/>
      </c>
      <c r="AL44" s="460"/>
      <c r="AM44" s="460"/>
      <c r="AN44" s="460"/>
      <c r="AO44" s="460"/>
      <c r="AP44" s="460"/>
      <c r="AQ44" s="460"/>
    </row>
    <row r="45" spans="2:43" s="105" customFormat="1" ht="27" customHeight="1">
      <c r="B45" s="370">
        <f>#REF!</f>
      </c>
      <c r="C45" s="232"/>
      <c r="D45" s="164">
        <f>IF(#REF!&lt;&gt;"",#REF!,IF(#REF!&lt;&gt;"",#REF!,""))</f>
      </c>
      <c r="E45" s="235"/>
      <c r="F45" s="236"/>
      <c r="G45" s="236"/>
      <c r="H45" s="237"/>
      <c r="I45" s="238"/>
      <c r="J45" s="239"/>
      <c r="K45" s="240"/>
      <c r="L45" s="241"/>
      <c r="M45" s="242"/>
      <c r="N45" s="167">
        <f>#REF!</f>
      </c>
      <c r="O45" s="167">
        <f>#REF!</f>
      </c>
      <c r="P45" s="260">
        <f>#REF!</f>
      </c>
      <c r="Q45" s="168">
        <f t="shared" si="9"/>
      </c>
      <c r="R45" s="425">
        <f t="shared" si="10"/>
      </c>
      <c r="S45" s="371">
        <f ca="1">IF($AL$5&lt;=1,0,SUM(OFFSET('rincian '!#REF!,0,0,1,$AL$5-1)))</f>
      </c>
      <c r="T45" s="425">
        <f t="shared" ca="1" si="11"/>
      </c>
      <c r="U45" s="372" cm="1">
        <f t="array" ref="U45">IFERROR(INDEX('rincian '!#REF!,$AL$5),0)</f>
      </c>
      <c r="V45" s="425">
        <f t="shared" si="12"/>
      </c>
      <c r="W45" s="244">
        <f t="shared" ca="1" si="13"/>
      </c>
      <c r="X45" s="202">
        <f t="shared" ca="1" si="13"/>
      </c>
      <c r="AL45" s="460"/>
      <c r="AM45" s="460"/>
      <c r="AN45" s="460"/>
      <c r="AO45" s="460"/>
      <c r="AP45" s="460"/>
      <c r="AQ45" s="460"/>
    </row>
    <row r="46" spans="2:43" s="105" customFormat="1" ht="27" customHeight="1">
      <c r="B46" s="370">
        <f>#REF!</f>
      </c>
      <c r="C46" s="232"/>
      <c r="D46" s="164">
        <f>IF(#REF!&lt;&gt;"",#REF!,IF(#REF!&lt;&gt;"",#REF!,""))</f>
      </c>
      <c r="E46" s="235"/>
      <c r="F46" s="236"/>
      <c r="G46" s="236"/>
      <c r="H46" s="237"/>
      <c r="I46" s="238"/>
      <c r="J46" s="239"/>
      <c r="K46" s="240"/>
      <c r="L46" s="241"/>
      <c r="M46" s="242"/>
      <c r="N46" s="167">
        <f>#REF!</f>
      </c>
      <c r="O46" s="167">
        <f>#REF!</f>
      </c>
      <c r="P46" s="260">
        <f>#REF!</f>
      </c>
      <c r="Q46" s="168">
        <f t="shared" si="9"/>
      </c>
      <c r="R46" s="425">
        <f t="shared" si="10"/>
      </c>
      <c r="S46" s="371">
        <f ca="1">IF($AL$5&lt;=1,0,SUM(OFFSET('rincian '!#REF!,0,0,1,$AL$5-1)))</f>
      </c>
      <c r="T46" s="425">
        <f t="shared" ca="1" si="11"/>
      </c>
      <c r="U46" s="372" cm="1">
        <f t="array" ref="U46">IFERROR(INDEX('rincian '!#REF!,$AL$5),0)</f>
      </c>
      <c r="V46" s="425">
        <f t="shared" si="12"/>
      </c>
      <c r="W46" s="244">
        <f t="shared" ca="1" si="13"/>
      </c>
      <c r="X46" s="202">
        <f t="shared" ca="1" si="13"/>
      </c>
      <c r="AL46" s="460"/>
      <c r="AM46" s="460"/>
      <c r="AN46" s="460"/>
      <c r="AO46" s="460"/>
      <c r="AP46" s="460"/>
      <c r="AQ46" s="460"/>
    </row>
    <row r="47" spans="2:43" s="105" customFormat="1" ht="27" customHeight="1">
      <c r="B47" s="370">
        <f>#REF!</f>
      </c>
      <c r="C47" s="232"/>
      <c r="D47" s="164">
        <f>IF(#REF!&lt;&gt;"",#REF!,IF(#REF!&lt;&gt;"",#REF!,""))</f>
      </c>
      <c r="E47" s="235"/>
      <c r="F47" s="236"/>
      <c r="G47" s="236"/>
      <c r="H47" s="237"/>
      <c r="I47" s="238"/>
      <c r="J47" s="239"/>
      <c r="K47" s="240"/>
      <c r="L47" s="241"/>
      <c r="M47" s="242"/>
      <c r="N47" s="167">
        <f>#REF!</f>
      </c>
      <c r="O47" s="167">
        <f>#REF!</f>
      </c>
      <c r="P47" s="260">
        <f>#REF!</f>
      </c>
      <c r="Q47" s="168">
        <f t="shared" si="9"/>
      </c>
      <c r="R47" s="425">
        <f t="shared" si="10"/>
      </c>
      <c r="S47" s="371">
        <f ca="1">IF($AL$5&lt;=1,0,SUM(OFFSET('rincian '!#REF!,0,0,1,$AL$5-1)))</f>
      </c>
      <c r="T47" s="425">
        <f t="shared" ca="1" si="11"/>
      </c>
      <c r="U47" s="372" cm="1">
        <f t="array" ref="U47">IFERROR(INDEX('rincian '!#REF!,$AL$5),0)</f>
      </c>
      <c r="V47" s="425">
        <f t="shared" si="12"/>
      </c>
      <c r="W47" s="244">
        <f t="shared" ca="1" si="13"/>
      </c>
      <c r="X47" s="202">
        <f t="shared" ca="1" si="13"/>
      </c>
      <c r="AL47" s="460"/>
      <c r="AM47" s="460"/>
      <c r="AN47" s="460"/>
      <c r="AO47" s="460"/>
      <c r="AP47" s="460"/>
      <c r="AQ47" s="460"/>
    </row>
    <row r="48" spans="2:43" s="105" customFormat="1" ht="27" customHeight="1">
      <c r="B48" s="370">
        <f>#REF!</f>
      </c>
      <c r="C48" s="232"/>
      <c r="D48" s="164">
        <f>IF(#REF!&lt;&gt;"",#REF!,IF(#REF!&lt;&gt;"",#REF!,""))</f>
      </c>
      <c r="E48" s="235"/>
      <c r="F48" s="236"/>
      <c r="G48" s="236"/>
      <c r="H48" s="237"/>
      <c r="I48" s="238"/>
      <c r="J48" s="239"/>
      <c r="K48" s="240"/>
      <c r="L48" s="241"/>
      <c r="M48" s="242"/>
      <c r="N48" s="167">
        <f>#REF!</f>
      </c>
      <c r="O48" s="167">
        <f>#REF!</f>
      </c>
      <c r="P48" s="260">
        <f>#REF!</f>
      </c>
      <c r="Q48" s="168">
        <f t="shared" si="9"/>
      </c>
      <c r="R48" s="425">
        <f t="shared" si="10"/>
      </c>
      <c r="S48" s="371">
        <f ca="1">IF($AL$5&lt;=1,0,SUM(OFFSET('rincian '!#REF!,0,0,1,$AL$5-1)))</f>
      </c>
      <c r="T48" s="425">
        <f t="shared" ca="1" si="11"/>
      </c>
      <c r="U48" s="372" cm="1">
        <f t="array" ref="U48">IFERROR(INDEX('rincian '!#REF!,$AL$5),0)</f>
      </c>
      <c r="V48" s="425">
        <f t="shared" si="12"/>
      </c>
      <c r="W48" s="244">
        <f t="shared" ca="1" si="13"/>
      </c>
      <c r="X48" s="202">
        <f t="shared" ca="1" si="13"/>
      </c>
      <c r="AL48" s="460"/>
      <c r="AM48" s="460"/>
      <c r="AN48" s="460"/>
      <c r="AO48" s="460"/>
      <c r="AP48" s="460"/>
      <c r="AQ48" s="460"/>
    </row>
    <row r="49" spans="2:43" s="105" customFormat="1" ht="27" customHeight="1">
      <c r="B49" s="370">
        <f>#REF!</f>
      </c>
      <c r="C49" s="232"/>
      <c r="D49" s="164">
        <f>IF(#REF!&lt;&gt;"",#REF!,IF(#REF!&lt;&gt;"",#REF!,""))</f>
      </c>
      <c r="E49" s="235"/>
      <c r="F49" s="236"/>
      <c r="G49" s="236"/>
      <c r="H49" s="237"/>
      <c r="I49" s="238"/>
      <c r="J49" s="239"/>
      <c r="K49" s="240"/>
      <c r="L49" s="241"/>
      <c r="M49" s="242"/>
      <c r="N49" s="167">
        <f>#REF!</f>
      </c>
      <c r="O49" s="167">
        <f>#REF!</f>
      </c>
      <c r="P49" s="260">
        <f>#REF!</f>
      </c>
      <c r="Q49" s="168">
        <f t="shared" si="9"/>
      </c>
      <c r="R49" s="425">
        <f t="shared" si="10"/>
      </c>
      <c r="S49" s="371">
        <f ca="1">IF($AL$5&lt;=1,0,SUM(OFFSET('rincian '!#REF!,0,0,1,$AL$5-1)))</f>
      </c>
      <c r="T49" s="425">
        <f t="shared" ca="1" si="11"/>
      </c>
      <c r="U49" s="372" cm="1">
        <f t="array" ref="U49">IFERROR(INDEX('rincian '!#REF!,$AL$5),0)</f>
      </c>
      <c r="V49" s="425">
        <f t="shared" si="12"/>
      </c>
      <c r="W49" s="244">
        <f t="shared" ca="1" si="13"/>
      </c>
      <c r="X49" s="202">
        <f t="shared" ca="1" si="13"/>
      </c>
      <c r="AL49" s="460"/>
      <c r="AM49" s="460"/>
      <c r="AN49" s="460"/>
      <c r="AO49" s="460"/>
      <c r="AP49" s="460"/>
      <c r="AQ49" s="460"/>
    </row>
    <row r="50" spans="2:43" s="105" customFormat="1" ht="27" customHeight="1">
      <c r="B50" s="370">
        <f>#REF!</f>
      </c>
      <c r="C50" s="232"/>
      <c r="D50" s="164">
        <f>IF(#REF!&lt;&gt;"",#REF!,IF(#REF!&lt;&gt;"",#REF!,""))</f>
      </c>
      <c r="E50" s="235"/>
      <c r="F50" s="236"/>
      <c r="G50" s="236"/>
      <c r="H50" s="237"/>
      <c r="I50" s="238"/>
      <c r="J50" s="239"/>
      <c r="K50" s="240"/>
      <c r="L50" s="241"/>
      <c r="M50" s="242"/>
      <c r="N50" s="167">
        <f>#REF!</f>
      </c>
      <c r="O50" s="167">
        <f>#REF!</f>
      </c>
      <c r="P50" s="260">
        <f>#REF!</f>
      </c>
      <c r="Q50" s="168">
        <f t="shared" si="9"/>
      </c>
      <c r="R50" s="425">
        <f t="shared" si="10"/>
      </c>
      <c r="S50" s="371">
        <f ca="1">IF($AL$5&lt;=1,0,SUM(OFFSET('rincian '!#REF!,0,0,1,$AL$5-1)))</f>
      </c>
      <c r="T50" s="425">
        <f t="shared" ca="1" si="11"/>
      </c>
      <c r="U50" s="372" cm="1">
        <f t="array" ref="U50">IFERROR(INDEX('rincian '!#REF!,$AL$5),0)</f>
      </c>
      <c r="V50" s="425">
        <f t="shared" si="12"/>
      </c>
      <c r="W50" s="244">
        <f t="shared" ca="1" si="13"/>
      </c>
      <c r="X50" s="202">
        <f t="shared" ca="1" si="13"/>
      </c>
      <c r="AL50" s="460"/>
      <c r="AM50" s="460"/>
      <c r="AN50" s="460"/>
      <c r="AO50" s="460"/>
      <c r="AP50" s="460"/>
      <c r="AQ50" s="460"/>
    </row>
    <row r="51" spans="2:43" s="105" customFormat="1" ht="27" customHeight="1">
      <c r="B51" s="370">
        <f>#REF!</f>
      </c>
      <c r="C51" s="232"/>
      <c r="D51" s="164">
        <f>IF(#REF!&lt;&gt;"",#REF!,IF(#REF!&lt;&gt;"",#REF!,""))</f>
      </c>
      <c r="E51" s="235"/>
      <c r="F51" s="236"/>
      <c r="G51" s="236"/>
      <c r="H51" s="237"/>
      <c r="I51" s="238"/>
      <c r="J51" s="239"/>
      <c r="K51" s="240"/>
      <c r="L51" s="241"/>
      <c r="M51" s="242"/>
      <c r="N51" s="167">
        <f>#REF!</f>
      </c>
      <c r="O51" s="167">
        <f>#REF!</f>
      </c>
      <c r="P51" s="260">
        <f>#REF!</f>
      </c>
      <c r="Q51" s="168">
        <f t="shared" si="9"/>
      </c>
      <c r="R51" s="425">
        <f t="shared" si="10"/>
      </c>
      <c r="S51" s="371">
        <f ca="1">IF($AL$5&lt;=1,0,SUM(OFFSET('rincian '!#REF!,0,0,1,$AL$5-1)))</f>
      </c>
      <c r="T51" s="425">
        <f t="shared" ca="1" si="11"/>
      </c>
      <c r="U51" s="372" cm="1">
        <f t="array" ref="U51">IFERROR(INDEX('rincian '!#REF!,$AL$5),0)</f>
      </c>
      <c r="V51" s="425">
        <f t="shared" si="12"/>
      </c>
      <c r="W51" s="244">
        <f t="shared" ca="1" si="13"/>
      </c>
      <c r="X51" s="202">
        <f t="shared" ca="1" si="13"/>
      </c>
      <c r="AL51" s="460"/>
      <c r="AM51" s="460"/>
      <c r="AN51" s="460"/>
      <c r="AO51" s="460"/>
      <c r="AP51" s="460"/>
      <c r="AQ51" s="460"/>
    </row>
    <row r="52" spans="2:43" s="105" customFormat="1" ht="27" customHeight="1">
      <c r="B52" s="370">
        <f>#REF!</f>
      </c>
      <c r="C52" s="232"/>
      <c r="D52" s="164">
        <f>IF(#REF!&lt;&gt;"",#REF!,IF(#REF!&lt;&gt;"",#REF!,""))</f>
      </c>
      <c r="E52" s="235"/>
      <c r="F52" s="236"/>
      <c r="G52" s="236"/>
      <c r="H52" s="237"/>
      <c r="I52" s="238"/>
      <c r="J52" s="239"/>
      <c r="K52" s="240"/>
      <c r="L52" s="241"/>
      <c r="M52" s="242"/>
      <c r="N52" s="167">
        <f>#REF!</f>
      </c>
      <c r="O52" s="167">
        <f>#REF!</f>
      </c>
      <c r="P52" s="260">
        <f>#REF!</f>
      </c>
      <c r="Q52" s="168">
        <f t="shared" si="9"/>
      </c>
      <c r="R52" s="425">
        <f t="shared" si="10"/>
      </c>
      <c r="S52" s="371">
        <f ca="1">IF($AL$5&lt;=1,0,SUM(OFFSET('rincian '!#REF!,0,0,1,$AL$5-1)))</f>
      </c>
      <c r="T52" s="425">
        <f t="shared" ca="1" si="11"/>
      </c>
      <c r="U52" s="372" cm="1">
        <f t="array" ref="U52">IFERROR(INDEX('rincian '!#REF!,$AL$5),0)</f>
      </c>
      <c r="V52" s="425">
        <f t="shared" si="12"/>
      </c>
      <c r="W52" s="244">
        <f t="shared" ca="1" si="13"/>
      </c>
      <c r="X52" s="202">
        <f t="shared" ca="1" si="13"/>
      </c>
      <c r="AL52" s="460"/>
      <c r="AM52" s="460"/>
      <c r="AN52" s="460"/>
      <c r="AO52" s="460"/>
      <c r="AP52" s="460"/>
      <c r="AQ52" s="460"/>
    </row>
    <row r="53" spans="2:43" s="105" customFormat="1" ht="27" customHeight="1">
      <c r="B53" s="370">
        <f>#REF!</f>
      </c>
      <c r="C53" s="232"/>
      <c r="D53" s="164">
        <f>IF(#REF!&lt;&gt;"",#REF!,IF(#REF!&lt;&gt;"",#REF!,""))</f>
      </c>
      <c r="E53" s="235"/>
      <c r="F53" s="236"/>
      <c r="G53" s="236"/>
      <c r="H53" s="237"/>
      <c r="I53" s="238"/>
      <c r="J53" s="239"/>
      <c r="K53" s="240"/>
      <c r="L53" s="241"/>
      <c r="M53" s="242"/>
      <c r="N53" s="167">
        <f>#REF!</f>
      </c>
      <c r="O53" s="167">
        <f>#REF!</f>
      </c>
      <c r="P53" s="260">
        <f>#REF!</f>
      </c>
      <c r="Q53" s="168">
        <f t="shared" si="9"/>
      </c>
      <c r="R53" s="425">
        <f t="shared" si="10"/>
      </c>
      <c r="S53" s="371">
        <f ca="1">IF($AL$5&lt;=1,0,SUM(OFFSET('rincian '!#REF!,0,0,1,$AL$5-1)))</f>
      </c>
      <c r="T53" s="425">
        <f t="shared" ca="1" si="11"/>
      </c>
      <c r="U53" s="372" cm="1">
        <f t="array" ref="U53">IFERROR(INDEX('rincian '!#REF!,$AL$5),0)</f>
      </c>
      <c r="V53" s="425">
        <f t="shared" si="12"/>
      </c>
      <c r="W53" s="244">
        <f t="shared" ca="1" si="13"/>
      </c>
      <c r="X53" s="202">
        <f t="shared" ca="1" si="13"/>
      </c>
      <c r="AL53" s="460"/>
      <c r="AM53" s="460"/>
      <c r="AN53" s="460"/>
      <c r="AO53" s="460"/>
      <c r="AP53" s="460"/>
      <c r="AQ53" s="460"/>
    </row>
    <row r="54" spans="2:43" s="105" customFormat="1" ht="27" customHeight="1">
      <c r="B54" s="402">
        <f>#REF!</f>
      </c>
      <c r="C54" s="384"/>
      <c r="D54" s="385">
        <f>IF(#REF!&lt;&gt;"",#REF!,IF(#REF!&lt;&gt;"",#REF!,""))</f>
      </c>
      <c r="E54" s="386"/>
      <c r="F54" s="387"/>
      <c r="G54" s="387"/>
      <c r="H54" s="388"/>
      <c r="I54" s="389"/>
      <c r="J54" s="390"/>
      <c r="K54" s="391"/>
      <c r="L54" s="392"/>
      <c r="M54" s="393"/>
      <c r="N54" s="394"/>
      <c r="O54" s="394"/>
      <c r="P54" s="395"/>
      <c r="Q54" s="396"/>
      <c r="R54" s="426"/>
      <c r="S54" s="403"/>
      <c r="T54" s="426"/>
      <c r="U54" s="403"/>
      <c r="V54" s="426"/>
      <c r="W54" s="399"/>
      <c r="X54" s="400"/>
      <c r="AL54" s="460"/>
      <c r="AM54" s="460"/>
      <c r="AN54" s="460"/>
      <c r="AO54" s="460"/>
      <c r="AP54" s="460"/>
      <c r="AQ54" s="460"/>
    </row>
    <row r="55" spans="2:43" s="105" customFormat="1" ht="27" customHeight="1">
      <c r="B55" s="401">
        <f>#REF!</f>
      </c>
      <c r="C55" s="373"/>
      <c r="D55" s="374">
        <f>IF(#REF!&lt;&gt;"",#REF!,IF(#REF!&lt;&gt;"",#REF!,""))</f>
      </c>
      <c r="E55" s="375"/>
      <c r="F55" s="376"/>
      <c r="G55" s="376"/>
      <c r="H55" s="377"/>
      <c r="I55" s="378"/>
      <c r="J55" s="379"/>
      <c r="K55" s="380"/>
      <c r="L55" s="381"/>
      <c r="M55" s="382"/>
      <c r="N55" s="167"/>
      <c r="O55" s="167"/>
      <c r="P55" s="260"/>
      <c r="Q55" s="168"/>
      <c r="R55" s="425"/>
      <c r="S55" s="371"/>
      <c r="T55" s="425"/>
      <c r="U55" s="372"/>
      <c r="V55" s="425"/>
      <c r="W55" s="244"/>
      <c r="X55" s="202"/>
      <c r="AL55" s="460"/>
      <c r="AM55" s="460"/>
      <c r="AN55" s="460"/>
      <c r="AO55" s="460"/>
      <c r="AP55" s="460"/>
      <c r="AQ55" s="460"/>
    </row>
    <row r="56" spans="2:43" s="105" customFormat="1" ht="27" customHeight="1">
      <c r="B56" s="401">
        <f>#REF!</f>
      </c>
      <c r="C56" s="373"/>
      <c r="D56" s="374">
        <f>IF(#REF!&lt;&gt;"",#REF!,IF(#REF!&lt;&gt;"",#REF!,""))</f>
      </c>
      <c r="E56" s="375"/>
      <c r="F56" s="376"/>
      <c r="G56" s="376"/>
      <c r="H56" s="377"/>
      <c r="I56" s="378"/>
      <c r="J56" s="379"/>
      <c r="K56" s="380"/>
      <c r="L56" s="381"/>
      <c r="M56" s="382"/>
      <c r="N56" s="167"/>
      <c r="O56" s="167"/>
      <c r="P56" s="260"/>
      <c r="Q56" s="168"/>
      <c r="R56" s="425"/>
      <c r="S56" s="371"/>
      <c r="T56" s="425"/>
      <c r="U56" s="372"/>
      <c r="V56" s="425"/>
      <c r="W56" s="244"/>
      <c r="X56" s="202"/>
      <c r="AL56" s="460"/>
      <c r="AM56" s="460"/>
      <c r="AN56" s="460"/>
      <c r="AO56" s="460"/>
      <c r="AP56" s="460"/>
      <c r="AQ56" s="460"/>
    </row>
    <row r="57" spans="2:43" s="105" customFormat="1" ht="27" customHeight="1">
      <c r="B57" s="370">
        <f>#REF!</f>
      </c>
      <c r="C57" s="232"/>
      <c r="D57" s="164">
        <f>IF(#REF!&lt;&gt;"",#REF!,IF(#REF!&lt;&gt;"",#REF!,""))</f>
      </c>
      <c r="E57" s="235"/>
      <c r="F57" s="236"/>
      <c r="G57" s="236"/>
      <c r="H57" s="237"/>
      <c r="I57" s="238"/>
      <c r="J57" s="239"/>
      <c r="K57" s="240"/>
      <c r="L57" s="241"/>
      <c r="M57" s="242"/>
      <c r="N57" s="167">
        <f>#REF!</f>
      </c>
      <c r="O57" s="167">
        <f>#REF!</f>
      </c>
      <c r="P57" s="260">
        <f>#REF!</f>
      </c>
      <c r="Q57" s="168">
        <f>P57*N57</f>
      </c>
      <c r="R57" s="425">
        <f>IFERROR(Q57/$Q$166,0)</f>
      </c>
      <c r="S57" s="371">
        <f ca="1">IF($AL$5&lt;=1,0,SUM(OFFSET('rincian '!#REF!,0,0,1,$AL$5-1)))</f>
      </c>
      <c r="T57" s="425">
        <f ca="1">IFERROR(S57/N57*R57,0)</f>
      </c>
      <c r="U57" s="372" cm="1">
        <f t="array" ref="U57">IFERROR(INDEX('rincian '!#REF!,$AL$5),0)</f>
      </c>
      <c r="V57" s="425">
        <f>IFERROR(U57/N57*R57,0)</f>
      </c>
      <c r="W57" s="244">
        <f t="shared" ref="W57:X60" ca="1" si="14">S57+U57</f>
      </c>
      <c r="X57" s="202">
        <f t="shared" ca="1" si="14"/>
      </c>
      <c r="AL57" s="460"/>
      <c r="AM57" s="460"/>
      <c r="AN57" s="460"/>
      <c r="AO57" s="460"/>
      <c r="AP57" s="460"/>
      <c r="AQ57" s="460"/>
    </row>
    <row r="58" spans="2:43" s="105" customFormat="1" ht="40.049999999999997" customHeight="1">
      <c r="B58" s="370">
        <f>#REF!</f>
      </c>
      <c r="C58" s="232"/>
      <c r="D58" s="704">
        <f>IF(#REF!&lt;&gt;"",#REF!,IF(#REF!&lt;&gt;"",#REF!,""))</f>
      </c>
      <c r="E58" s="704"/>
      <c r="F58" s="704"/>
      <c r="G58" s="704"/>
      <c r="H58" s="704"/>
      <c r="I58" s="704"/>
      <c r="J58" s="704"/>
      <c r="K58" s="704"/>
      <c r="L58" s="704"/>
      <c r="M58" s="705"/>
      <c r="N58" s="167">
        <f>#REF!</f>
      </c>
      <c r="O58" s="167">
        <f>#REF!</f>
      </c>
      <c r="P58" s="260">
        <f>#REF!</f>
      </c>
      <c r="Q58" s="168">
        <f>P58*N58</f>
      </c>
      <c r="R58" s="425">
        <f>IFERROR(Q58/$Q$166,0)</f>
      </c>
      <c r="S58" s="371">
        <f ca="1">IF($AL$5&lt;=1,0,SUM(OFFSET('rincian '!#REF!,0,0,1,$AL$5-1)))</f>
      </c>
      <c r="T58" s="425">
        <f ca="1">IFERROR(S58/N58*R58,0)</f>
      </c>
      <c r="U58" s="372" cm="1">
        <f t="array" ref="U58">IFERROR(INDEX('rincian '!#REF!,$AL$5),0)</f>
      </c>
      <c r="V58" s="425">
        <f>IFERROR(U58/N58*R58,0)</f>
      </c>
      <c r="W58" s="244">
        <f t="shared" ca="1" si="14"/>
      </c>
      <c r="X58" s="202">
        <f t="shared" ca="1" si="14"/>
      </c>
      <c r="AL58" s="460"/>
      <c r="AM58" s="460"/>
      <c r="AN58" s="460"/>
      <c r="AO58" s="460"/>
      <c r="AP58" s="460"/>
      <c r="AQ58" s="460"/>
    </row>
    <row r="59" spans="2:43" s="105" customFormat="1" ht="40.049999999999997" customHeight="1">
      <c r="B59" s="370">
        <f>#REF!</f>
      </c>
      <c r="C59" s="232"/>
      <c r="D59" s="704">
        <f>IF(#REF!&lt;&gt;"",#REF!,IF(#REF!&lt;&gt;"",#REF!,""))</f>
      </c>
      <c r="E59" s="704"/>
      <c r="F59" s="704"/>
      <c r="G59" s="704"/>
      <c r="H59" s="704"/>
      <c r="I59" s="704"/>
      <c r="J59" s="704"/>
      <c r="K59" s="704"/>
      <c r="L59" s="704"/>
      <c r="M59" s="705"/>
      <c r="N59" s="167">
        <f>#REF!</f>
      </c>
      <c r="O59" s="167">
        <f>#REF!</f>
      </c>
      <c r="P59" s="260">
        <f>#REF!</f>
      </c>
      <c r="Q59" s="168">
        <f>P59*N59</f>
      </c>
      <c r="R59" s="425">
        <f>IFERROR(Q59/$Q$166,0)</f>
      </c>
      <c r="S59" s="371">
        <f ca="1">IF($AL$5&lt;=1,0,SUM(OFFSET('rincian '!#REF!,0,0,1,$AL$5-1)))</f>
      </c>
      <c r="T59" s="425">
        <f ca="1">IFERROR(S59/N59*R59,0)</f>
      </c>
      <c r="U59" s="372" cm="1">
        <f t="array" ref="U59">IFERROR(INDEX('rincian '!#REF!,$AL$5),0)</f>
      </c>
      <c r="V59" s="425">
        <f>IFERROR(U59/N59*R59,0)</f>
      </c>
      <c r="W59" s="244">
        <f t="shared" ca="1" si="14"/>
      </c>
      <c r="X59" s="202">
        <f t="shared" ca="1" si="14"/>
      </c>
      <c r="AL59" s="460"/>
      <c r="AM59" s="460"/>
      <c r="AN59" s="460"/>
      <c r="AO59" s="460"/>
      <c r="AP59" s="460"/>
      <c r="AQ59" s="460"/>
    </row>
    <row r="60" spans="2:43" s="105" customFormat="1" ht="40.049999999999997" customHeight="1">
      <c r="B60" s="370">
        <f>#REF!</f>
      </c>
      <c r="C60" s="232"/>
      <c r="D60" s="704">
        <f>IF(#REF!&lt;&gt;"",#REF!,IF(#REF!&lt;&gt;"",#REF!,""))</f>
      </c>
      <c r="E60" s="704"/>
      <c r="F60" s="704"/>
      <c r="G60" s="704"/>
      <c r="H60" s="704"/>
      <c r="I60" s="704"/>
      <c r="J60" s="704"/>
      <c r="K60" s="704"/>
      <c r="L60" s="704"/>
      <c r="M60" s="705"/>
      <c r="N60" s="167">
        <f>#REF!</f>
      </c>
      <c r="O60" s="167">
        <f>#REF!</f>
      </c>
      <c r="P60" s="260">
        <f>#REF!</f>
      </c>
      <c r="Q60" s="168">
        <f>P60*N60</f>
      </c>
      <c r="R60" s="425">
        <f>IFERROR(Q60/$Q$166,0)</f>
      </c>
      <c r="S60" s="371">
        <f ca="1">IF($AL$5&lt;=1,0,SUM(OFFSET('rincian '!#REF!,0,0,1,$AL$5-1)))</f>
      </c>
      <c r="T60" s="425">
        <f ca="1">IFERROR(S60/N60*R60,0)</f>
      </c>
      <c r="U60" s="372" cm="1">
        <f t="array" ref="U60">IFERROR(INDEX('rincian '!#REF!,$AL$5),0)</f>
      </c>
      <c r="V60" s="425">
        <f>IFERROR(U60/N60*R60,0)</f>
      </c>
      <c r="W60" s="244">
        <f t="shared" ca="1" si="14"/>
      </c>
      <c r="X60" s="202">
        <f t="shared" ca="1" si="14"/>
      </c>
      <c r="AL60" s="460"/>
      <c r="AM60" s="460"/>
      <c r="AN60" s="460"/>
      <c r="AO60" s="460"/>
      <c r="AP60" s="460"/>
      <c r="AQ60" s="460"/>
    </row>
    <row r="61" spans="2:43" s="105" customFormat="1" ht="27" customHeight="1">
      <c r="B61" s="401">
        <f>#REF!</f>
      </c>
      <c r="C61" s="373"/>
      <c r="D61" s="374">
        <f>IF(#REF!&lt;&gt;"",#REF!,IF(#REF!&lt;&gt;"",#REF!,""))</f>
      </c>
      <c r="E61" s="375"/>
      <c r="F61" s="376"/>
      <c r="G61" s="376"/>
      <c r="H61" s="377"/>
      <c r="I61" s="378"/>
      <c r="J61" s="379"/>
      <c r="K61" s="380"/>
      <c r="L61" s="381"/>
      <c r="M61" s="382"/>
      <c r="N61" s="167"/>
      <c r="O61" s="167"/>
      <c r="P61" s="260"/>
      <c r="Q61" s="168"/>
      <c r="R61" s="425"/>
      <c r="S61" s="371"/>
      <c r="T61" s="425"/>
      <c r="U61" s="372"/>
      <c r="V61" s="425"/>
      <c r="W61" s="244"/>
      <c r="X61" s="202"/>
      <c r="AL61" s="460"/>
      <c r="AM61" s="460"/>
      <c r="AN61" s="460"/>
      <c r="AO61" s="460"/>
      <c r="AP61" s="460"/>
      <c r="AQ61" s="460"/>
    </row>
    <row r="62" spans="2:43" s="105" customFormat="1" ht="27" customHeight="1">
      <c r="B62" s="370">
        <f>#REF!</f>
      </c>
      <c r="C62" s="232"/>
      <c r="D62" s="164">
        <f>IF(#REF!&lt;&gt;"",#REF!,IF(#REF!&lt;&gt;"",#REF!,""))</f>
      </c>
      <c r="E62" s="235"/>
      <c r="F62" s="236"/>
      <c r="G62" s="236"/>
      <c r="H62" s="237"/>
      <c r="I62" s="238"/>
      <c r="J62" s="239"/>
      <c r="K62" s="240"/>
      <c r="L62" s="241"/>
      <c r="M62" s="242"/>
      <c r="N62" s="167">
        <f>#REF!</f>
      </c>
      <c r="O62" s="167">
        <f>#REF!</f>
      </c>
      <c r="P62" s="260">
        <f>#REF!</f>
      </c>
      <c r="Q62" s="168">
        <f>P62*N62</f>
      </c>
      <c r="R62" s="425">
        <f>IFERROR(Q62/$Q$166,0)</f>
      </c>
      <c r="S62" s="371">
        <f ca="1">IF($AL$5&lt;=1,0,SUM(OFFSET('rincian '!#REF!,0,0,1,$AL$5-1)))</f>
      </c>
      <c r="T62" s="425">
        <f ca="1">IFERROR(S62/N62*R62,0)</f>
      </c>
      <c r="U62" s="372" cm="1">
        <f t="array" ref="U62">IFERROR(INDEX('rincian '!#REF!,$AL$5),0)</f>
      </c>
      <c r="V62" s="425">
        <f>IFERROR(U62/N62*R62,0)</f>
      </c>
      <c r="W62" s="244">
        <f t="shared" ref="W62:X66" ca="1" si="15">S62+U62</f>
      </c>
      <c r="X62" s="202">
        <f t="shared" ca="1" si="15"/>
      </c>
      <c r="AL62" s="460"/>
      <c r="AM62" s="460"/>
      <c r="AN62" s="460"/>
      <c r="AO62" s="460"/>
      <c r="AP62" s="460"/>
      <c r="AQ62" s="460"/>
    </row>
    <row r="63" spans="2:43" s="105" customFormat="1" ht="27" customHeight="1">
      <c r="B63" s="370">
        <f>#REF!</f>
      </c>
      <c r="C63" s="232"/>
      <c r="D63" s="164">
        <f>IF(#REF!&lt;&gt;"",#REF!,IF(#REF!&lt;&gt;"",#REF!,""))</f>
      </c>
      <c r="E63" s="235"/>
      <c r="F63" s="236"/>
      <c r="G63" s="236"/>
      <c r="H63" s="237"/>
      <c r="I63" s="238"/>
      <c r="J63" s="239"/>
      <c r="K63" s="240"/>
      <c r="L63" s="241"/>
      <c r="M63" s="242"/>
      <c r="N63" s="167">
        <f>#REF!</f>
      </c>
      <c r="O63" s="167">
        <f>#REF!</f>
      </c>
      <c r="P63" s="260">
        <f>#REF!</f>
      </c>
      <c r="Q63" s="168">
        <f>P63*N63</f>
      </c>
      <c r="R63" s="425">
        <f>IFERROR(Q63/$Q$166,0)</f>
      </c>
      <c r="S63" s="371">
        <f ca="1">IF($AL$5&lt;=1,0,SUM(OFFSET('rincian '!#REF!,0,0,1,$AL$5-1)))</f>
      </c>
      <c r="T63" s="425">
        <f ca="1">IFERROR(S63/N63*R63,0)</f>
      </c>
      <c r="U63" s="372" cm="1">
        <f t="array" ref="U63">IFERROR(INDEX('rincian '!#REF!,$AL$5),0)</f>
      </c>
      <c r="V63" s="425">
        <f>IFERROR(U63/N63*R63,0)</f>
      </c>
      <c r="W63" s="244">
        <f t="shared" ca="1" si="15"/>
      </c>
      <c r="X63" s="202">
        <f t="shared" ca="1" si="15"/>
      </c>
      <c r="AL63" s="460"/>
      <c r="AM63" s="460"/>
      <c r="AN63" s="460"/>
      <c r="AO63" s="460"/>
      <c r="AP63" s="460"/>
      <c r="AQ63" s="460"/>
    </row>
    <row r="64" spans="2:43" s="105" customFormat="1" ht="27" customHeight="1">
      <c r="B64" s="370">
        <f>#REF!</f>
      </c>
      <c r="C64" s="232"/>
      <c r="D64" s="164">
        <f>IF(#REF!&lt;&gt;"",#REF!,IF(#REF!&lt;&gt;"",#REF!,""))</f>
      </c>
      <c r="E64" s="235"/>
      <c r="F64" s="236"/>
      <c r="G64" s="236"/>
      <c r="H64" s="237"/>
      <c r="I64" s="238"/>
      <c r="J64" s="239"/>
      <c r="K64" s="240"/>
      <c r="L64" s="241"/>
      <c r="M64" s="242"/>
      <c r="N64" s="167">
        <f>#REF!</f>
      </c>
      <c r="O64" s="167">
        <f>#REF!</f>
      </c>
      <c r="P64" s="260">
        <f>#REF!</f>
      </c>
      <c r="Q64" s="168">
        <f>P64*N64</f>
      </c>
      <c r="R64" s="425">
        <f>IFERROR(Q64/$Q$166,0)</f>
      </c>
      <c r="S64" s="371">
        <f ca="1">IF($AL$5&lt;=1,0,SUM(OFFSET('rincian '!#REF!,0,0,1,$AL$5-1)))</f>
      </c>
      <c r="T64" s="425">
        <f ca="1">IFERROR(S64/N64*R64,0)</f>
      </c>
      <c r="U64" s="372" cm="1">
        <f t="array" ref="U64">IFERROR(INDEX('rincian '!#REF!,$AL$5),0)</f>
      </c>
      <c r="V64" s="425">
        <f>IFERROR(U64/N64*R64,0)</f>
      </c>
      <c r="W64" s="244">
        <f t="shared" ca="1" si="15"/>
      </c>
      <c r="X64" s="202">
        <f t="shared" ca="1" si="15"/>
      </c>
      <c r="AL64" s="460"/>
      <c r="AM64" s="460"/>
      <c r="AN64" s="460"/>
      <c r="AO64" s="460"/>
      <c r="AP64" s="460"/>
      <c r="AQ64" s="460"/>
    </row>
    <row r="65" spans="2:43" s="105" customFormat="1" ht="27" customHeight="1">
      <c r="B65" s="370">
        <f>#REF!</f>
      </c>
      <c r="C65" s="232"/>
      <c r="D65" s="164">
        <f>IF(#REF!&lt;&gt;"",#REF!,IF(#REF!&lt;&gt;"",#REF!,""))</f>
      </c>
      <c r="E65" s="235"/>
      <c r="F65" s="236"/>
      <c r="G65" s="236"/>
      <c r="H65" s="237"/>
      <c r="I65" s="238"/>
      <c r="J65" s="239"/>
      <c r="K65" s="240"/>
      <c r="L65" s="241"/>
      <c r="M65" s="242"/>
      <c r="N65" s="167">
        <f>#REF!</f>
      </c>
      <c r="O65" s="167">
        <f>#REF!</f>
      </c>
      <c r="P65" s="260">
        <f>#REF!</f>
      </c>
      <c r="Q65" s="168">
        <f>P65*N65</f>
      </c>
      <c r="R65" s="425">
        <f>IFERROR(Q65/$Q$166,0)</f>
      </c>
      <c r="S65" s="371">
        <f ca="1">IF($AL$5&lt;=1,0,SUM(OFFSET('rincian '!#REF!,0,0,1,$AL$5-1)))</f>
      </c>
      <c r="T65" s="425">
        <f ca="1">IFERROR(S65/N65*R65,0)</f>
      </c>
      <c r="U65" s="372" cm="1">
        <f t="array" ref="U65">IFERROR(INDEX('rincian '!#REF!,$AL$5),0)</f>
      </c>
      <c r="V65" s="425">
        <f>IFERROR(U65/N65*R65,0)</f>
      </c>
      <c r="W65" s="244">
        <f t="shared" ca="1" si="15"/>
      </c>
      <c r="X65" s="202">
        <f t="shared" ca="1" si="15"/>
      </c>
      <c r="AL65" s="460"/>
      <c r="AM65" s="460"/>
      <c r="AN65" s="460"/>
      <c r="AO65" s="460"/>
      <c r="AP65" s="460"/>
      <c r="AQ65" s="460"/>
    </row>
    <row r="66" spans="2:43" s="105" customFormat="1" ht="27" customHeight="1">
      <c r="B66" s="370">
        <f>#REF!</f>
      </c>
      <c r="C66" s="232"/>
      <c r="D66" s="164">
        <f>IF(#REF!&lt;&gt;"",#REF!,IF(#REF!&lt;&gt;"",#REF!,""))</f>
      </c>
      <c r="E66" s="235"/>
      <c r="F66" s="236"/>
      <c r="G66" s="236"/>
      <c r="H66" s="237"/>
      <c r="I66" s="238"/>
      <c r="J66" s="239"/>
      <c r="K66" s="240"/>
      <c r="L66" s="241"/>
      <c r="M66" s="242"/>
      <c r="N66" s="167">
        <f>#REF!</f>
      </c>
      <c r="O66" s="167">
        <f>#REF!</f>
      </c>
      <c r="P66" s="260">
        <f>#REF!</f>
      </c>
      <c r="Q66" s="168">
        <f>P66*N66</f>
      </c>
      <c r="R66" s="425">
        <f>IFERROR(Q66/$Q$166,0)</f>
      </c>
      <c r="S66" s="371">
        <f ca="1">IF($AL$5&lt;=1,0,SUM(OFFSET('rincian '!#REF!,0,0,1,$AL$5-1)))</f>
      </c>
      <c r="T66" s="425">
        <f ca="1">IFERROR(S66/N66*R66,0)</f>
      </c>
      <c r="U66" s="372" cm="1">
        <f t="array" ref="U66">IFERROR(INDEX('rincian '!#REF!,$AL$5),0)</f>
      </c>
      <c r="V66" s="425">
        <f>IFERROR(U66/N66*R66,0)</f>
      </c>
      <c r="W66" s="244">
        <f t="shared" ca="1" si="15"/>
      </c>
      <c r="X66" s="202">
        <f t="shared" ca="1" si="15"/>
      </c>
      <c r="AL66" s="460"/>
      <c r="AM66" s="460"/>
      <c r="AN66" s="460"/>
      <c r="AO66" s="460"/>
      <c r="AP66" s="460"/>
      <c r="AQ66" s="460"/>
    </row>
    <row r="67" spans="2:43" s="105" customFormat="1" ht="27" customHeight="1">
      <c r="B67" s="401">
        <f>#REF!</f>
      </c>
      <c r="C67" s="373"/>
      <c r="D67" s="374">
        <f>IF(#REF!&lt;&gt;"",#REF!,IF(#REF!&lt;&gt;"",#REF!,""))</f>
      </c>
      <c r="E67" s="375"/>
      <c r="F67" s="376"/>
      <c r="G67" s="376"/>
      <c r="H67" s="377"/>
      <c r="I67" s="378"/>
      <c r="J67" s="379"/>
      <c r="K67" s="380"/>
      <c r="L67" s="381"/>
      <c r="M67" s="382"/>
      <c r="N67" s="167"/>
      <c r="O67" s="167"/>
      <c r="P67" s="260"/>
      <c r="Q67" s="168"/>
      <c r="R67" s="425"/>
      <c r="S67" s="371"/>
      <c r="T67" s="425"/>
      <c r="U67" s="372"/>
      <c r="V67" s="425"/>
      <c r="W67" s="244"/>
      <c r="X67" s="202"/>
      <c r="AL67" s="460"/>
      <c r="AM67" s="460"/>
      <c r="AN67" s="460"/>
      <c r="AO67" s="460"/>
      <c r="AP67" s="460"/>
      <c r="AQ67" s="460"/>
    </row>
    <row r="68" spans="2:43" s="105" customFormat="1" ht="27" customHeight="1">
      <c r="B68" s="370">
        <f>#REF!</f>
      </c>
      <c r="C68" s="232"/>
      <c r="D68" s="164">
        <f>IF(#REF!&lt;&gt;"",#REF!,IF(#REF!&lt;&gt;"",#REF!,""))</f>
      </c>
      <c r="E68" s="235"/>
      <c r="F68" s="236"/>
      <c r="G68" s="236"/>
      <c r="H68" s="237"/>
      <c r="I68" s="238"/>
      <c r="J68" s="239"/>
      <c r="K68" s="240"/>
      <c r="L68" s="241"/>
      <c r="M68" s="242"/>
      <c r="N68" s="167">
        <f>#REF!</f>
      </c>
      <c r="O68" s="167">
        <f>#REF!</f>
      </c>
      <c r="P68" s="260">
        <f>#REF!</f>
      </c>
      <c r="Q68" s="168">
        <f t="shared" ref="Q68:Q78" si="16">P68*N68</f>
      </c>
      <c r="R68" s="425">
        <f t="shared" ref="R68:R78" si="17">IFERROR(Q68/$Q$166,0)</f>
      </c>
      <c r="S68" s="371">
        <f ca="1">IF($AL$5&lt;=1,0,SUM(OFFSET('rincian '!#REF!,0,0,1,$AL$5-1)))</f>
      </c>
      <c r="T68" s="425">
        <f t="shared" ref="T68:T78" ca="1" si="18">IFERROR(S68/N68*R68,0)</f>
      </c>
      <c r="U68" s="372" cm="1">
        <f t="array" ref="U68">IFERROR(INDEX('rincian '!#REF!,$AL$5),0)</f>
      </c>
      <c r="V68" s="425">
        <f t="shared" ref="V68:V78" si="19">IFERROR(U68/N68*R68,0)</f>
      </c>
      <c r="W68" s="244">
        <f t="shared" ref="W68:X78" ca="1" si="20">S68+U68</f>
      </c>
      <c r="X68" s="202">
        <f t="shared" ca="1" si="20"/>
      </c>
      <c r="AL68" s="460"/>
      <c r="AM68" s="460"/>
      <c r="AN68" s="460"/>
      <c r="AO68" s="460"/>
      <c r="AP68" s="460"/>
      <c r="AQ68" s="460"/>
    </row>
    <row r="69" spans="2:43" s="105" customFormat="1" ht="27" customHeight="1">
      <c r="B69" s="370">
        <f>#REF!</f>
      </c>
      <c r="C69" s="232"/>
      <c r="D69" s="164">
        <f>IF(#REF!&lt;&gt;"",#REF!,IF(#REF!&lt;&gt;"",#REF!,""))</f>
      </c>
      <c r="E69" s="235"/>
      <c r="F69" s="236"/>
      <c r="G69" s="236"/>
      <c r="H69" s="237"/>
      <c r="I69" s="238"/>
      <c r="J69" s="239"/>
      <c r="K69" s="240"/>
      <c r="L69" s="241"/>
      <c r="M69" s="242"/>
      <c r="N69" s="167">
        <f>#REF!</f>
      </c>
      <c r="O69" s="167">
        <f>#REF!</f>
      </c>
      <c r="P69" s="260">
        <f>#REF!</f>
      </c>
      <c r="Q69" s="168">
        <f t="shared" si="16"/>
      </c>
      <c r="R69" s="425">
        <f t="shared" si="17"/>
      </c>
      <c r="S69" s="371">
        <f ca="1">IF($AL$5&lt;=1,0,SUM(OFFSET('rincian '!#REF!,0,0,1,$AL$5-1)))</f>
      </c>
      <c r="T69" s="425">
        <f t="shared" ca="1" si="18"/>
      </c>
      <c r="U69" s="372" cm="1">
        <f t="array" ref="U69">IFERROR(INDEX('rincian '!#REF!,$AL$5),0)</f>
      </c>
      <c r="V69" s="425">
        <f t="shared" si="19"/>
      </c>
      <c r="W69" s="244">
        <f t="shared" ca="1" si="20"/>
      </c>
      <c r="X69" s="202">
        <f t="shared" ca="1" si="20"/>
      </c>
      <c r="AL69" s="460"/>
      <c r="AM69" s="460"/>
      <c r="AN69" s="460"/>
      <c r="AO69" s="460"/>
      <c r="AP69" s="460"/>
      <c r="AQ69" s="460"/>
    </row>
    <row r="70" spans="2:43" s="105" customFormat="1" ht="27" customHeight="1">
      <c r="B70" s="370">
        <f>#REF!</f>
      </c>
      <c r="C70" s="232"/>
      <c r="D70" s="164">
        <f>IF(#REF!&lt;&gt;"",#REF!,IF(#REF!&lt;&gt;"",#REF!,""))</f>
      </c>
      <c r="E70" s="235"/>
      <c r="F70" s="236"/>
      <c r="G70" s="236"/>
      <c r="H70" s="237"/>
      <c r="I70" s="238"/>
      <c r="J70" s="239"/>
      <c r="K70" s="240"/>
      <c r="L70" s="241"/>
      <c r="M70" s="242"/>
      <c r="N70" s="167">
        <f>#REF!</f>
      </c>
      <c r="O70" s="167">
        <f>#REF!</f>
      </c>
      <c r="P70" s="260">
        <f>#REF!</f>
      </c>
      <c r="Q70" s="168">
        <f t="shared" si="16"/>
      </c>
      <c r="R70" s="425">
        <f t="shared" si="17"/>
      </c>
      <c r="S70" s="371">
        <f ca="1">IF($AL$5&lt;=1,0,SUM(OFFSET('rincian '!#REF!,0,0,1,$AL$5-1)))</f>
      </c>
      <c r="T70" s="425">
        <f t="shared" ca="1" si="18"/>
      </c>
      <c r="U70" s="372" cm="1">
        <f t="array" ref="U70">IFERROR(INDEX('rincian '!#REF!,$AL$5),0)</f>
      </c>
      <c r="V70" s="425">
        <f t="shared" si="19"/>
      </c>
      <c r="W70" s="244">
        <f t="shared" ca="1" si="20"/>
      </c>
      <c r="X70" s="202">
        <f t="shared" ca="1" si="20"/>
      </c>
      <c r="AL70" s="460"/>
      <c r="AM70" s="460"/>
      <c r="AN70" s="460"/>
      <c r="AO70" s="460"/>
      <c r="AP70" s="460"/>
      <c r="AQ70" s="460"/>
    </row>
    <row r="71" spans="2:43" s="105" customFormat="1" ht="27" customHeight="1">
      <c r="B71" s="370">
        <f>#REF!</f>
      </c>
      <c r="C71" s="232"/>
      <c r="D71" s="164">
        <f>IF(#REF!&lt;&gt;"",#REF!,IF(#REF!&lt;&gt;"",#REF!,""))</f>
      </c>
      <c r="E71" s="235"/>
      <c r="F71" s="236"/>
      <c r="G71" s="236"/>
      <c r="H71" s="237"/>
      <c r="I71" s="238"/>
      <c r="J71" s="239"/>
      <c r="K71" s="240"/>
      <c r="L71" s="241"/>
      <c r="M71" s="242"/>
      <c r="N71" s="167">
        <f>#REF!</f>
      </c>
      <c r="O71" s="167">
        <f>#REF!</f>
      </c>
      <c r="P71" s="260">
        <f>#REF!</f>
      </c>
      <c r="Q71" s="168">
        <f t="shared" si="16"/>
      </c>
      <c r="R71" s="425">
        <f t="shared" si="17"/>
      </c>
      <c r="S71" s="371">
        <f ca="1">IF($AL$5&lt;=1,0,SUM(OFFSET('rincian '!#REF!,0,0,1,$AL$5-1)))</f>
      </c>
      <c r="T71" s="425">
        <f t="shared" ca="1" si="18"/>
      </c>
      <c r="U71" s="372" cm="1">
        <f t="array" ref="U71">IFERROR(INDEX('rincian '!#REF!,$AL$5),0)</f>
      </c>
      <c r="V71" s="425">
        <f t="shared" si="19"/>
      </c>
      <c r="W71" s="244">
        <f t="shared" ca="1" si="20"/>
      </c>
      <c r="X71" s="202">
        <f t="shared" ca="1" si="20"/>
      </c>
      <c r="AL71" s="460"/>
      <c r="AM71" s="460"/>
      <c r="AN71" s="460"/>
      <c r="AO71" s="460"/>
      <c r="AP71" s="460"/>
      <c r="AQ71" s="460"/>
    </row>
    <row r="72" spans="2:43" s="105" customFormat="1" ht="27" customHeight="1">
      <c r="B72" s="370">
        <f>#REF!</f>
      </c>
      <c r="C72" s="232"/>
      <c r="D72" s="164">
        <f>IF(#REF!&lt;&gt;"",#REF!,IF(#REF!&lt;&gt;"",#REF!,""))</f>
      </c>
      <c r="E72" s="235"/>
      <c r="F72" s="236"/>
      <c r="G72" s="236"/>
      <c r="H72" s="237"/>
      <c r="I72" s="238"/>
      <c r="J72" s="239"/>
      <c r="K72" s="240"/>
      <c r="L72" s="241"/>
      <c r="M72" s="242"/>
      <c r="N72" s="167">
        <f>#REF!</f>
      </c>
      <c r="O72" s="167">
        <f>#REF!</f>
      </c>
      <c r="P72" s="260">
        <f>#REF!</f>
      </c>
      <c r="Q72" s="168">
        <f t="shared" si="16"/>
      </c>
      <c r="R72" s="425">
        <f t="shared" si="17"/>
      </c>
      <c r="S72" s="371">
        <f ca="1">IF($AL$5&lt;=1,0,SUM(OFFSET('rincian '!#REF!,0,0,1,$AL$5-1)))</f>
      </c>
      <c r="T72" s="425">
        <f t="shared" ca="1" si="18"/>
      </c>
      <c r="U72" s="372" cm="1">
        <f t="array" ref="U72">IFERROR(INDEX('rincian '!#REF!,$AL$5),0)</f>
      </c>
      <c r="V72" s="425">
        <f t="shared" si="19"/>
      </c>
      <c r="W72" s="244">
        <f t="shared" ca="1" si="20"/>
      </c>
      <c r="X72" s="202">
        <f t="shared" ca="1" si="20"/>
      </c>
      <c r="AL72" s="460"/>
      <c r="AM72" s="460"/>
      <c r="AN72" s="460"/>
      <c r="AO72" s="460"/>
      <c r="AP72" s="460"/>
      <c r="AQ72" s="460"/>
    </row>
    <row r="73" spans="2:43" s="105" customFormat="1" ht="27" customHeight="1">
      <c r="B73" s="370">
        <f>#REF!</f>
      </c>
      <c r="C73" s="232"/>
      <c r="D73" s="164">
        <f>IF(#REF!&lt;&gt;"",#REF!,IF(#REF!&lt;&gt;"",#REF!,""))</f>
      </c>
      <c r="E73" s="235"/>
      <c r="F73" s="236"/>
      <c r="G73" s="236"/>
      <c r="H73" s="237"/>
      <c r="I73" s="238"/>
      <c r="J73" s="239"/>
      <c r="K73" s="240"/>
      <c r="L73" s="241"/>
      <c r="M73" s="242"/>
      <c r="N73" s="167">
        <f>#REF!</f>
      </c>
      <c r="O73" s="167">
        <f>#REF!</f>
      </c>
      <c r="P73" s="260">
        <f>#REF!</f>
      </c>
      <c r="Q73" s="168">
        <f t="shared" si="16"/>
      </c>
      <c r="R73" s="425">
        <f t="shared" si="17"/>
      </c>
      <c r="S73" s="371">
        <f ca="1">IF($AL$5&lt;=1,0,SUM(OFFSET('rincian '!#REF!,0,0,1,$AL$5-1)))</f>
      </c>
      <c r="T73" s="425">
        <f t="shared" ca="1" si="18"/>
      </c>
      <c r="U73" s="372" cm="1">
        <f t="array" ref="U73">IFERROR(INDEX('rincian '!#REF!,$AL$5),0)</f>
      </c>
      <c r="V73" s="425">
        <f t="shared" si="19"/>
      </c>
      <c r="W73" s="244">
        <f t="shared" ca="1" si="20"/>
      </c>
      <c r="X73" s="202">
        <f t="shared" ca="1" si="20"/>
      </c>
      <c r="AL73" s="460"/>
      <c r="AM73" s="460"/>
      <c r="AN73" s="460"/>
      <c r="AO73" s="460"/>
      <c r="AP73" s="460"/>
      <c r="AQ73" s="460"/>
    </row>
    <row r="74" spans="2:43" s="105" customFormat="1" ht="27" customHeight="1">
      <c r="B74" s="370">
        <f>#REF!</f>
      </c>
      <c r="C74" s="232"/>
      <c r="D74" s="164">
        <f>IF(#REF!&lt;&gt;"",#REF!,IF(#REF!&lt;&gt;"",#REF!,""))</f>
      </c>
      <c r="E74" s="235"/>
      <c r="F74" s="236"/>
      <c r="G74" s="236"/>
      <c r="H74" s="237"/>
      <c r="I74" s="238"/>
      <c r="J74" s="239"/>
      <c r="K74" s="240"/>
      <c r="L74" s="241"/>
      <c r="M74" s="242"/>
      <c r="N74" s="167">
        <f>#REF!</f>
      </c>
      <c r="O74" s="167">
        <f>#REF!</f>
      </c>
      <c r="P74" s="260">
        <f>#REF!</f>
      </c>
      <c r="Q74" s="168">
        <f t="shared" si="16"/>
      </c>
      <c r="R74" s="425">
        <f t="shared" si="17"/>
      </c>
      <c r="S74" s="371">
        <f ca="1">IF($AL$5&lt;=1,0,SUM(OFFSET('rincian '!#REF!,0,0,1,$AL$5-1)))</f>
      </c>
      <c r="T74" s="425">
        <f t="shared" ca="1" si="18"/>
      </c>
      <c r="U74" s="372" cm="1">
        <f t="array" ref="U74">IFERROR(INDEX('rincian '!#REF!,$AL$5),0)</f>
      </c>
      <c r="V74" s="425">
        <f t="shared" si="19"/>
      </c>
      <c r="W74" s="244">
        <f t="shared" ca="1" si="20"/>
      </c>
      <c r="X74" s="202">
        <f t="shared" ca="1" si="20"/>
      </c>
      <c r="AL74" s="460"/>
      <c r="AM74" s="460"/>
      <c r="AN74" s="460"/>
      <c r="AO74" s="460"/>
      <c r="AP74" s="460"/>
      <c r="AQ74" s="460"/>
    </row>
    <row r="75" spans="2:43" s="105" customFormat="1" ht="27" customHeight="1">
      <c r="B75" s="370">
        <f>#REF!</f>
      </c>
      <c r="C75" s="232"/>
      <c r="D75" s="164">
        <f>IF(#REF!&lt;&gt;"",#REF!,IF(#REF!&lt;&gt;"",#REF!,""))</f>
      </c>
      <c r="E75" s="235"/>
      <c r="F75" s="236"/>
      <c r="G75" s="236"/>
      <c r="H75" s="237"/>
      <c r="I75" s="238"/>
      <c r="J75" s="239"/>
      <c r="K75" s="240"/>
      <c r="L75" s="241"/>
      <c r="M75" s="242"/>
      <c r="N75" s="167">
        <f>#REF!</f>
      </c>
      <c r="O75" s="167">
        <f>#REF!</f>
      </c>
      <c r="P75" s="260">
        <f>#REF!</f>
      </c>
      <c r="Q75" s="168">
        <f t="shared" si="16"/>
      </c>
      <c r="R75" s="425">
        <f t="shared" si="17"/>
      </c>
      <c r="S75" s="371">
        <f ca="1">IF($AL$5&lt;=1,0,SUM(OFFSET('rincian '!#REF!,0,0,1,$AL$5-1)))</f>
      </c>
      <c r="T75" s="425">
        <f t="shared" ca="1" si="18"/>
      </c>
      <c r="U75" s="372" cm="1">
        <f t="array" ref="U75">IFERROR(INDEX('rincian '!#REF!,$AL$5),0)</f>
      </c>
      <c r="V75" s="425">
        <f t="shared" si="19"/>
      </c>
      <c r="W75" s="244">
        <f t="shared" ca="1" si="20"/>
      </c>
      <c r="X75" s="202">
        <f t="shared" ca="1" si="20"/>
      </c>
      <c r="AL75" s="460"/>
      <c r="AM75" s="460"/>
      <c r="AN75" s="460"/>
      <c r="AO75" s="460"/>
      <c r="AP75" s="460"/>
      <c r="AQ75" s="460"/>
    </row>
    <row r="76" spans="2:43" s="105" customFormat="1" ht="27" customHeight="1">
      <c r="B76" s="370">
        <f>#REF!</f>
      </c>
      <c r="C76" s="232"/>
      <c r="D76" s="164">
        <f>IF(#REF!&lt;&gt;"",#REF!,IF(#REF!&lt;&gt;"",#REF!,""))</f>
      </c>
      <c r="E76" s="235"/>
      <c r="F76" s="236"/>
      <c r="G76" s="236"/>
      <c r="H76" s="237"/>
      <c r="I76" s="238"/>
      <c r="J76" s="239"/>
      <c r="K76" s="240"/>
      <c r="L76" s="241"/>
      <c r="M76" s="242"/>
      <c r="N76" s="167">
        <f>#REF!</f>
      </c>
      <c r="O76" s="167">
        <f>#REF!</f>
      </c>
      <c r="P76" s="260">
        <f>#REF!</f>
      </c>
      <c r="Q76" s="168">
        <f t="shared" si="16"/>
      </c>
      <c r="R76" s="425">
        <f t="shared" si="17"/>
      </c>
      <c r="S76" s="371">
        <f ca="1">IF($AL$5&lt;=1,0,SUM(OFFSET('rincian '!#REF!,0,0,1,$AL$5-1)))</f>
      </c>
      <c r="T76" s="425">
        <f t="shared" ca="1" si="18"/>
      </c>
      <c r="U76" s="372" cm="1">
        <f t="array" ref="U76">IFERROR(INDEX('rincian '!#REF!,$AL$5),0)</f>
      </c>
      <c r="V76" s="425">
        <f t="shared" si="19"/>
      </c>
      <c r="W76" s="244">
        <f t="shared" ca="1" si="20"/>
      </c>
      <c r="X76" s="202">
        <f t="shared" ca="1" si="20"/>
      </c>
      <c r="AL76" s="460"/>
      <c r="AM76" s="460"/>
      <c r="AN76" s="460"/>
      <c r="AO76" s="460"/>
      <c r="AP76" s="460"/>
      <c r="AQ76" s="460"/>
    </row>
    <row r="77" spans="2:43" s="105" customFormat="1" ht="27" customHeight="1">
      <c r="B77" s="370">
        <f>#REF!</f>
      </c>
      <c r="C77" s="232"/>
      <c r="D77" s="164">
        <f>IF(#REF!&lt;&gt;"",#REF!,IF(#REF!&lt;&gt;"",#REF!,""))</f>
      </c>
      <c r="E77" s="235"/>
      <c r="F77" s="236"/>
      <c r="G77" s="236"/>
      <c r="H77" s="237"/>
      <c r="I77" s="238"/>
      <c r="J77" s="239"/>
      <c r="K77" s="240"/>
      <c r="L77" s="241"/>
      <c r="M77" s="242"/>
      <c r="N77" s="167">
        <f>#REF!</f>
      </c>
      <c r="O77" s="167">
        <f>#REF!</f>
      </c>
      <c r="P77" s="260">
        <f>#REF!</f>
      </c>
      <c r="Q77" s="168">
        <f t="shared" si="16"/>
      </c>
      <c r="R77" s="425">
        <f t="shared" si="17"/>
      </c>
      <c r="S77" s="371">
        <f ca="1">IF($AL$5&lt;=1,0,SUM(OFFSET('rincian '!#REF!,0,0,1,$AL$5-1)))</f>
      </c>
      <c r="T77" s="425">
        <f t="shared" ca="1" si="18"/>
      </c>
      <c r="U77" s="372" cm="1">
        <f t="array" ref="U77">IFERROR(INDEX('rincian '!#REF!,$AL$5),0)</f>
      </c>
      <c r="V77" s="425">
        <f t="shared" si="19"/>
      </c>
      <c r="W77" s="244">
        <f t="shared" ca="1" si="20"/>
      </c>
      <c r="X77" s="202">
        <f t="shared" ca="1" si="20"/>
      </c>
      <c r="AL77" s="460"/>
      <c r="AM77" s="460"/>
      <c r="AN77" s="460"/>
      <c r="AO77" s="460"/>
      <c r="AP77" s="460"/>
      <c r="AQ77" s="460"/>
    </row>
    <row r="78" spans="2:43" s="105" customFormat="1" ht="27" customHeight="1">
      <c r="B78" s="370">
        <f>#REF!</f>
      </c>
      <c r="C78" s="232"/>
      <c r="D78" s="164">
        <f>IF(#REF!&lt;&gt;"",#REF!,IF(#REF!&lt;&gt;"",#REF!,""))</f>
      </c>
      <c r="E78" s="235"/>
      <c r="F78" s="236"/>
      <c r="G78" s="236"/>
      <c r="H78" s="237"/>
      <c r="I78" s="238"/>
      <c r="J78" s="239"/>
      <c r="K78" s="240"/>
      <c r="L78" s="241"/>
      <c r="M78" s="242"/>
      <c r="N78" s="167">
        <f>#REF!</f>
      </c>
      <c r="O78" s="167">
        <f>#REF!</f>
      </c>
      <c r="P78" s="260">
        <f>#REF!</f>
      </c>
      <c r="Q78" s="168">
        <f t="shared" si="16"/>
      </c>
      <c r="R78" s="425">
        <f t="shared" si="17"/>
      </c>
      <c r="S78" s="371">
        <f ca="1">IF($AL$5&lt;=1,0,SUM(OFFSET('rincian '!#REF!,0,0,1,$AL$5-1)))</f>
      </c>
      <c r="T78" s="425">
        <f t="shared" ca="1" si="18"/>
      </c>
      <c r="U78" s="372" cm="1">
        <f t="array" ref="U78">IFERROR(INDEX('rincian '!#REF!,$AL$5),0)</f>
      </c>
      <c r="V78" s="425">
        <f t="shared" si="19"/>
      </c>
      <c r="W78" s="244">
        <f t="shared" ca="1" si="20"/>
      </c>
      <c r="X78" s="202">
        <f t="shared" ca="1" si="20"/>
      </c>
      <c r="AL78" s="460"/>
      <c r="AM78" s="460"/>
      <c r="AN78" s="460"/>
      <c r="AO78" s="460"/>
      <c r="AP78" s="460"/>
      <c r="AQ78" s="460"/>
    </row>
    <row r="79" spans="2:43" s="105" customFormat="1" ht="27" customHeight="1">
      <c r="B79" s="402">
        <f>#REF!</f>
      </c>
      <c r="C79" s="384"/>
      <c r="D79" s="385">
        <f>IF(#REF!&lt;&gt;"",#REF!,IF(#REF!&lt;&gt;"",#REF!,""))</f>
      </c>
      <c r="E79" s="386"/>
      <c r="F79" s="387"/>
      <c r="G79" s="387"/>
      <c r="H79" s="388"/>
      <c r="I79" s="389"/>
      <c r="J79" s="390"/>
      <c r="K79" s="391"/>
      <c r="L79" s="392"/>
      <c r="M79" s="393"/>
      <c r="N79" s="394"/>
      <c r="O79" s="394"/>
      <c r="P79" s="395"/>
      <c r="Q79" s="396"/>
      <c r="R79" s="426"/>
      <c r="S79" s="403"/>
      <c r="T79" s="426"/>
      <c r="U79" s="403"/>
      <c r="V79" s="426"/>
      <c r="W79" s="399"/>
      <c r="X79" s="400"/>
      <c r="AL79" s="460"/>
      <c r="AM79" s="460"/>
      <c r="AN79" s="460"/>
      <c r="AO79" s="460"/>
      <c r="AP79" s="460"/>
      <c r="AQ79" s="460"/>
    </row>
    <row r="80" spans="2:43" s="105" customFormat="1" ht="27" customHeight="1">
      <c r="B80" s="401">
        <f>#REF!</f>
      </c>
      <c r="C80" s="373"/>
      <c r="D80" s="374">
        <f>IF(#REF!&lt;&gt;"",#REF!,IF(#REF!&lt;&gt;"",#REF!,""))</f>
      </c>
      <c r="E80" s="375"/>
      <c r="F80" s="376"/>
      <c r="G80" s="376"/>
      <c r="H80" s="377"/>
      <c r="I80" s="378"/>
      <c r="J80" s="379"/>
      <c r="K80" s="380"/>
      <c r="L80" s="381"/>
      <c r="M80" s="382"/>
      <c r="N80" s="167"/>
      <c r="O80" s="167"/>
      <c r="P80" s="260"/>
      <c r="Q80" s="168"/>
      <c r="R80" s="425"/>
      <c r="S80" s="371"/>
      <c r="T80" s="425"/>
      <c r="U80" s="372"/>
      <c r="V80" s="425"/>
      <c r="W80" s="244"/>
      <c r="X80" s="202"/>
      <c r="AL80" s="460"/>
      <c r="AM80" s="460"/>
      <c r="AN80" s="460"/>
      <c r="AO80" s="460"/>
      <c r="AP80" s="460"/>
      <c r="AQ80" s="460"/>
    </row>
    <row r="81" spans="2:43" s="105" customFormat="1" ht="27" customHeight="1">
      <c r="B81" s="370">
        <f>#REF!</f>
      </c>
      <c r="C81" s="232"/>
      <c r="D81" s="164">
        <f>IF(#REF!&lt;&gt;"",#REF!,IF(#REF!&lt;&gt;"",#REF!,""))</f>
      </c>
      <c r="E81" s="235"/>
      <c r="F81" s="236"/>
      <c r="G81" s="236"/>
      <c r="H81" s="237"/>
      <c r="I81" s="238"/>
      <c r="J81" s="239"/>
      <c r="K81" s="240"/>
      <c r="L81" s="241"/>
      <c r="M81" s="242"/>
      <c r="N81" s="167">
        <f>#REF!</f>
      </c>
      <c r="O81" s="167">
        <f>#REF!</f>
      </c>
      <c r="P81" s="260">
        <f>#REF!</f>
      </c>
      <c r="Q81" s="168">
        <f>P81*N81</f>
      </c>
      <c r="R81" s="425">
        <f>IFERROR(Q81/$Q$166,0)</f>
      </c>
      <c r="S81" s="371">
        <f ca="1">IF($AL$5&lt;=1,0,SUM(OFFSET('rincian '!#REF!,0,0,1,$AL$5-1)))</f>
      </c>
      <c r="T81" s="425">
        <f ca="1">IFERROR(S81/N81*R81,0)</f>
      </c>
      <c r="U81" s="372" cm="1">
        <f t="array" ref="U81">IFERROR(INDEX('rincian '!#REF!,$AL$5),0)</f>
      </c>
      <c r="V81" s="425">
        <f>IFERROR(U81/N81*R81,0)</f>
      </c>
      <c r="W81" s="244">
        <f ca="1">S81+U81</f>
      </c>
      <c r="X81" s="202">
        <f ca="1">T81+V81</f>
      </c>
      <c r="AL81" s="460"/>
      <c r="AM81" s="460"/>
      <c r="AN81" s="460"/>
      <c r="AO81" s="460"/>
      <c r="AP81" s="460"/>
      <c r="AQ81" s="460"/>
    </row>
    <row r="82" spans="2:43" s="105" customFormat="1" ht="27" customHeight="1">
      <c r="B82" s="370">
        <f>#REF!</f>
      </c>
      <c r="C82" s="232"/>
      <c r="D82" s="164">
        <f>IF(#REF!&lt;&gt;"",#REF!,IF(#REF!&lt;&gt;"",#REF!,""))</f>
      </c>
      <c r="E82" s="235"/>
      <c r="F82" s="236"/>
      <c r="G82" s="236"/>
      <c r="H82" s="237"/>
      <c r="I82" s="238"/>
      <c r="J82" s="239"/>
      <c r="K82" s="240"/>
      <c r="L82" s="241"/>
      <c r="M82" s="242"/>
      <c r="N82" s="167">
        <f>#REF!</f>
      </c>
      <c r="O82" s="167">
        <f>#REF!</f>
      </c>
      <c r="P82" s="260">
        <f>#REF!</f>
      </c>
      <c r="Q82" s="168">
        <f>P82*N82</f>
      </c>
      <c r="R82" s="425">
        <f>IFERROR(Q82/$Q$166,0)</f>
      </c>
      <c r="S82" s="371">
        <f ca="1">IF($AL$5&lt;=1,0,SUM(OFFSET('rincian '!#REF!,0,0,1,$AL$5-1)))</f>
      </c>
      <c r="T82" s="425">
        <f ca="1">IFERROR(S82/N82*R82,0)</f>
      </c>
      <c r="U82" s="372" cm="1">
        <f t="array" ref="U82">IFERROR(INDEX('rincian '!#REF!,$AL$5),0)</f>
      </c>
      <c r="V82" s="425">
        <f>IFERROR(U82/N82*R82,0)</f>
      </c>
      <c r="W82" s="244">
        <f ca="1">S82+U82</f>
      </c>
      <c r="X82" s="202">
        <f ca="1">T82+V82</f>
      </c>
      <c r="AL82" s="460"/>
      <c r="AM82" s="460"/>
      <c r="AN82" s="460"/>
      <c r="AO82" s="460"/>
      <c r="AP82" s="460"/>
      <c r="AQ82" s="460"/>
    </row>
    <row r="83" spans="2:43" s="105" customFormat="1" ht="27" customHeight="1">
      <c r="B83" s="401">
        <f>#REF!</f>
      </c>
      <c r="C83" s="373"/>
      <c r="D83" s="374">
        <f>IF(#REF!&lt;&gt;"",#REF!,IF(#REF!&lt;&gt;"",#REF!,""))</f>
      </c>
      <c r="E83" s="375"/>
      <c r="F83" s="376"/>
      <c r="G83" s="376"/>
      <c r="H83" s="377"/>
      <c r="I83" s="378"/>
      <c r="J83" s="379"/>
      <c r="K83" s="380"/>
      <c r="L83" s="381"/>
      <c r="M83" s="382"/>
      <c r="N83" s="167"/>
      <c r="O83" s="167"/>
      <c r="P83" s="260"/>
      <c r="Q83" s="168"/>
      <c r="R83" s="425"/>
      <c r="S83" s="371"/>
      <c r="T83" s="425"/>
      <c r="U83" s="372"/>
      <c r="V83" s="425"/>
      <c r="W83" s="244"/>
      <c r="X83" s="202"/>
      <c r="AL83" s="460"/>
      <c r="AM83" s="460"/>
      <c r="AN83" s="460"/>
      <c r="AO83" s="460"/>
      <c r="AP83" s="460"/>
      <c r="AQ83" s="460"/>
    </row>
    <row r="84" spans="2:43" s="105" customFormat="1" ht="27" customHeight="1">
      <c r="B84" s="370">
        <f>#REF!</f>
      </c>
      <c r="C84" s="232"/>
      <c r="D84" s="164">
        <f>IF(#REF!&lt;&gt;"",#REF!,IF(#REF!&lt;&gt;"",#REF!,""))</f>
      </c>
      <c r="E84" s="235"/>
      <c r="F84" s="236"/>
      <c r="G84" s="236"/>
      <c r="H84" s="237"/>
      <c r="I84" s="238"/>
      <c r="J84" s="239"/>
      <c r="K84" s="240"/>
      <c r="L84" s="241"/>
      <c r="M84" s="242"/>
      <c r="N84" s="167">
        <f>#REF!</f>
      </c>
      <c r="O84" s="167">
        <f>#REF!</f>
      </c>
      <c r="P84" s="260">
        <f>#REF!</f>
      </c>
      <c r="Q84" s="168">
        <f>P84*N84</f>
      </c>
      <c r="R84" s="425">
        <f>IFERROR(Q84/$Q$166,0)</f>
      </c>
      <c r="S84" s="371">
        <f ca="1">IF($AL$5&lt;=1,0,SUM(OFFSET('rincian '!#REF!,0,0,1,$AL$5-1)))</f>
      </c>
      <c r="T84" s="425">
        <f ca="1">IFERROR(S84/N84*R84,0)</f>
      </c>
      <c r="U84" s="372" cm="1">
        <f t="array" ref="U84">IFERROR(INDEX('rincian '!#REF!,$AL$5),0)</f>
      </c>
      <c r="V84" s="425">
        <f>IFERROR(U84/N84*R84,0)</f>
      </c>
      <c r="W84" s="244">
        <f t="shared" ref="W84:X86" ca="1" si="21">S84+U84</f>
      </c>
      <c r="X84" s="202">
        <f t="shared" ca="1" si="21"/>
      </c>
      <c r="AL84" s="460"/>
      <c r="AM84" s="460"/>
      <c r="AN84" s="460"/>
      <c r="AO84" s="460"/>
      <c r="AP84" s="460"/>
      <c r="AQ84" s="460"/>
    </row>
    <row r="85" spans="2:43" s="105" customFormat="1" ht="27" customHeight="1">
      <c r="B85" s="370">
        <f>#REF!</f>
      </c>
      <c r="C85" s="232"/>
      <c r="D85" s="164">
        <f>IF(#REF!&lt;&gt;"",#REF!,IF(#REF!&lt;&gt;"",#REF!,""))</f>
      </c>
      <c r="E85" s="235"/>
      <c r="F85" s="236"/>
      <c r="G85" s="236"/>
      <c r="H85" s="237"/>
      <c r="I85" s="238"/>
      <c r="J85" s="239"/>
      <c r="K85" s="240"/>
      <c r="L85" s="241"/>
      <c r="M85" s="242"/>
      <c r="N85" s="167">
        <f>#REF!</f>
      </c>
      <c r="O85" s="167">
        <f>#REF!</f>
      </c>
      <c r="P85" s="260">
        <f>#REF!</f>
      </c>
      <c r="Q85" s="168">
        <f>P85*N85</f>
      </c>
      <c r="R85" s="425">
        <f>IFERROR(Q85/$Q$166,0)</f>
      </c>
      <c r="S85" s="371">
        <f ca="1">IF($AL$5&lt;=1,0,SUM(OFFSET('rincian '!#REF!,0,0,1,$AL$5-1)))</f>
      </c>
      <c r="T85" s="425">
        <f ca="1">IFERROR(S85/N85*R85,0)</f>
      </c>
      <c r="U85" s="372" cm="1">
        <f t="array" ref="U85">IFERROR(INDEX('rincian '!#REF!,$AL$5),0)</f>
      </c>
      <c r="V85" s="425">
        <f>IFERROR(U85/N85*R85,0)</f>
      </c>
      <c r="W85" s="244">
        <f t="shared" ca="1" si="21"/>
      </c>
      <c r="X85" s="202">
        <f t="shared" ca="1" si="21"/>
      </c>
      <c r="AL85" s="460"/>
      <c r="AM85" s="460"/>
      <c r="AN85" s="460"/>
      <c r="AO85" s="460"/>
      <c r="AP85" s="460"/>
      <c r="AQ85" s="460"/>
    </row>
    <row r="86" spans="2:43" s="105" customFormat="1" ht="27" customHeight="1">
      <c r="B86" s="370">
        <f>#REF!</f>
      </c>
      <c r="C86" s="232"/>
      <c r="D86" s="164">
        <f>IF(#REF!&lt;&gt;"",#REF!,IF(#REF!&lt;&gt;"",#REF!,""))</f>
      </c>
      <c r="E86" s="235"/>
      <c r="F86" s="236"/>
      <c r="G86" s="236"/>
      <c r="H86" s="237"/>
      <c r="I86" s="238"/>
      <c r="J86" s="239"/>
      <c r="K86" s="240"/>
      <c r="L86" s="241"/>
      <c r="M86" s="242"/>
      <c r="N86" s="167">
        <f>#REF!</f>
      </c>
      <c r="O86" s="167">
        <f>#REF!</f>
      </c>
      <c r="P86" s="260">
        <f>#REF!</f>
      </c>
      <c r="Q86" s="168">
        <f>P86*N86</f>
      </c>
      <c r="R86" s="425">
        <f>IFERROR(Q86/$Q$166,0)</f>
      </c>
      <c r="S86" s="371">
        <f ca="1">IF($AL$5&lt;=1,0,SUM(OFFSET('rincian '!#REF!,0,0,1,$AL$5-1)))</f>
      </c>
      <c r="T86" s="425">
        <f ca="1">IFERROR(S86/N86*R86,0)</f>
      </c>
      <c r="U86" s="372" cm="1">
        <f t="array" ref="U86">IFERROR(INDEX('rincian '!#REF!,$AL$5),0)</f>
      </c>
      <c r="V86" s="425">
        <f>IFERROR(U86/N86*R86,0)</f>
      </c>
      <c r="W86" s="244">
        <f t="shared" ca="1" si="21"/>
      </c>
      <c r="X86" s="202">
        <f t="shared" ca="1" si="21"/>
      </c>
      <c r="AL86" s="460"/>
      <c r="AM86" s="460"/>
      <c r="AN86" s="460"/>
      <c r="AO86" s="460"/>
      <c r="AP86" s="460"/>
      <c r="AQ86" s="460"/>
    </row>
    <row r="87" spans="2:43" s="105" customFormat="1" ht="27" customHeight="1">
      <c r="B87" s="401">
        <f>#REF!</f>
      </c>
      <c r="C87" s="373"/>
      <c r="D87" s="374">
        <f>IF(#REF!&lt;&gt;"",#REF!,IF(#REF!&lt;&gt;"",#REF!,""))</f>
      </c>
      <c r="E87" s="375"/>
      <c r="F87" s="376"/>
      <c r="G87" s="376"/>
      <c r="H87" s="377"/>
      <c r="I87" s="378"/>
      <c r="J87" s="379"/>
      <c r="K87" s="380"/>
      <c r="L87" s="381"/>
      <c r="M87" s="382"/>
      <c r="N87" s="167"/>
      <c r="O87" s="167"/>
      <c r="P87" s="260"/>
      <c r="Q87" s="168"/>
      <c r="R87" s="425"/>
      <c r="S87" s="371"/>
      <c r="T87" s="425"/>
      <c r="U87" s="372"/>
      <c r="V87" s="425"/>
      <c r="W87" s="244"/>
      <c r="X87" s="202"/>
      <c r="AL87" s="460"/>
      <c r="AM87" s="460"/>
      <c r="AN87" s="460"/>
      <c r="AO87" s="460"/>
      <c r="AP87" s="460"/>
      <c r="AQ87" s="460"/>
    </row>
    <row r="88" spans="2:43" s="105" customFormat="1" ht="27" customHeight="1">
      <c r="B88" s="370">
        <f>#REF!</f>
      </c>
      <c r="C88" s="232"/>
      <c r="D88" s="164">
        <f>IF(#REF!&lt;&gt;"",#REF!,IF(#REF!&lt;&gt;"",#REF!,""))</f>
      </c>
      <c r="E88" s="235"/>
      <c r="F88" s="236"/>
      <c r="G88" s="236"/>
      <c r="H88" s="237"/>
      <c r="I88" s="238"/>
      <c r="J88" s="239"/>
      <c r="K88" s="240"/>
      <c r="L88" s="241"/>
      <c r="M88" s="242"/>
      <c r="N88" s="167">
        <f>#REF!</f>
      </c>
      <c r="O88" s="167">
        <f>#REF!</f>
      </c>
      <c r="P88" s="260">
        <f>#REF!</f>
      </c>
      <c r="Q88" s="168">
        <f>P88*N88</f>
      </c>
      <c r="R88" s="425">
        <f>IFERROR(Q88/$Q$166,0)</f>
      </c>
      <c r="S88" s="371">
        <f ca="1">IF($AL$5&lt;=1,0,SUM(OFFSET('rincian '!#REF!,0,0,1,$AL$5-1)))</f>
      </c>
      <c r="T88" s="425">
        <f ca="1">IFERROR(S88/N88*R88,0)</f>
      </c>
      <c r="U88" s="372" cm="1">
        <f t="array" ref="U88">IFERROR(INDEX('rincian '!#REF!,$AL$5),0)</f>
      </c>
      <c r="V88" s="425">
        <f>IFERROR(U88/N88*R88,0)</f>
      </c>
      <c r="W88" s="244">
        <f t="shared" ref="W88:X91" ca="1" si="22">S88+U88</f>
      </c>
      <c r="X88" s="202">
        <f t="shared" ca="1" si="22"/>
      </c>
      <c r="AL88" s="460"/>
      <c r="AM88" s="460"/>
      <c r="AN88" s="460"/>
      <c r="AO88" s="460"/>
      <c r="AP88" s="460"/>
      <c r="AQ88" s="460"/>
    </row>
    <row r="89" spans="2:43" s="105" customFormat="1" ht="27" customHeight="1">
      <c r="B89" s="370">
        <f>#REF!</f>
      </c>
      <c r="C89" s="232"/>
      <c r="D89" s="164">
        <f>IF(#REF!&lt;&gt;"",#REF!,IF(#REF!&lt;&gt;"",#REF!,""))</f>
      </c>
      <c r="E89" s="235"/>
      <c r="F89" s="236"/>
      <c r="G89" s="236"/>
      <c r="H89" s="237"/>
      <c r="I89" s="238"/>
      <c r="J89" s="239"/>
      <c r="K89" s="240"/>
      <c r="L89" s="241"/>
      <c r="M89" s="242"/>
      <c r="N89" s="167">
        <f>#REF!</f>
      </c>
      <c r="O89" s="167">
        <f>#REF!</f>
      </c>
      <c r="P89" s="260">
        <f>#REF!</f>
      </c>
      <c r="Q89" s="168">
        <f>P89*N89</f>
      </c>
      <c r="R89" s="425">
        <f>IFERROR(Q89/$Q$166,0)</f>
      </c>
      <c r="S89" s="371">
        <f ca="1">IF($AL$5&lt;=1,0,SUM(OFFSET('rincian '!#REF!,0,0,1,$AL$5-1)))</f>
      </c>
      <c r="T89" s="425">
        <f ca="1">IFERROR(S89/N89*R89,0)</f>
      </c>
      <c r="U89" s="372" cm="1">
        <f t="array" ref="U89">IFERROR(INDEX('rincian '!#REF!,$AL$5),0)</f>
      </c>
      <c r="V89" s="425">
        <f>IFERROR(U89/N89*R89,0)</f>
      </c>
      <c r="W89" s="244">
        <f t="shared" ca="1" si="22"/>
      </c>
      <c r="X89" s="202">
        <f t="shared" ca="1" si="22"/>
      </c>
      <c r="AL89" s="460"/>
      <c r="AM89" s="460"/>
      <c r="AN89" s="460"/>
      <c r="AO89" s="460"/>
      <c r="AP89" s="460"/>
      <c r="AQ89" s="460"/>
    </row>
    <row r="90" spans="2:43" s="105" customFormat="1" ht="27" customHeight="1">
      <c r="B90" s="370">
        <f>#REF!</f>
      </c>
      <c r="C90" s="232"/>
      <c r="D90" s="164">
        <f>IF(#REF!&lt;&gt;"",#REF!,IF(#REF!&lt;&gt;"",#REF!,""))</f>
      </c>
      <c r="E90" s="235"/>
      <c r="F90" s="236"/>
      <c r="G90" s="236"/>
      <c r="H90" s="237"/>
      <c r="I90" s="238"/>
      <c r="J90" s="239"/>
      <c r="K90" s="240"/>
      <c r="L90" s="241"/>
      <c r="M90" s="242"/>
      <c r="N90" s="167">
        <f>#REF!</f>
      </c>
      <c r="O90" s="167">
        <f>#REF!</f>
      </c>
      <c r="P90" s="260">
        <f>#REF!</f>
      </c>
      <c r="Q90" s="168">
        <f>P90*N90</f>
      </c>
      <c r="R90" s="425">
        <f>IFERROR(Q90/$Q$166,0)</f>
      </c>
      <c r="S90" s="371">
        <f ca="1">IF($AL$5&lt;=1,0,SUM(OFFSET('rincian '!#REF!,0,0,1,$AL$5-1)))</f>
      </c>
      <c r="T90" s="425">
        <f ca="1">IFERROR(S90/N90*R90,0)</f>
      </c>
      <c r="U90" s="372" cm="1">
        <f t="array" ref="U90">IFERROR(INDEX('rincian '!#REF!,$AL$5),0)</f>
      </c>
      <c r="V90" s="425">
        <f>IFERROR(U90/N90*R90,0)</f>
      </c>
      <c r="W90" s="244">
        <f t="shared" ca="1" si="22"/>
      </c>
      <c r="X90" s="202">
        <f t="shared" ca="1" si="22"/>
      </c>
      <c r="AL90" s="460"/>
      <c r="AM90" s="460"/>
      <c r="AN90" s="460"/>
      <c r="AO90" s="460"/>
      <c r="AP90" s="460"/>
      <c r="AQ90" s="460"/>
    </row>
    <row r="91" spans="2:43" s="105" customFormat="1" ht="27" customHeight="1">
      <c r="B91" s="370">
        <f>#REF!</f>
      </c>
      <c r="C91" s="232"/>
      <c r="D91" s="164">
        <f>IF(#REF!&lt;&gt;"",#REF!,IF(#REF!&lt;&gt;"",#REF!,""))</f>
      </c>
      <c r="E91" s="235"/>
      <c r="F91" s="236"/>
      <c r="G91" s="236"/>
      <c r="H91" s="237"/>
      <c r="I91" s="238"/>
      <c r="J91" s="239"/>
      <c r="K91" s="240"/>
      <c r="L91" s="241"/>
      <c r="M91" s="242"/>
      <c r="N91" s="167">
        <f>#REF!</f>
      </c>
      <c r="O91" s="167">
        <f>#REF!</f>
      </c>
      <c r="P91" s="260">
        <f>#REF!</f>
      </c>
      <c r="Q91" s="168">
        <f>P91*N91</f>
      </c>
      <c r="R91" s="425">
        <f>IFERROR(Q91/$Q$166,0)</f>
      </c>
      <c r="S91" s="371">
        <f ca="1">IF($AL$5&lt;=1,0,SUM(OFFSET('rincian '!#REF!,0,0,1,$AL$5-1)))</f>
      </c>
      <c r="T91" s="425">
        <f ca="1">IFERROR(S91/N91*R91,0)</f>
      </c>
      <c r="U91" s="372" cm="1">
        <f t="array" ref="U91">IFERROR(INDEX('rincian '!#REF!,$AL$5),0)</f>
      </c>
      <c r="V91" s="425">
        <f>IFERROR(U91/N91*R91,0)</f>
      </c>
      <c r="W91" s="244">
        <f t="shared" ca="1" si="22"/>
      </c>
      <c r="X91" s="202">
        <f t="shared" ca="1" si="22"/>
      </c>
      <c r="AL91" s="460"/>
      <c r="AM91" s="460"/>
      <c r="AN91" s="460"/>
      <c r="AO91" s="460"/>
      <c r="AP91" s="460"/>
      <c r="AQ91" s="460"/>
    </row>
    <row r="92" spans="2:43" s="105" customFormat="1" ht="27" customHeight="1">
      <c r="B92" s="401">
        <f>#REF!</f>
      </c>
      <c r="C92" s="373"/>
      <c r="D92" s="374">
        <f>IF(#REF!&lt;&gt;"",#REF!,IF(#REF!&lt;&gt;"",#REF!,""))</f>
      </c>
      <c r="E92" s="375"/>
      <c r="F92" s="376"/>
      <c r="G92" s="376"/>
      <c r="H92" s="377"/>
      <c r="I92" s="378"/>
      <c r="J92" s="379"/>
      <c r="K92" s="380"/>
      <c r="L92" s="381"/>
      <c r="M92" s="382"/>
      <c r="N92" s="167"/>
      <c r="O92" s="167"/>
      <c r="P92" s="260"/>
      <c r="Q92" s="168"/>
      <c r="R92" s="425"/>
      <c r="S92" s="371"/>
      <c r="T92" s="425"/>
      <c r="U92" s="372"/>
      <c r="V92" s="425"/>
      <c r="W92" s="244"/>
      <c r="X92" s="202"/>
      <c r="AL92" s="460"/>
      <c r="AM92" s="460"/>
      <c r="AN92" s="460"/>
      <c r="AO92" s="460"/>
      <c r="AP92" s="460"/>
      <c r="AQ92" s="460"/>
    </row>
    <row r="93" spans="2:43" s="105" customFormat="1" ht="27" customHeight="1">
      <c r="B93" s="370">
        <f>#REF!</f>
      </c>
      <c r="C93" s="232"/>
      <c r="D93" s="164">
        <f>IF(#REF!&lt;&gt;"",#REF!,IF(#REF!&lt;&gt;"",#REF!,""))</f>
      </c>
      <c r="E93" s="235"/>
      <c r="F93" s="236"/>
      <c r="G93" s="236"/>
      <c r="H93" s="237"/>
      <c r="I93" s="238"/>
      <c r="J93" s="239"/>
      <c r="K93" s="240"/>
      <c r="L93" s="241"/>
      <c r="M93" s="242"/>
      <c r="N93" s="167">
        <f>#REF!</f>
      </c>
      <c r="O93" s="167">
        <f>#REF!</f>
      </c>
      <c r="P93" s="260">
        <f>#REF!</f>
      </c>
      <c r="Q93" s="168">
        <f>P93*N93</f>
      </c>
      <c r="R93" s="425">
        <f>IFERROR(Q93/$Q$166,0)</f>
      </c>
      <c r="S93" s="371">
        <f ca="1">IF($AL$5&lt;=1,0,SUM(OFFSET('rincian '!#REF!,0,0,1,$AL$5-1)))</f>
      </c>
      <c r="T93" s="425">
        <f ca="1">IFERROR(S93/N93*R93,0)</f>
      </c>
      <c r="U93" s="372" cm="1">
        <f t="array" ref="U93">IFERROR(INDEX('rincian '!#REF!,$AL$5),0)</f>
      </c>
      <c r="V93" s="425">
        <f>IFERROR(U93/N93*R93,0)</f>
      </c>
      <c r="W93" s="244">
        <f ca="1">S93+U93</f>
      </c>
      <c r="X93" s="202">
        <f ca="1">T93+V93</f>
      </c>
      <c r="AL93" s="460"/>
      <c r="AM93" s="460"/>
      <c r="AN93" s="460"/>
      <c r="AO93" s="460"/>
      <c r="AP93" s="460"/>
      <c r="AQ93" s="460"/>
    </row>
    <row r="94" spans="2:43" s="105" customFormat="1" ht="27" customHeight="1">
      <c r="B94" s="401">
        <f>#REF!</f>
      </c>
      <c r="C94" s="373"/>
      <c r="D94" s="374">
        <f>IF(#REF!&lt;&gt;"",#REF!,IF(#REF!&lt;&gt;"",#REF!,""))</f>
      </c>
      <c r="E94" s="375"/>
      <c r="F94" s="376"/>
      <c r="G94" s="376"/>
      <c r="H94" s="377"/>
      <c r="I94" s="378"/>
      <c r="J94" s="379"/>
      <c r="K94" s="380"/>
      <c r="L94" s="381"/>
      <c r="M94" s="382"/>
      <c r="N94" s="167"/>
      <c r="O94" s="167"/>
      <c r="P94" s="260"/>
      <c r="Q94" s="168"/>
      <c r="R94" s="425"/>
      <c r="S94" s="371"/>
      <c r="T94" s="425"/>
      <c r="U94" s="372"/>
      <c r="V94" s="425"/>
      <c r="W94" s="244"/>
      <c r="X94" s="202"/>
      <c r="AL94" s="460"/>
      <c r="AM94" s="460"/>
      <c r="AN94" s="460"/>
      <c r="AO94" s="460"/>
      <c r="AP94" s="460"/>
      <c r="AQ94" s="460"/>
    </row>
    <row r="95" spans="2:43" s="105" customFormat="1" ht="27" customHeight="1">
      <c r="B95" s="370">
        <f>#REF!</f>
      </c>
      <c r="C95" s="232"/>
      <c r="D95" s="164">
        <f>IF(#REF!&lt;&gt;"",#REF!,IF(#REF!&lt;&gt;"",#REF!,""))</f>
      </c>
      <c r="E95" s="235"/>
      <c r="F95" s="236"/>
      <c r="G95" s="236"/>
      <c r="H95" s="237"/>
      <c r="I95" s="238"/>
      <c r="J95" s="239"/>
      <c r="K95" s="240"/>
      <c r="L95" s="241"/>
      <c r="M95" s="242"/>
      <c r="N95" s="167">
        <f>#REF!</f>
      </c>
      <c r="O95" s="167">
        <f>#REF!</f>
      </c>
      <c r="P95" s="260">
        <f>#REF!</f>
      </c>
      <c r="Q95" s="168">
        <f>P95*N95</f>
      </c>
      <c r="R95" s="425">
        <f>IFERROR(Q95/$Q$166,0)</f>
      </c>
      <c r="S95" s="371">
        <f ca="1">IF($AL$5&lt;=1,0,SUM(OFFSET('rincian '!#REF!,0,0,1,$AL$5-1)))</f>
      </c>
      <c r="T95" s="425">
        <f ca="1">IFERROR(S95/N95*R95,0)</f>
      </c>
      <c r="U95" s="372" cm="1">
        <f t="array" ref="U95">IFERROR(INDEX('rincian '!#REF!,$AL$5),0)</f>
      </c>
      <c r="V95" s="425">
        <f>IFERROR(U95/N95*R95,0)</f>
      </c>
      <c r="W95" s="244">
        <f t="shared" ref="W95:X98" ca="1" si="23">S95+U95</f>
      </c>
      <c r="X95" s="202">
        <f t="shared" ca="1" si="23"/>
      </c>
      <c r="AL95" s="460"/>
      <c r="AM95" s="460"/>
      <c r="AN95" s="460"/>
      <c r="AO95" s="460"/>
      <c r="AP95" s="460"/>
      <c r="AQ95" s="460"/>
    </row>
    <row r="96" spans="2:43" s="105" customFormat="1" ht="27" customHeight="1">
      <c r="B96" s="370">
        <f>#REF!</f>
      </c>
      <c r="C96" s="232"/>
      <c r="D96" s="164">
        <f>IF(#REF!&lt;&gt;"",#REF!,IF(#REF!&lt;&gt;"",#REF!,""))</f>
      </c>
      <c r="E96" s="235"/>
      <c r="F96" s="236"/>
      <c r="G96" s="236"/>
      <c r="H96" s="237"/>
      <c r="I96" s="238"/>
      <c r="J96" s="239"/>
      <c r="K96" s="240"/>
      <c r="L96" s="241"/>
      <c r="M96" s="242"/>
      <c r="N96" s="167">
        <f>#REF!</f>
      </c>
      <c r="O96" s="167">
        <f>#REF!</f>
      </c>
      <c r="P96" s="260">
        <f>#REF!</f>
      </c>
      <c r="Q96" s="168">
        <f>P96*N96</f>
      </c>
      <c r="R96" s="425">
        <f>IFERROR(Q96/$Q$166,0)</f>
      </c>
      <c r="S96" s="371">
        <f ca="1">IF($AL$5&lt;=1,0,SUM(OFFSET('rincian '!#REF!,0,0,1,$AL$5-1)))</f>
      </c>
      <c r="T96" s="425">
        <f ca="1">IFERROR(S96/N96*R96,0)</f>
      </c>
      <c r="U96" s="372" cm="1">
        <f t="array" ref="U96">IFERROR(INDEX('rincian '!#REF!,$AL$5),0)</f>
      </c>
      <c r="V96" s="425">
        <f>IFERROR(U96/N96*R96,0)</f>
      </c>
      <c r="W96" s="244">
        <f t="shared" ca="1" si="23"/>
      </c>
      <c r="X96" s="202">
        <f t="shared" ca="1" si="23"/>
      </c>
      <c r="AL96" s="460"/>
      <c r="AM96" s="460"/>
      <c r="AN96" s="460"/>
      <c r="AO96" s="460"/>
      <c r="AP96" s="460"/>
      <c r="AQ96" s="460"/>
    </row>
    <row r="97" spans="2:43" s="105" customFormat="1" ht="27" customHeight="1">
      <c r="B97" s="370">
        <f>#REF!</f>
      </c>
      <c r="C97" s="232"/>
      <c r="D97" s="164">
        <f>IF(#REF!&lt;&gt;"",#REF!,IF(#REF!&lt;&gt;"",#REF!,""))</f>
      </c>
      <c r="E97" s="235"/>
      <c r="F97" s="236"/>
      <c r="G97" s="236"/>
      <c r="H97" s="237"/>
      <c r="I97" s="238"/>
      <c r="J97" s="239"/>
      <c r="K97" s="240"/>
      <c r="L97" s="241"/>
      <c r="M97" s="242"/>
      <c r="N97" s="167">
        <f>#REF!</f>
      </c>
      <c r="O97" s="167">
        <f>#REF!</f>
      </c>
      <c r="P97" s="260">
        <f>#REF!</f>
      </c>
      <c r="Q97" s="168">
        <f>P97*N97</f>
      </c>
      <c r="R97" s="425">
        <f>IFERROR(Q97/$Q$166,0)</f>
      </c>
      <c r="S97" s="371">
        <f ca="1">IF($AL$5&lt;=1,0,SUM(OFFSET('rincian '!#REF!,0,0,1,$AL$5-1)))</f>
      </c>
      <c r="T97" s="425">
        <f ca="1">IFERROR(S97/N97*R97,0)</f>
      </c>
      <c r="U97" s="372" cm="1">
        <f t="array" ref="U97">IFERROR(INDEX('rincian '!#REF!,$AL$5),0)</f>
      </c>
      <c r="V97" s="425">
        <f>IFERROR(U97/N97*R97,0)</f>
      </c>
      <c r="W97" s="244">
        <f t="shared" ca="1" si="23"/>
      </c>
      <c r="X97" s="202">
        <f t="shared" ca="1" si="23"/>
      </c>
      <c r="AL97" s="460"/>
      <c r="AM97" s="460"/>
      <c r="AN97" s="460"/>
      <c r="AO97" s="460"/>
      <c r="AP97" s="460"/>
      <c r="AQ97" s="460"/>
    </row>
    <row r="98" spans="2:43" s="105" customFormat="1" ht="27" customHeight="1">
      <c r="B98" s="370">
        <f>#REF!</f>
      </c>
      <c r="C98" s="232"/>
      <c r="D98" s="164">
        <f>IF(#REF!&lt;&gt;"",#REF!,IF(#REF!&lt;&gt;"",#REF!,""))</f>
      </c>
      <c r="E98" s="235"/>
      <c r="F98" s="236"/>
      <c r="G98" s="236"/>
      <c r="H98" s="237"/>
      <c r="I98" s="238"/>
      <c r="J98" s="239"/>
      <c r="K98" s="240"/>
      <c r="L98" s="241"/>
      <c r="M98" s="242"/>
      <c r="N98" s="167">
        <f>#REF!</f>
      </c>
      <c r="O98" s="167">
        <f>#REF!</f>
      </c>
      <c r="P98" s="260">
        <f>#REF!</f>
      </c>
      <c r="Q98" s="168">
        <f>P98*N98</f>
      </c>
      <c r="R98" s="425">
        <f>IFERROR(Q98/$Q$166,0)</f>
      </c>
      <c r="S98" s="371">
        <f ca="1">IF($AL$5&lt;=1,0,SUM(OFFSET('rincian '!#REF!,0,0,1,$AL$5-1)))</f>
      </c>
      <c r="T98" s="425">
        <f ca="1">IFERROR(S98/N98*R98,0)</f>
      </c>
      <c r="U98" s="372" cm="1">
        <f t="array" ref="U98">IFERROR(INDEX('rincian '!#REF!,$AL$5),0)</f>
      </c>
      <c r="V98" s="425">
        <f>IFERROR(U98/N98*R98,0)</f>
      </c>
      <c r="W98" s="244">
        <f t="shared" ca="1" si="23"/>
      </c>
      <c r="X98" s="202">
        <f t="shared" ca="1" si="23"/>
      </c>
      <c r="AL98" s="460"/>
      <c r="AM98" s="460"/>
      <c r="AN98" s="460"/>
      <c r="AO98" s="460"/>
      <c r="AP98" s="460"/>
      <c r="AQ98" s="460"/>
    </row>
    <row r="99" spans="2:43" s="105" customFormat="1" ht="27" customHeight="1">
      <c r="B99" s="401">
        <f>#REF!</f>
      </c>
      <c r="C99" s="373"/>
      <c r="D99" s="374">
        <f>IF(#REF!&lt;&gt;"",#REF!,IF(#REF!&lt;&gt;"",#REF!,""))</f>
      </c>
      <c r="E99" s="375"/>
      <c r="F99" s="376"/>
      <c r="G99" s="376"/>
      <c r="H99" s="377"/>
      <c r="I99" s="378"/>
      <c r="J99" s="379"/>
      <c r="K99" s="380"/>
      <c r="L99" s="381"/>
      <c r="M99" s="382"/>
      <c r="N99" s="167"/>
      <c r="O99" s="167"/>
      <c r="P99" s="260"/>
      <c r="Q99" s="168"/>
      <c r="R99" s="425"/>
      <c r="S99" s="371"/>
      <c r="T99" s="425"/>
      <c r="U99" s="372"/>
      <c r="V99" s="425"/>
      <c r="W99" s="244"/>
      <c r="X99" s="202"/>
      <c r="AL99" s="460"/>
      <c r="AM99" s="460"/>
      <c r="AN99" s="460"/>
      <c r="AO99" s="460"/>
      <c r="AP99" s="460"/>
      <c r="AQ99" s="460"/>
    </row>
    <row r="100" spans="2:43" s="105" customFormat="1" ht="27" customHeight="1">
      <c r="B100" s="370">
        <f>#REF!</f>
      </c>
      <c r="C100" s="232"/>
      <c r="D100" s="164">
        <f>IF(#REF!&lt;&gt;"",#REF!,IF(#REF!&lt;&gt;"",#REF!,""))</f>
      </c>
      <c r="E100" s="235"/>
      <c r="F100" s="236"/>
      <c r="G100" s="236"/>
      <c r="H100" s="237"/>
      <c r="I100" s="238"/>
      <c r="J100" s="239"/>
      <c r="K100" s="240"/>
      <c r="L100" s="241"/>
      <c r="M100" s="242"/>
      <c r="N100" s="167"/>
      <c r="O100" s="167"/>
      <c r="P100" s="260"/>
      <c r="Q100" s="168"/>
      <c r="R100" s="425"/>
      <c r="S100" s="371"/>
      <c r="T100" s="425"/>
      <c r="U100" s="372"/>
      <c r="V100" s="425"/>
      <c r="W100" s="244"/>
      <c r="X100" s="202"/>
      <c r="AL100" s="460"/>
      <c r="AM100" s="460"/>
      <c r="AN100" s="460"/>
      <c r="AO100" s="460"/>
      <c r="AP100" s="460"/>
      <c r="AQ100" s="460"/>
    </row>
    <row r="101" spans="2:43" s="105" customFormat="1" ht="36" customHeight="1">
      <c r="B101" s="370">
        <f>#REF!</f>
      </c>
      <c r="C101" s="232"/>
      <c r="D101" s="704">
        <f>IF(#REF!&lt;&gt;"",#REF!,IF(#REF!&lt;&gt;"",#REF!,""))</f>
      </c>
      <c r="E101" s="704"/>
      <c r="F101" s="704"/>
      <c r="G101" s="704"/>
      <c r="H101" s="704"/>
      <c r="I101" s="704"/>
      <c r="J101" s="704"/>
      <c r="K101" s="704"/>
      <c r="L101" s="704"/>
      <c r="M101" s="705"/>
      <c r="N101" s="167">
        <f>#REF!</f>
      </c>
      <c r="O101" s="167">
        <f>#REF!</f>
      </c>
      <c r="P101" s="260">
        <f>#REF!</f>
      </c>
      <c r="Q101" s="168">
        <f>P101*N101</f>
      </c>
      <c r="R101" s="425">
        <f>IFERROR(Q101/$Q$166,0)</f>
      </c>
      <c r="S101" s="371">
        <f ca="1">IF($AL$5&lt;=1,0,SUM(OFFSET('rincian '!#REF!,0,0,1,$AL$5-1)))</f>
      </c>
      <c r="T101" s="425">
        <f ca="1">IFERROR(S101/N101*R101,0)</f>
      </c>
      <c r="U101" s="372" cm="1">
        <f t="array" ref="U101">IFERROR(INDEX('rincian '!#REF!,$AL$5),0)</f>
      </c>
      <c r="V101" s="425">
        <f>IFERROR(U101/N101*R101,0)</f>
      </c>
      <c r="W101" s="244">
        <f t="shared" ref="W101:X103" ca="1" si="24">S101+U101</f>
      </c>
      <c r="X101" s="202">
        <f t="shared" ca="1" si="24"/>
      </c>
      <c r="AL101" s="460"/>
      <c r="AM101" s="460"/>
      <c r="AN101" s="460"/>
      <c r="AO101" s="460"/>
      <c r="AP101" s="460"/>
      <c r="AQ101" s="460"/>
    </row>
    <row r="102" spans="2:43" s="105" customFormat="1" ht="27" customHeight="1">
      <c r="B102" s="370">
        <f>#REF!</f>
      </c>
      <c r="C102" s="232"/>
      <c r="D102" s="164">
        <f>IF(#REF!&lt;&gt;"",#REF!,IF(#REF!&lt;&gt;"",#REF!,""))</f>
      </c>
      <c r="E102" s="235"/>
      <c r="F102" s="236"/>
      <c r="G102" s="236"/>
      <c r="H102" s="237"/>
      <c r="I102" s="238"/>
      <c r="J102" s="239"/>
      <c r="K102" s="240"/>
      <c r="L102" s="241"/>
      <c r="M102" s="242"/>
      <c r="N102" s="167">
        <f>#REF!</f>
      </c>
      <c r="O102" s="167">
        <f>#REF!</f>
      </c>
      <c r="P102" s="260">
        <f>#REF!</f>
      </c>
      <c r="Q102" s="168">
        <f>P102*N102</f>
      </c>
      <c r="R102" s="425">
        <f>IFERROR(Q102/$Q$166,0)</f>
      </c>
      <c r="S102" s="371">
        <f ca="1">IF($AL$5&lt;=1,0,SUM(OFFSET('rincian '!#REF!,0,0,1,$AL$5-1)))</f>
      </c>
      <c r="T102" s="425">
        <f ca="1">IFERROR(S102/N102*R102,0)</f>
      </c>
      <c r="U102" s="372" cm="1">
        <f t="array" ref="U102">IFERROR(INDEX('rincian '!#REF!,$AL$5),0)</f>
      </c>
      <c r="V102" s="425">
        <f>IFERROR(U102/N102*R102,0)</f>
      </c>
      <c r="W102" s="244">
        <f t="shared" ca="1" si="24"/>
      </c>
      <c r="X102" s="202">
        <f t="shared" ca="1" si="24"/>
      </c>
      <c r="AL102" s="460"/>
      <c r="AM102" s="460"/>
      <c r="AN102" s="460"/>
      <c r="AO102" s="460"/>
      <c r="AP102" s="460"/>
      <c r="AQ102" s="460"/>
    </row>
    <row r="103" spans="2:43" s="105" customFormat="1" ht="27" customHeight="1">
      <c r="B103" s="370">
        <f>#REF!</f>
      </c>
      <c r="C103" s="232"/>
      <c r="D103" s="164">
        <f>IF(#REF!&lt;&gt;"",#REF!,IF(#REF!&lt;&gt;"",#REF!,""))</f>
      </c>
      <c r="E103" s="235"/>
      <c r="F103" s="236"/>
      <c r="G103" s="236"/>
      <c r="H103" s="237"/>
      <c r="I103" s="238"/>
      <c r="J103" s="239"/>
      <c r="K103" s="240"/>
      <c r="L103" s="241"/>
      <c r="M103" s="242"/>
      <c r="N103" s="167">
        <f>#REF!</f>
      </c>
      <c r="O103" s="167">
        <f>#REF!</f>
      </c>
      <c r="P103" s="260">
        <f>#REF!</f>
      </c>
      <c r="Q103" s="168">
        <f>P103*N103</f>
      </c>
      <c r="R103" s="425">
        <f>IFERROR(Q103/$Q$166,0)</f>
      </c>
      <c r="S103" s="371">
        <f ca="1">IF($AL$5&lt;=1,0,SUM(OFFSET('rincian '!#REF!,0,0,1,$AL$5-1)))</f>
      </c>
      <c r="T103" s="425">
        <f ca="1">IFERROR(S103/N103*R103,0)</f>
      </c>
      <c r="U103" s="372" cm="1">
        <f t="array" ref="U103">IFERROR(INDEX('rincian '!#REF!,$AL$5),0)</f>
      </c>
      <c r="V103" s="425">
        <f>IFERROR(U103/N103*R103,0)</f>
      </c>
      <c r="W103" s="244">
        <f t="shared" ca="1" si="24"/>
      </c>
      <c r="X103" s="202">
        <f t="shared" ca="1" si="24"/>
      </c>
      <c r="AL103" s="460"/>
      <c r="AM103" s="460"/>
      <c r="AN103" s="460"/>
      <c r="AO103" s="460"/>
      <c r="AP103" s="460"/>
      <c r="AQ103" s="460"/>
    </row>
    <row r="104" spans="2:43" s="105" customFormat="1" ht="27" customHeight="1">
      <c r="B104" s="370">
        <f>#REF!</f>
      </c>
      <c r="C104" s="232"/>
      <c r="D104" s="164">
        <f>IF(#REF!&lt;&gt;"",#REF!,IF(#REF!&lt;&gt;"",#REF!,""))</f>
      </c>
      <c r="E104" s="235"/>
      <c r="F104" s="236"/>
      <c r="G104" s="236"/>
      <c r="H104" s="237"/>
      <c r="I104" s="238"/>
      <c r="J104" s="239"/>
      <c r="K104" s="240"/>
      <c r="L104" s="241"/>
      <c r="M104" s="242"/>
      <c r="N104" s="167"/>
      <c r="O104" s="167"/>
      <c r="P104" s="260"/>
      <c r="Q104" s="168"/>
      <c r="R104" s="425"/>
      <c r="S104" s="371"/>
      <c r="T104" s="425"/>
      <c r="U104" s="372"/>
      <c r="V104" s="425"/>
      <c r="W104" s="244"/>
      <c r="X104" s="202"/>
      <c r="AL104" s="460"/>
      <c r="AM104" s="460"/>
      <c r="AN104" s="460"/>
      <c r="AO104" s="460"/>
      <c r="AP104" s="460"/>
      <c r="AQ104" s="460"/>
    </row>
    <row r="105" spans="2:43" s="105" customFormat="1" ht="27" customHeight="1">
      <c r="B105" s="370">
        <f>#REF!</f>
      </c>
      <c r="C105" s="232"/>
      <c r="D105" s="164">
        <f>IF(#REF!&lt;&gt;"",#REF!,IF(#REF!&lt;&gt;"",#REF!,""))</f>
      </c>
      <c r="E105" s="235"/>
      <c r="F105" s="236"/>
      <c r="G105" s="236"/>
      <c r="H105" s="237"/>
      <c r="I105" s="238"/>
      <c r="J105" s="239"/>
      <c r="K105" s="240"/>
      <c r="L105" s="241"/>
      <c r="M105" s="242"/>
      <c r="N105" s="167">
        <f>#REF!</f>
      </c>
      <c r="O105" s="167">
        <f>#REF!</f>
      </c>
      <c r="P105" s="260">
        <f>#REF!</f>
      </c>
      <c r="Q105" s="168">
        <f>P105*N105</f>
      </c>
      <c r="R105" s="425">
        <f>IFERROR(Q105/$Q$166,0)</f>
      </c>
      <c r="S105" s="371">
        <f ca="1">IF($AL$5&lt;=1,0,SUM(OFFSET('rincian '!#REF!,0,0,1,$AL$5-1)))</f>
      </c>
      <c r="T105" s="425">
        <f ca="1">IFERROR(S105/N105*R105,0)</f>
      </c>
      <c r="U105" s="372" cm="1">
        <f t="array" ref="U105">IFERROR(INDEX('rincian '!#REF!,$AL$5),0)</f>
      </c>
      <c r="V105" s="425">
        <f>IFERROR(U105/N105*R105,0)</f>
      </c>
      <c r="W105" s="244">
        <f ca="1">S105+U105</f>
      </c>
      <c r="X105" s="202">
        <f ca="1">T105+V105</f>
      </c>
      <c r="AL105" s="460"/>
      <c r="AM105" s="460"/>
      <c r="AN105" s="460"/>
      <c r="AO105" s="460"/>
      <c r="AP105" s="460"/>
      <c r="AQ105" s="460"/>
    </row>
    <row r="106" spans="2:43" s="105" customFormat="1" ht="27" customHeight="1">
      <c r="B106" s="370">
        <f>#REF!</f>
      </c>
      <c r="C106" s="232"/>
      <c r="D106" s="164">
        <f>IF(#REF!&lt;&gt;"",#REF!,IF(#REF!&lt;&gt;"",#REF!,""))</f>
      </c>
      <c r="E106" s="235"/>
      <c r="F106" s="236"/>
      <c r="G106" s="236"/>
      <c r="H106" s="237"/>
      <c r="I106" s="238"/>
      <c r="J106" s="239"/>
      <c r="K106" s="240"/>
      <c r="L106" s="241"/>
      <c r="M106" s="242"/>
      <c r="N106" s="167">
        <f>#REF!</f>
      </c>
      <c r="O106" s="167">
        <f>#REF!</f>
      </c>
      <c r="P106" s="260">
        <f>#REF!</f>
      </c>
      <c r="Q106" s="168">
        <f>P106*N106</f>
      </c>
      <c r="R106" s="425">
        <f>IFERROR(Q106/$Q$166,0)</f>
      </c>
      <c r="S106" s="371">
        <f ca="1">IF($AL$5&lt;=1,0,SUM(OFFSET('rincian '!#REF!,0,0,1,$AL$5-1)))</f>
      </c>
      <c r="T106" s="425">
        <f ca="1">IFERROR(S106/N106*R106,0)</f>
      </c>
      <c r="U106" s="372" cm="1">
        <f t="array" ref="U106">IFERROR(INDEX('rincian '!#REF!,$AL$5),0)</f>
      </c>
      <c r="V106" s="425">
        <f>IFERROR(U106/N106*R106,0)</f>
      </c>
      <c r="W106" s="244">
        <f ca="1">S106+U106</f>
      </c>
      <c r="X106" s="202">
        <f ca="1">T106+V106</f>
      </c>
      <c r="AL106" s="460"/>
      <c r="AM106" s="460"/>
      <c r="AN106" s="460"/>
      <c r="AO106" s="460"/>
      <c r="AP106" s="460"/>
      <c r="AQ106" s="460"/>
    </row>
    <row r="107" spans="2:43" s="105" customFormat="1" ht="27" customHeight="1">
      <c r="B107" s="401">
        <f>#REF!</f>
      </c>
      <c r="C107" s="373"/>
      <c r="D107" s="374">
        <f>IF(#REF!&lt;&gt;"",#REF!,IF(#REF!&lt;&gt;"",#REF!,""))</f>
      </c>
      <c r="E107" s="375"/>
      <c r="F107" s="376"/>
      <c r="G107" s="376"/>
      <c r="H107" s="377"/>
      <c r="I107" s="378"/>
      <c r="J107" s="379"/>
      <c r="K107" s="380"/>
      <c r="L107" s="381"/>
      <c r="M107" s="382"/>
      <c r="N107" s="167"/>
      <c r="O107" s="167"/>
      <c r="P107" s="260"/>
      <c r="Q107" s="168"/>
      <c r="R107" s="425"/>
      <c r="S107" s="371"/>
      <c r="T107" s="425"/>
      <c r="U107" s="372"/>
      <c r="V107" s="425"/>
      <c r="W107" s="244"/>
      <c r="X107" s="202"/>
      <c r="AL107" s="460"/>
      <c r="AM107" s="460"/>
      <c r="AN107" s="460"/>
      <c r="AO107" s="460"/>
      <c r="AP107" s="460"/>
      <c r="AQ107" s="460"/>
    </row>
    <row r="108" spans="2:43" s="105" customFormat="1" ht="27" customHeight="1">
      <c r="B108" s="370">
        <f>#REF!</f>
      </c>
      <c r="C108" s="232"/>
      <c r="D108" s="164">
        <f>IF(#REF!&lt;&gt;"",#REF!,IF(#REF!&lt;&gt;"",#REF!,""))</f>
      </c>
      <c r="E108" s="235"/>
      <c r="F108" s="236"/>
      <c r="G108" s="236"/>
      <c r="H108" s="237"/>
      <c r="I108" s="238"/>
      <c r="J108" s="239"/>
      <c r="K108" s="240"/>
      <c r="L108" s="241"/>
      <c r="M108" s="242"/>
      <c r="N108" s="167">
        <f>#REF!</f>
      </c>
      <c r="O108" s="167">
        <f>#REF!</f>
      </c>
      <c r="P108" s="260">
        <f>#REF!</f>
      </c>
      <c r="Q108" s="168">
        <f>P108*N108</f>
      </c>
      <c r="R108" s="425">
        <f>IFERROR(Q108/$Q$166,0)</f>
      </c>
      <c r="S108" s="371">
        <f ca="1">IF($AL$5&lt;=1,0,SUM(OFFSET('rincian '!#REF!,0,0,1,$AL$5-1)))</f>
      </c>
      <c r="T108" s="425">
        <f ca="1">IFERROR(S108/N108*R108,0)</f>
      </c>
      <c r="U108" s="372" cm="1">
        <f t="array" ref="U108">IFERROR(INDEX('rincian '!#REF!,$AL$5),0)</f>
      </c>
      <c r="V108" s="425">
        <f>IFERROR(U108/N108*R108,0)</f>
      </c>
      <c r="W108" s="244">
        <f ca="1">S108+U108</f>
      </c>
      <c r="X108" s="202">
        <f ca="1">T108+V108</f>
      </c>
      <c r="AL108" s="460"/>
      <c r="AM108" s="460"/>
      <c r="AN108" s="460"/>
      <c r="AO108" s="460"/>
      <c r="AP108" s="460"/>
      <c r="AQ108" s="460"/>
    </row>
    <row r="109" spans="2:43" s="105" customFormat="1" ht="27" customHeight="1">
      <c r="B109" s="370">
        <f>#REF!</f>
      </c>
      <c r="C109" s="232"/>
      <c r="D109" s="164">
        <f>IF(#REF!&lt;&gt;"",#REF!,IF(#REF!&lt;&gt;"",#REF!,""))</f>
      </c>
      <c r="E109" s="235"/>
      <c r="F109" s="236"/>
      <c r="G109" s="236"/>
      <c r="H109" s="237"/>
      <c r="I109" s="238"/>
      <c r="J109" s="239"/>
      <c r="K109" s="240"/>
      <c r="L109" s="241"/>
      <c r="M109" s="242"/>
      <c r="N109" s="167">
        <f>#REF!</f>
      </c>
      <c r="O109" s="167">
        <f>#REF!</f>
      </c>
      <c r="P109" s="260">
        <f>#REF!</f>
      </c>
      <c r="Q109" s="168">
        <f>P109*N109</f>
      </c>
      <c r="R109" s="425">
        <f>IFERROR(Q109/$Q$166,0)</f>
      </c>
      <c r="S109" s="371">
        <f ca="1">IF($AL$5&lt;=1,0,SUM(OFFSET('rincian '!#REF!,0,0,1,$AL$5-1)))</f>
      </c>
      <c r="T109" s="425">
        <f ca="1">IFERROR(S109/N109*R109,0)</f>
      </c>
      <c r="U109" s="372" cm="1">
        <f t="array" ref="U109">IFERROR(INDEX('rincian '!#REF!,$AL$5),0)</f>
      </c>
      <c r="V109" s="425">
        <f>IFERROR(U109/N109*R109,0)</f>
      </c>
      <c r="W109" s="244">
        <f ca="1">S109+U109</f>
      </c>
      <c r="X109" s="202">
        <f ca="1">T109+V109</f>
      </c>
      <c r="AL109" s="460"/>
      <c r="AM109" s="460"/>
      <c r="AN109" s="460"/>
      <c r="AO109" s="460"/>
      <c r="AP109" s="460"/>
      <c r="AQ109" s="460"/>
    </row>
    <row r="110" spans="2:43" s="105" customFormat="1" ht="27" customHeight="1">
      <c r="B110" s="401">
        <f>#REF!</f>
      </c>
      <c r="C110" s="373"/>
      <c r="D110" s="374">
        <f>IF(#REF!&lt;&gt;"",#REF!,IF(#REF!&lt;&gt;"",#REF!,""))</f>
      </c>
      <c r="E110" s="375"/>
      <c r="F110" s="376"/>
      <c r="G110" s="376"/>
      <c r="H110" s="377"/>
      <c r="I110" s="378"/>
      <c r="J110" s="379"/>
      <c r="K110" s="380"/>
      <c r="L110" s="381"/>
      <c r="M110" s="382"/>
      <c r="N110" s="167"/>
      <c r="O110" s="167"/>
      <c r="P110" s="260"/>
      <c r="Q110" s="168"/>
      <c r="R110" s="425"/>
      <c r="S110" s="371"/>
      <c r="T110" s="425"/>
      <c r="U110" s="372"/>
      <c r="V110" s="425"/>
      <c r="W110" s="244"/>
      <c r="X110" s="202"/>
      <c r="AL110" s="460"/>
      <c r="AM110" s="460"/>
      <c r="AN110" s="460"/>
      <c r="AO110" s="460"/>
      <c r="AP110" s="460"/>
      <c r="AQ110" s="460"/>
    </row>
    <row r="111" spans="2:43" s="105" customFormat="1" ht="27" customHeight="1">
      <c r="B111" s="370">
        <f>#REF!</f>
      </c>
      <c r="C111" s="232"/>
      <c r="D111" s="164">
        <f>IF(#REF!&lt;&gt;"",#REF!,IF(#REF!&lt;&gt;"",#REF!,""))</f>
      </c>
      <c r="E111" s="235"/>
      <c r="F111" s="236"/>
      <c r="G111" s="236"/>
      <c r="H111" s="237"/>
      <c r="I111" s="238"/>
      <c r="J111" s="239"/>
      <c r="K111" s="240"/>
      <c r="L111" s="241"/>
      <c r="M111" s="242"/>
      <c r="N111" s="167">
        <f>#REF!</f>
      </c>
      <c r="O111" s="167">
        <f>#REF!</f>
      </c>
      <c r="P111" s="260">
        <f>#REF!</f>
      </c>
      <c r="Q111" s="168">
        <f>P111*N111</f>
      </c>
      <c r="R111" s="425">
        <f>IFERROR(Q111/$Q$166,0)</f>
      </c>
      <c r="S111" s="371">
        <f ca="1">IF($AL$5&lt;=1,0,SUM(OFFSET('rincian '!#REF!,0,0,1,$AL$5-1)))</f>
      </c>
      <c r="T111" s="425">
        <f ca="1">IFERROR(S111/N111*R111,0)</f>
      </c>
      <c r="U111" s="372" cm="1">
        <f t="array" ref="U111">IFERROR(INDEX('rincian '!#REF!,$AL$5),0)</f>
      </c>
      <c r="V111" s="425">
        <f>IFERROR(U111/N111*R111,0)</f>
      </c>
      <c r="W111" s="244">
        <f t="shared" ref="W111:X114" ca="1" si="25">S111+U111</f>
      </c>
      <c r="X111" s="202">
        <f t="shared" ca="1" si="25"/>
      </c>
      <c r="AL111" s="460"/>
      <c r="AM111" s="460"/>
      <c r="AN111" s="460"/>
      <c r="AO111" s="460"/>
      <c r="AP111" s="460"/>
      <c r="AQ111" s="460"/>
    </row>
    <row r="112" spans="2:43" s="105" customFormat="1" ht="27" customHeight="1">
      <c r="B112" s="370">
        <f>#REF!</f>
      </c>
      <c r="C112" s="232"/>
      <c r="D112" s="164">
        <f>IF(#REF!&lt;&gt;"",#REF!,IF(#REF!&lt;&gt;"",#REF!,""))</f>
      </c>
      <c r="E112" s="235"/>
      <c r="F112" s="236"/>
      <c r="G112" s="236"/>
      <c r="H112" s="237"/>
      <c r="I112" s="238"/>
      <c r="J112" s="239"/>
      <c r="K112" s="240"/>
      <c r="L112" s="241"/>
      <c r="M112" s="242"/>
      <c r="N112" s="167">
        <f>#REF!</f>
      </c>
      <c r="O112" s="167">
        <f>#REF!</f>
      </c>
      <c r="P112" s="260">
        <f>#REF!</f>
      </c>
      <c r="Q112" s="168">
        <f>P112*N112</f>
      </c>
      <c r="R112" s="425">
        <f>IFERROR(Q112/$Q$166,0)</f>
      </c>
      <c r="S112" s="371">
        <f ca="1">IF($AL$5&lt;=1,0,SUM(OFFSET('rincian '!#REF!,0,0,1,$AL$5-1)))</f>
      </c>
      <c r="T112" s="425">
        <f ca="1">IFERROR(S112/N112*R112,0)</f>
      </c>
      <c r="U112" s="372" cm="1">
        <f t="array" ref="U112">IFERROR(INDEX('rincian '!#REF!,$AL$5),0)</f>
      </c>
      <c r="V112" s="425">
        <f>IFERROR(U112/N112*R112,0)</f>
      </c>
      <c r="W112" s="244">
        <f t="shared" ca="1" si="25"/>
      </c>
      <c r="X112" s="202">
        <f t="shared" ca="1" si="25"/>
      </c>
      <c r="AL112" s="460"/>
      <c r="AM112" s="460"/>
      <c r="AN112" s="460"/>
      <c r="AO112" s="460"/>
      <c r="AP112" s="460"/>
      <c r="AQ112" s="460"/>
    </row>
    <row r="113" spans="2:43" s="105" customFormat="1" ht="27" customHeight="1">
      <c r="B113" s="370">
        <f>#REF!</f>
      </c>
      <c r="C113" s="232"/>
      <c r="D113" s="164">
        <f>IF(#REF!&lt;&gt;"",#REF!,IF(#REF!&lt;&gt;"",#REF!,""))</f>
      </c>
      <c r="E113" s="235"/>
      <c r="F113" s="236"/>
      <c r="G113" s="236"/>
      <c r="H113" s="237"/>
      <c r="I113" s="238"/>
      <c r="J113" s="239"/>
      <c r="K113" s="240"/>
      <c r="L113" s="241"/>
      <c r="M113" s="242"/>
      <c r="N113" s="167">
        <f>#REF!</f>
      </c>
      <c r="O113" s="167">
        <f>#REF!</f>
      </c>
      <c r="P113" s="260">
        <f>#REF!</f>
      </c>
      <c r="Q113" s="168">
        <f>P113*N113</f>
      </c>
      <c r="R113" s="425">
        <f>IFERROR(Q113/$Q$166,0)</f>
      </c>
      <c r="S113" s="371">
        <f ca="1">IF($AL$5&lt;=1,0,SUM(OFFSET('rincian '!#REF!,0,0,1,$AL$5-1)))</f>
      </c>
      <c r="T113" s="425">
        <f ca="1">IFERROR(S113/N113*R113,0)</f>
      </c>
      <c r="U113" s="372" cm="1">
        <f t="array" ref="U113">IFERROR(INDEX('rincian '!#REF!,$AL$5),0)</f>
      </c>
      <c r="V113" s="425">
        <f>IFERROR(U113/N113*R113,0)</f>
      </c>
      <c r="W113" s="244">
        <f t="shared" ca="1" si="25"/>
      </c>
      <c r="X113" s="202">
        <f t="shared" ca="1" si="25"/>
      </c>
      <c r="AL113" s="460"/>
      <c r="AM113" s="460"/>
      <c r="AN113" s="460"/>
      <c r="AO113" s="460"/>
      <c r="AP113" s="460"/>
      <c r="AQ113" s="460"/>
    </row>
    <row r="114" spans="2:43" s="105" customFormat="1" ht="27" customHeight="1">
      <c r="B114" s="370">
        <f>#REF!</f>
      </c>
      <c r="C114" s="232"/>
      <c r="D114" s="164">
        <f>IF(#REF!&lt;&gt;"",#REF!,IF(#REF!&lt;&gt;"",#REF!,""))</f>
      </c>
      <c r="E114" s="235"/>
      <c r="F114" s="236"/>
      <c r="G114" s="236"/>
      <c r="H114" s="237"/>
      <c r="I114" s="238"/>
      <c r="J114" s="239"/>
      <c r="K114" s="240"/>
      <c r="L114" s="241"/>
      <c r="M114" s="242"/>
      <c r="N114" s="167">
        <f>#REF!</f>
      </c>
      <c r="O114" s="167">
        <f>#REF!</f>
      </c>
      <c r="P114" s="260">
        <f>#REF!</f>
      </c>
      <c r="Q114" s="168">
        <f>P114*N114</f>
      </c>
      <c r="R114" s="425">
        <f>IFERROR(Q114/$Q$166,0)</f>
      </c>
      <c r="S114" s="371">
        <f ca="1">IF($AL$5&lt;=1,0,SUM(OFFSET('rincian '!#REF!,0,0,1,$AL$5-1)))</f>
      </c>
      <c r="T114" s="425">
        <f ca="1">IFERROR(S114/N114*R114,0)</f>
      </c>
      <c r="U114" s="372" cm="1">
        <f t="array" ref="U114">IFERROR(INDEX('rincian '!#REF!,$AL$5),0)</f>
      </c>
      <c r="V114" s="425">
        <f>IFERROR(U114/N114*R114,0)</f>
      </c>
      <c r="W114" s="244">
        <f t="shared" ca="1" si="25"/>
      </c>
      <c r="X114" s="202">
        <f t="shared" ca="1" si="25"/>
      </c>
      <c r="AL114" s="460"/>
      <c r="AM114" s="460"/>
      <c r="AN114" s="460"/>
      <c r="AO114" s="460"/>
      <c r="AP114" s="460"/>
      <c r="AQ114" s="460"/>
    </row>
    <row r="115" spans="2:43" s="105" customFormat="1" ht="27" customHeight="1">
      <c r="B115" s="401">
        <f>#REF!</f>
      </c>
      <c r="C115" s="373"/>
      <c r="D115" s="374">
        <f>IF(#REF!&lt;&gt;"",#REF!,IF(#REF!&lt;&gt;"",#REF!,""))</f>
      </c>
      <c r="E115" s="375"/>
      <c r="F115" s="376"/>
      <c r="G115" s="376"/>
      <c r="H115" s="377"/>
      <c r="I115" s="378"/>
      <c r="J115" s="379"/>
      <c r="K115" s="380"/>
      <c r="L115" s="381"/>
      <c r="M115" s="382"/>
      <c r="N115" s="167"/>
      <c r="O115" s="167"/>
      <c r="P115" s="260"/>
      <c r="Q115" s="168"/>
      <c r="R115" s="425"/>
      <c r="S115" s="371"/>
      <c r="T115" s="425"/>
      <c r="U115" s="372"/>
      <c r="V115" s="425"/>
      <c r="W115" s="244"/>
      <c r="X115" s="202"/>
      <c r="AL115" s="460"/>
      <c r="AM115" s="460"/>
      <c r="AN115" s="460"/>
      <c r="AO115" s="460"/>
      <c r="AP115" s="460"/>
      <c r="AQ115" s="460"/>
    </row>
    <row r="116" spans="2:43" s="105" customFormat="1" ht="27" customHeight="1">
      <c r="B116" s="370">
        <f>#REF!</f>
      </c>
      <c r="C116" s="232"/>
      <c r="D116" s="164">
        <f>IF(#REF!&lt;&gt;"",#REF!,IF(#REF!&lt;&gt;"",#REF!,""))</f>
      </c>
      <c r="E116" s="235"/>
      <c r="F116" s="236"/>
      <c r="G116" s="236"/>
      <c r="H116" s="237"/>
      <c r="I116" s="238"/>
      <c r="J116" s="239"/>
      <c r="K116" s="240"/>
      <c r="L116" s="241"/>
      <c r="M116" s="242"/>
      <c r="N116" s="167">
        <f>#REF!</f>
      </c>
      <c r="O116" s="167">
        <f>#REF!</f>
      </c>
      <c r="P116" s="260">
        <f>#REF!</f>
      </c>
      <c r="Q116" s="168">
        <f>P116*N116</f>
      </c>
      <c r="R116" s="425">
        <f>IFERROR(Q116/$Q$166,0)</f>
      </c>
      <c r="S116" s="371">
        <f ca="1">IF($AL$5&lt;=1,0,SUM(OFFSET('rincian '!#REF!,0,0,1,$AL$5-1)))</f>
      </c>
      <c r="T116" s="425">
        <f ca="1">IFERROR(S116/N116*R116,0)</f>
      </c>
      <c r="U116" s="372" cm="1">
        <f t="array" ref="U116">IFERROR(INDEX('rincian '!#REF!,$AL$5),0)</f>
      </c>
      <c r="V116" s="425">
        <f>IFERROR(U116/N116*R116,0)</f>
      </c>
      <c r="W116" s="244">
        <f ca="1">S116+U116</f>
      </c>
      <c r="X116" s="202">
        <f ca="1">T116+V116</f>
      </c>
      <c r="AL116" s="460"/>
      <c r="AM116" s="460"/>
      <c r="AN116" s="460"/>
      <c r="AO116" s="460"/>
      <c r="AP116" s="460"/>
      <c r="AQ116" s="460"/>
    </row>
    <row r="117" spans="2:43" s="105" customFormat="1" ht="27" customHeight="1">
      <c r="B117" s="370">
        <f>#REF!</f>
      </c>
      <c r="C117" s="232"/>
      <c r="D117" s="164">
        <f>IF(#REF!&lt;&gt;"",#REF!,IF(#REF!&lt;&gt;"",#REF!,""))</f>
      </c>
      <c r="E117" s="235"/>
      <c r="F117" s="236"/>
      <c r="G117" s="236"/>
      <c r="H117" s="237"/>
      <c r="I117" s="238"/>
      <c r="J117" s="239"/>
      <c r="K117" s="240"/>
      <c r="L117" s="241"/>
      <c r="M117" s="242"/>
      <c r="N117" s="167">
        <f>#REF!</f>
      </c>
      <c r="O117" s="167">
        <f>#REF!</f>
      </c>
      <c r="P117" s="260">
        <f>#REF!</f>
      </c>
      <c r="Q117" s="168">
        <f>P117*N117</f>
      </c>
      <c r="R117" s="425">
        <f>IFERROR(Q117/$Q$166,0)</f>
      </c>
      <c r="S117" s="371">
        <f ca="1">IF($AL$5&lt;=1,0,SUM(OFFSET('rincian '!#REF!,0,0,1,$AL$5-1)))</f>
      </c>
      <c r="T117" s="425">
        <f ca="1">IFERROR(S117/N117*R117,0)</f>
      </c>
      <c r="U117" s="372" cm="1">
        <f t="array" ref="U117">IFERROR(INDEX('rincian '!#REF!,$AL$5),0)</f>
      </c>
      <c r="V117" s="425">
        <f>IFERROR(U117/N117*R117,0)</f>
      </c>
      <c r="W117" s="244">
        <f ca="1">S117+U117</f>
      </c>
      <c r="X117" s="202">
        <f ca="1">T117+V117</f>
      </c>
      <c r="AL117" s="460"/>
      <c r="AM117" s="460"/>
      <c r="AN117" s="460"/>
      <c r="AO117" s="460"/>
      <c r="AP117" s="460"/>
      <c r="AQ117" s="460"/>
    </row>
    <row r="118" spans="2:43" s="105" customFormat="1" ht="27" customHeight="1">
      <c r="B118" s="401">
        <f>#REF!</f>
      </c>
      <c r="C118" s="373"/>
      <c r="D118" s="374">
        <f>IF(#REF!&lt;&gt;"",#REF!,IF(#REF!&lt;&gt;"",#REF!,""))</f>
      </c>
      <c r="E118" s="375"/>
      <c r="F118" s="376"/>
      <c r="G118" s="376"/>
      <c r="H118" s="377"/>
      <c r="I118" s="378"/>
      <c r="J118" s="379"/>
      <c r="K118" s="380"/>
      <c r="L118" s="381"/>
      <c r="M118" s="382"/>
      <c r="N118" s="167"/>
      <c r="O118" s="167"/>
      <c r="P118" s="260"/>
      <c r="Q118" s="168"/>
      <c r="R118" s="425"/>
      <c r="S118" s="371"/>
      <c r="T118" s="425"/>
      <c r="U118" s="372"/>
      <c r="V118" s="425"/>
      <c r="W118" s="244"/>
      <c r="X118" s="202"/>
      <c r="AL118" s="460"/>
      <c r="AM118" s="460"/>
      <c r="AN118" s="460"/>
      <c r="AO118" s="460"/>
      <c r="AP118" s="460"/>
      <c r="AQ118" s="460"/>
    </row>
    <row r="119" spans="2:43" s="105" customFormat="1" ht="27" customHeight="1">
      <c r="B119" s="370">
        <f>#REF!</f>
      </c>
      <c r="C119" s="232"/>
      <c r="D119" s="164">
        <f>IF(#REF!&lt;&gt;"",#REF!,IF(#REF!&lt;&gt;"",#REF!,""))</f>
      </c>
      <c r="E119" s="235"/>
      <c r="F119" s="236"/>
      <c r="G119" s="236"/>
      <c r="H119" s="237"/>
      <c r="I119" s="238"/>
      <c r="J119" s="239"/>
      <c r="K119" s="240"/>
      <c r="L119" s="241"/>
      <c r="M119" s="242"/>
      <c r="N119" s="167">
        <f>#REF!</f>
      </c>
      <c r="O119" s="167">
        <f>#REF!</f>
      </c>
      <c r="P119" s="260">
        <f>#REF!</f>
      </c>
      <c r="Q119" s="168">
        <f>P119*N119</f>
      </c>
      <c r="R119" s="425">
        <f>IFERROR(Q119/$Q$166,0)</f>
      </c>
      <c r="S119" s="371">
        <f ca="1">IF($AL$5&lt;=1,0,SUM(OFFSET('rincian '!#REF!,0,0,1,$AL$5-1)))</f>
      </c>
      <c r="T119" s="425">
        <f ca="1">IFERROR(S119/N119*R119,0)</f>
      </c>
      <c r="U119" s="372" cm="1">
        <f t="array" ref="U119">IFERROR(INDEX('rincian '!#REF!,$AL$5),0)</f>
      </c>
      <c r="V119" s="425">
        <f>IFERROR(U119/N119*R119,0)</f>
      </c>
      <c r="W119" s="244">
        <f t="shared" ref="W119:X123" ca="1" si="26">S119+U119</f>
      </c>
      <c r="X119" s="202">
        <f t="shared" ca="1" si="26"/>
      </c>
      <c r="AL119" s="460"/>
      <c r="AM119" s="460"/>
      <c r="AN119" s="460"/>
      <c r="AO119" s="460"/>
      <c r="AP119" s="460"/>
      <c r="AQ119" s="460"/>
    </row>
    <row r="120" spans="2:43" s="105" customFormat="1" ht="27" customHeight="1">
      <c r="B120" s="370">
        <f>#REF!</f>
      </c>
      <c r="C120" s="232"/>
      <c r="D120" s="164">
        <f>IF(#REF!&lt;&gt;"",#REF!,IF(#REF!&lt;&gt;"",#REF!,""))</f>
      </c>
      <c r="E120" s="235"/>
      <c r="F120" s="236"/>
      <c r="G120" s="236"/>
      <c r="H120" s="237"/>
      <c r="I120" s="238"/>
      <c r="J120" s="239"/>
      <c r="K120" s="240"/>
      <c r="L120" s="241"/>
      <c r="M120" s="242"/>
      <c r="N120" s="167">
        <f>#REF!</f>
      </c>
      <c r="O120" s="167">
        <f>#REF!</f>
      </c>
      <c r="P120" s="260">
        <f>#REF!</f>
      </c>
      <c r="Q120" s="168">
        <f>P120*N120</f>
      </c>
      <c r="R120" s="425">
        <f>IFERROR(Q120/$Q$166,0)</f>
      </c>
      <c r="S120" s="371">
        <f ca="1">IF($AL$5&lt;=1,0,SUM(OFFSET('rincian '!#REF!,0,0,1,$AL$5-1)))</f>
      </c>
      <c r="T120" s="425">
        <f ca="1">IFERROR(S120/N120*R120,0)</f>
      </c>
      <c r="U120" s="372" cm="1">
        <f t="array" ref="U120">IFERROR(INDEX('rincian '!#REF!,$AL$5),0)</f>
      </c>
      <c r="V120" s="425">
        <f>IFERROR(U120/N120*R120,0)</f>
      </c>
      <c r="W120" s="244">
        <f t="shared" ca="1" si="26"/>
      </c>
      <c r="X120" s="202">
        <f t="shared" ca="1" si="26"/>
      </c>
      <c r="AL120" s="460"/>
      <c r="AM120" s="460"/>
      <c r="AN120" s="460"/>
      <c r="AO120" s="460"/>
      <c r="AP120" s="460"/>
      <c r="AQ120" s="460"/>
    </row>
    <row r="121" spans="2:43" s="105" customFormat="1" ht="27" customHeight="1">
      <c r="B121" s="370">
        <f>#REF!</f>
      </c>
      <c r="C121" s="232"/>
      <c r="D121" s="164">
        <f>IF(#REF!&lt;&gt;"",#REF!,IF(#REF!&lt;&gt;"",#REF!,""))</f>
      </c>
      <c r="E121" s="235"/>
      <c r="F121" s="236"/>
      <c r="G121" s="236"/>
      <c r="H121" s="237"/>
      <c r="I121" s="238"/>
      <c r="J121" s="239"/>
      <c r="K121" s="240"/>
      <c r="L121" s="241"/>
      <c r="M121" s="242"/>
      <c r="N121" s="167">
        <f>#REF!</f>
      </c>
      <c r="O121" s="167">
        <f>#REF!</f>
      </c>
      <c r="P121" s="260">
        <f>#REF!</f>
      </c>
      <c r="Q121" s="168">
        <f>P121*N121</f>
      </c>
      <c r="R121" s="425">
        <f>IFERROR(Q121/$Q$166,0)</f>
      </c>
      <c r="S121" s="371">
        <f ca="1">IF($AL$5&lt;=1,0,SUM(OFFSET('rincian '!#REF!,0,0,1,$AL$5-1)))</f>
      </c>
      <c r="T121" s="425">
        <f ca="1">IFERROR(S121/N121*R121,0)</f>
      </c>
      <c r="U121" s="372" cm="1">
        <f t="array" ref="U121">IFERROR(INDEX('rincian '!#REF!,$AL$5),0)</f>
      </c>
      <c r="V121" s="425">
        <f>IFERROR(U121/N121*R121,0)</f>
      </c>
      <c r="W121" s="244">
        <f t="shared" ca="1" si="26"/>
      </c>
      <c r="X121" s="202">
        <f t="shared" ca="1" si="26"/>
      </c>
      <c r="AL121" s="460"/>
      <c r="AM121" s="460"/>
      <c r="AN121" s="460"/>
      <c r="AO121" s="460"/>
      <c r="AP121" s="460"/>
      <c r="AQ121" s="460"/>
    </row>
    <row r="122" spans="2:43" s="105" customFormat="1" ht="27" customHeight="1">
      <c r="B122" s="370">
        <f>#REF!</f>
      </c>
      <c r="C122" s="232"/>
      <c r="D122" s="164">
        <f>IF(#REF!&lt;&gt;"",#REF!,IF(#REF!&lt;&gt;"",#REF!,""))</f>
      </c>
      <c r="E122" s="235"/>
      <c r="F122" s="236"/>
      <c r="G122" s="236"/>
      <c r="H122" s="237"/>
      <c r="I122" s="238"/>
      <c r="J122" s="239"/>
      <c r="K122" s="240"/>
      <c r="L122" s="241"/>
      <c r="M122" s="242"/>
      <c r="N122" s="167">
        <f>#REF!</f>
      </c>
      <c r="O122" s="167">
        <f>#REF!</f>
      </c>
      <c r="P122" s="260">
        <f>#REF!</f>
      </c>
      <c r="Q122" s="168">
        <f>P122*N122</f>
      </c>
      <c r="R122" s="425">
        <f>IFERROR(Q122/$Q$166,0)</f>
      </c>
      <c r="S122" s="371">
        <f ca="1">IF($AL$5&lt;=1,0,SUM(OFFSET('rincian '!#REF!,0,0,1,$AL$5-1)))</f>
      </c>
      <c r="T122" s="425">
        <f ca="1">IFERROR(S122/N122*R122,0)</f>
      </c>
      <c r="U122" s="372" cm="1">
        <f t="array" ref="U122">IFERROR(INDEX('rincian '!#REF!,$AL$5),0)</f>
      </c>
      <c r="V122" s="425">
        <f>IFERROR(U122/N122*R122,0)</f>
      </c>
      <c r="W122" s="244">
        <f t="shared" ca="1" si="26"/>
      </c>
      <c r="X122" s="202">
        <f t="shared" ca="1" si="26"/>
      </c>
      <c r="AL122" s="460"/>
      <c r="AM122" s="460"/>
      <c r="AN122" s="460"/>
      <c r="AO122" s="460"/>
      <c r="AP122" s="460"/>
      <c r="AQ122" s="460"/>
    </row>
    <row r="123" spans="2:43" s="105" customFormat="1" ht="27" customHeight="1">
      <c r="B123" s="370">
        <f>#REF!</f>
      </c>
      <c r="C123" s="232"/>
      <c r="D123" s="164">
        <f>IF(#REF!&lt;&gt;"",#REF!,IF(#REF!&lt;&gt;"",#REF!,""))</f>
      </c>
      <c r="E123" s="235"/>
      <c r="F123" s="236"/>
      <c r="G123" s="236"/>
      <c r="H123" s="237"/>
      <c r="I123" s="238"/>
      <c r="J123" s="239"/>
      <c r="K123" s="240"/>
      <c r="L123" s="241"/>
      <c r="M123" s="242"/>
      <c r="N123" s="167">
        <f>#REF!</f>
      </c>
      <c r="O123" s="167">
        <f>#REF!</f>
      </c>
      <c r="P123" s="260">
        <f>#REF!</f>
      </c>
      <c r="Q123" s="168">
        <f>P123*N123</f>
      </c>
      <c r="R123" s="425">
        <f>IFERROR(Q123/$Q$166,0)</f>
      </c>
      <c r="S123" s="371">
        <f ca="1">IF($AL$5&lt;=1,0,SUM(OFFSET('rincian '!#REF!,0,0,1,$AL$5-1)))</f>
      </c>
      <c r="T123" s="425">
        <f ca="1">IFERROR(S123/N123*R123,0)</f>
      </c>
      <c r="U123" s="372" cm="1">
        <f t="array" ref="U123">IFERROR(INDEX('rincian '!#REF!,$AL$5),0)</f>
      </c>
      <c r="V123" s="425">
        <f>IFERROR(U123/N123*R123,0)</f>
      </c>
      <c r="W123" s="244">
        <f t="shared" ca="1" si="26"/>
      </c>
      <c r="X123" s="202">
        <f t="shared" ca="1" si="26"/>
      </c>
      <c r="AL123" s="460"/>
      <c r="AM123" s="460"/>
      <c r="AN123" s="460"/>
      <c r="AO123" s="460"/>
      <c r="AP123" s="460"/>
      <c r="AQ123" s="460"/>
    </row>
    <row r="124" spans="2:43" s="105" customFormat="1" ht="27" customHeight="1">
      <c r="B124" s="401">
        <f>#REF!</f>
      </c>
      <c r="C124" s="373"/>
      <c r="D124" s="374">
        <f>IF(#REF!&lt;&gt;"",#REF!,IF(#REF!&lt;&gt;"",#REF!,""))</f>
      </c>
      <c r="E124" s="375"/>
      <c r="F124" s="376"/>
      <c r="G124" s="376"/>
      <c r="H124" s="377"/>
      <c r="I124" s="378"/>
      <c r="J124" s="379"/>
      <c r="K124" s="380"/>
      <c r="L124" s="381"/>
      <c r="M124" s="382"/>
      <c r="N124" s="167"/>
      <c r="O124" s="167"/>
      <c r="P124" s="260"/>
      <c r="Q124" s="168"/>
      <c r="R124" s="425"/>
      <c r="S124" s="371"/>
      <c r="T124" s="425"/>
      <c r="U124" s="372"/>
      <c r="V124" s="425"/>
      <c r="W124" s="244"/>
      <c r="X124" s="202"/>
      <c r="AL124" s="460"/>
      <c r="AM124" s="460"/>
      <c r="AN124" s="460"/>
      <c r="AO124" s="460"/>
      <c r="AP124" s="460"/>
      <c r="AQ124" s="460"/>
    </row>
    <row r="125" spans="2:43" s="105" customFormat="1" ht="27" customHeight="1">
      <c r="B125" s="370">
        <f>#REF!</f>
      </c>
      <c r="C125" s="232"/>
      <c r="D125" s="164">
        <f>IF(#REF!&lt;&gt;"",#REF!,IF(#REF!&lt;&gt;"",#REF!,""))</f>
      </c>
      <c r="E125" s="235"/>
      <c r="F125" s="236"/>
      <c r="G125" s="236"/>
      <c r="H125" s="237"/>
      <c r="I125" s="238"/>
      <c r="J125" s="239"/>
      <c r="K125" s="240"/>
      <c r="L125" s="241"/>
      <c r="M125" s="242"/>
      <c r="N125" s="167">
        <f>#REF!</f>
      </c>
      <c r="O125" s="167">
        <f>#REF!</f>
      </c>
      <c r="P125" s="260">
        <f>#REF!</f>
      </c>
      <c r="Q125" s="168">
        <f>P125*N125</f>
      </c>
      <c r="R125" s="425">
        <f>IFERROR(Q125/$Q$166,0)</f>
      </c>
      <c r="S125" s="371">
        <f ca="1">IF($AL$5&lt;=1,0,SUM(OFFSET('rincian '!#REF!,0,0,1,$AL$5-1)))</f>
      </c>
      <c r="T125" s="425">
        <f ca="1">IFERROR(S125/N125*R125,0)</f>
      </c>
      <c r="U125" s="372" cm="1">
        <f t="array" ref="U125">IFERROR(INDEX('rincian '!#REF!,$AL$5),0)</f>
      </c>
      <c r="V125" s="425">
        <f>IFERROR(U125/N125*R125,0)</f>
      </c>
      <c r="W125" s="244">
        <f ca="1">S125+U125</f>
      </c>
      <c r="X125" s="202">
        <f ca="1">T125+V125</f>
      </c>
      <c r="AL125" s="460"/>
      <c r="AM125" s="460"/>
      <c r="AN125" s="460"/>
      <c r="AO125" s="460"/>
      <c r="AP125" s="460"/>
      <c r="AQ125" s="460"/>
    </row>
    <row r="126" spans="2:43" s="105" customFormat="1" ht="27" customHeight="1">
      <c r="B126" s="370">
        <f>#REF!</f>
      </c>
      <c r="C126" s="232"/>
      <c r="D126" s="164">
        <f>IF(#REF!&lt;&gt;"",#REF!,IF(#REF!&lt;&gt;"",#REF!,""))</f>
      </c>
      <c r="E126" s="235"/>
      <c r="F126" s="236"/>
      <c r="G126" s="236"/>
      <c r="H126" s="237"/>
      <c r="I126" s="238"/>
      <c r="J126" s="239"/>
      <c r="K126" s="240"/>
      <c r="L126" s="241"/>
      <c r="M126" s="242"/>
      <c r="N126" s="167">
        <f>#REF!</f>
      </c>
      <c r="O126" s="167">
        <f>#REF!</f>
      </c>
      <c r="P126" s="260">
        <f>#REF!</f>
      </c>
      <c r="Q126" s="168">
        <f>P126*N126</f>
      </c>
      <c r="R126" s="425">
        <f>IFERROR(Q126/$Q$166,0)</f>
      </c>
      <c r="S126" s="371">
        <f ca="1">IF($AL$5&lt;=1,0,SUM(OFFSET('rincian '!#REF!,0,0,1,$AL$5-1)))</f>
      </c>
      <c r="T126" s="425">
        <f ca="1">IFERROR(S126/N126*R126,0)</f>
      </c>
      <c r="U126" s="372" cm="1">
        <f t="array" ref="U126">IFERROR(INDEX('rincian '!#REF!,$AL$5),0)</f>
      </c>
      <c r="V126" s="425">
        <f>IFERROR(U126/N126*R126,0)</f>
      </c>
      <c r="W126" s="244">
        <f ca="1">S126+U126</f>
      </c>
      <c r="X126" s="202">
        <f ca="1">T126+V126</f>
      </c>
      <c r="AL126" s="460"/>
      <c r="AM126" s="460"/>
      <c r="AN126" s="460"/>
      <c r="AO126" s="460"/>
      <c r="AP126" s="460"/>
      <c r="AQ126" s="460"/>
    </row>
    <row r="127" spans="2:43" s="105" customFormat="1" ht="27" customHeight="1">
      <c r="B127" s="401">
        <f>#REF!</f>
      </c>
      <c r="C127" s="373"/>
      <c r="D127" s="374">
        <f>IF(#REF!&lt;&gt;"",#REF!,IF(#REF!&lt;&gt;"",#REF!,""))</f>
      </c>
      <c r="E127" s="375"/>
      <c r="F127" s="376"/>
      <c r="G127" s="376"/>
      <c r="H127" s="377"/>
      <c r="I127" s="378"/>
      <c r="J127" s="379"/>
      <c r="K127" s="380"/>
      <c r="L127" s="381"/>
      <c r="M127" s="382"/>
      <c r="N127" s="167"/>
      <c r="O127" s="167"/>
      <c r="P127" s="260"/>
      <c r="Q127" s="168"/>
      <c r="R127" s="425"/>
      <c r="S127" s="371"/>
      <c r="T127" s="425"/>
      <c r="U127" s="372"/>
      <c r="V127" s="425"/>
      <c r="W127" s="244"/>
      <c r="X127" s="202"/>
      <c r="AL127" s="460"/>
      <c r="AM127" s="460"/>
      <c r="AN127" s="460"/>
      <c r="AO127" s="460"/>
      <c r="AP127" s="460"/>
      <c r="AQ127" s="460"/>
    </row>
    <row r="128" spans="2:43" s="105" customFormat="1" ht="27" customHeight="1">
      <c r="B128" s="370">
        <f>#REF!</f>
      </c>
      <c r="C128" s="232"/>
      <c r="D128" s="164">
        <f>IF(#REF!&lt;&gt;"",#REF!,IF(#REF!&lt;&gt;"",#REF!,""))</f>
      </c>
      <c r="E128" s="235"/>
      <c r="F128" s="236"/>
      <c r="G128" s="236"/>
      <c r="H128" s="237"/>
      <c r="I128" s="238"/>
      <c r="J128" s="239"/>
      <c r="K128" s="240"/>
      <c r="L128" s="241"/>
      <c r="M128" s="242"/>
      <c r="N128" s="167">
        <f>#REF!</f>
      </c>
      <c r="O128" s="167">
        <f>#REF!</f>
      </c>
      <c r="P128" s="260">
        <f>#REF!</f>
      </c>
      <c r="Q128" s="168">
        <f>P128*N128</f>
      </c>
      <c r="R128" s="425">
        <f>IFERROR(Q128/$Q$166,0)</f>
      </c>
      <c r="S128" s="371">
        <f ca="1">IF($AL$5&lt;=1,0,SUM(OFFSET('rincian '!#REF!,0,0,1,$AL$5-1)))</f>
      </c>
      <c r="T128" s="425">
        <f ca="1">IFERROR(S128/N128*R128,0)</f>
      </c>
      <c r="U128" s="372" cm="1">
        <f t="array" ref="U128">IFERROR(INDEX('rincian '!#REF!,$AL$5),0)</f>
      </c>
      <c r="V128" s="425">
        <f>IFERROR(U128/N128*R128,0)</f>
      </c>
      <c r="W128" s="244">
        <f t="shared" ref="W128:X130" ca="1" si="27">S128+U128</f>
      </c>
      <c r="X128" s="202">
        <f t="shared" ca="1" si="27"/>
      </c>
      <c r="AL128" s="460"/>
      <c r="AM128" s="460"/>
      <c r="AN128" s="460"/>
      <c r="AO128" s="460"/>
      <c r="AP128" s="460"/>
      <c r="AQ128" s="460"/>
    </row>
    <row r="129" spans="2:43" s="105" customFormat="1" ht="27" customHeight="1">
      <c r="B129" s="370">
        <f>#REF!</f>
      </c>
      <c r="C129" s="232"/>
      <c r="D129" s="164">
        <f>IF(#REF!&lt;&gt;"",#REF!,IF(#REF!&lt;&gt;"",#REF!,""))</f>
      </c>
      <c r="E129" s="235"/>
      <c r="F129" s="236"/>
      <c r="G129" s="236"/>
      <c r="H129" s="237"/>
      <c r="I129" s="238"/>
      <c r="J129" s="239"/>
      <c r="K129" s="240"/>
      <c r="L129" s="241"/>
      <c r="M129" s="242"/>
      <c r="N129" s="167">
        <f>#REF!</f>
      </c>
      <c r="O129" s="167">
        <f>#REF!</f>
      </c>
      <c r="P129" s="260">
        <f>#REF!</f>
      </c>
      <c r="Q129" s="168">
        <f>P129*N129</f>
      </c>
      <c r="R129" s="425">
        <f>IFERROR(Q129/$Q$166,0)</f>
      </c>
      <c r="S129" s="371">
        <f ca="1">IF($AL$5&lt;=1,0,SUM(OFFSET('rincian '!#REF!,0,0,1,$AL$5-1)))</f>
      </c>
      <c r="T129" s="425">
        <f ca="1">IFERROR(S129/N129*R129,0)</f>
      </c>
      <c r="U129" s="372" cm="1">
        <f t="array" ref="U129">IFERROR(INDEX('rincian '!#REF!,$AL$5),0)</f>
      </c>
      <c r="V129" s="425">
        <f>IFERROR(U129/N129*R129,0)</f>
      </c>
      <c r="W129" s="244">
        <f t="shared" ca="1" si="27"/>
      </c>
      <c r="X129" s="202">
        <f t="shared" ca="1" si="27"/>
      </c>
      <c r="AL129" s="460"/>
      <c r="AM129" s="460"/>
      <c r="AN129" s="460"/>
      <c r="AO129" s="460"/>
      <c r="AP129" s="460"/>
      <c r="AQ129" s="460"/>
    </row>
    <row r="130" spans="2:43" s="105" customFormat="1" ht="27" customHeight="1">
      <c r="B130" s="370">
        <f>#REF!</f>
      </c>
      <c r="C130" s="232"/>
      <c r="D130" s="164">
        <f>IF(#REF!&lt;&gt;"",#REF!,IF(#REF!&lt;&gt;"",#REF!,""))</f>
      </c>
      <c r="E130" s="235"/>
      <c r="F130" s="236"/>
      <c r="G130" s="236"/>
      <c r="H130" s="237"/>
      <c r="I130" s="238"/>
      <c r="J130" s="239"/>
      <c r="K130" s="240"/>
      <c r="L130" s="241"/>
      <c r="M130" s="242"/>
      <c r="N130" s="167">
        <f>#REF!</f>
      </c>
      <c r="O130" s="167">
        <f>#REF!</f>
      </c>
      <c r="P130" s="260">
        <f>#REF!</f>
      </c>
      <c r="Q130" s="168">
        <f>P130*N130</f>
      </c>
      <c r="R130" s="425">
        <f>IFERROR(Q130/$Q$166,0)</f>
      </c>
      <c r="S130" s="371">
        <f ca="1">IF($AL$5&lt;=1,0,SUM(OFFSET('rincian '!#REF!,0,0,1,$AL$5-1)))</f>
      </c>
      <c r="T130" s="425">
        <f ca="1">IFERROR(S130/N130*R130,0)</f>
      </c>
      <c r="U130" s="372" cm="1">
        <f t="array" ref="U130">IFERROR(INDEX('rincian '!#REF!,$AL$5),0)</f>
      </c>
      <c r="V130" s="425">
        <f>IFERROR(U130/N130*R130,0)</f>
      </c>
      <c r="W130" s="244">
        <f t="shared" ca="1" si="27"/>
      </c>
      <c r="X130" s="202">
        <f t="shared" ca="1" si="27"/>
      </c>
      <c r="AL130" s="460"/>
      <c r="AM130" s="460"/>
      <c r="AN130" s="460"/>
      <c r="AO130" s="460"/>
      <c r="AP130" s="460"/>
      <c r="AQ130" s="460"/>
    </row>
    <row r="131" spans="2:43" s="105" customFormat="1" ht="27" customHeight="1">
      <c r="B131" s="401">
        <f>#REF!</f>
      </c>
      <c r="C131" s="373"/>
      <c r="D131" s="374">
        <f>IF(#REF!&lt;&gt;"",#REF!,IF(#REF!&lt;&gt;"",#REF!,""))</f>
      </c>
      <c r="E131" s="375"/>
      <c r="F131" s="376"/>
      <c r="G131" s="376"/>
      <c r="H131" s="377"/>
      <c r="I131" s="378"/>
      <c r="J131" s="379"/>
      <c r="K131" s="380"/>
      <c r="L131" s="381"/>
      <c r="M131" s="382"/>
      <c r="N131" s="167"/>
      <c r="O131" s="167"/>
      <c r="P131" s="260"/>
      <c r="Q131" s="168"/>
      <c r="R131" s="425"/>
      <c r="S131" s="371"/>
      <c r="T131" s="425"/>
      <c r="U131" s="372"/>
      <c r="V131" s="425"/>
      <c r="W131" s="244"/>
      <c r="X131" s="202"/>
      <c r="AL131" s="460"/>
      <c r="AM131" s="460"/>
      <c r="AN131" s="460"/>
      <c r="AO131" s="460"/>
      <c r="AP131" s="460"/>
      <c r="AQ131" s="460"/>
    </row>
    <row r="132" spans="2:43" s="105" customFormat="1" ht="27" customHeight="1">
      <c r="B132" s="370">
        <f>#REF!</f>
      </c>
      <c r="C132" s="232"/>
      <c r="D132" s="164">
        <f>IF(#REF!&lt;&gt;"",#REF!,IF(#REF!&lt;&gt;"",#REF!,""))</f>
      </c>
      <c r="E132" s="235"/>
      <c r="F132" s="236"/>
      <c r="G132" s="236"/>
      <c r="H132" s="237"/>
      <c r="I132" s="238"/>
      <c r="J132" s="239"/>
      <c r="K132" s="240"/>
      <c r="L132" s="241"/>
      <c r="M132" s="242"/>
      <c r="N132" s="167">
        <f>#REF!</f>
      </c>
      <c r="O132" s="167">
        <f>#REF!</f>
      </c>
      <c r="P132" s="260">
        <f>#REF!</f>
      </c>
      <c r="Q132" s="168">
        <f>P132*N132</f>
      </c>
      <c r="R132" s="425">
        <f>IFERROR(Q132/$Q$166,0)</f>
      </c>
      <c r="S132" s="371">
        <f ca="1">IF($AL$5&lt;=1,0,SUM(OFFSET('rincian '!#REF!,0,0,1,$AL$5-1)))</f>
      </c>
      <c r="T132" s="425">
        <f ca="1">IFERROR(S132/N132*R132,0)</f>
      </c>
      <c r="U132" s="372" cm="1">
        <f t="array" ref="U132">IFERROR(INDEX('rincian '!#REF!,$AL$5),0)</f>
      </c>
      <c r="V132" s="425">
        <f>IFERROR(U132/N132*R132,0)</f>
      </c>
      <c r="W132" s="244">
        <f ca="1">S132+U132</f>
      </c>
      <c r="X132" s="202">
        <f ca="1">T132+V132</f>
      </c>
      <c r="AL132" s="460"/>
      <c r="AM132" s="460"/>
      <c r="AN132" s="460"/>
      <c r="AO132" s="460"/>
      <c r="AP132" s="460"/>
      <c r="AQ132" s="460"/>
    </row>
    <row r="133" spans="2:43" s="105" customFormat="1" ht="27" customHeight="1">
      <c r="B133" s="370">
        <f>#REF!</f>
      </c>
      <c r="C133" s="232"/>
      <c r="D133" s="164">
        <f>IF(#REF!&lt;&gt;"",#REF!,IF(#REF!&lt;&gt;"",#REF!,""))</f>
      </c>
      <c r="E133" s="235"/>
      <c r="F133" s="236"/>
      <c r="G133" s="236"/>
      <c r="H133" s="237"/>
      <c r="I133" s="238"/>
      <c r="J133" s="239"/>
      <c r="K133" s="240"/>
      <c r="L133" s="241"/>
      <c r="M133" s="242"/>
      <c r="N133" s="167">
        <f>#REF!</f>
      </c>
      <c r="O133" s="167">
        <f>#REF!</f>
      </c>
      <c r="P133" s="260">
        <f>#REF!</f>
      </c>
      <c r="Q133" s="168">
        <f>P133*N133</f>
      </c>
      <c r="R133" s="425">
        <f>IFERROR(Q133/$Q$166,0)</f>
      </c>
      <c r="S133" s="371">
        <f ca="1">IF($AL$5&lt;=1,0,SUM(OFFSET('rincian '!#REF!,0,0,1,$AL$5-1)))</f>
      </c>
      <c r="T133" s="425">
        <f ca="1">IFERROR(S133/N133*R133,0)</f>
      </c>
      <c r="U133" s="372" cm="1">
        <f t="array" ref="U133">IFERROR(INDEX('rincian '!#REF!,$AL$5),0)</f>
      </c>
      <c r="V133" s="425">
        <f>IFERROR(U133/N133*R133,0)</f>
      </c>
      <c r="W133" s="244">
        <f ca="1">S133+U133</f>
      </c>
      <c r="X133" s="202">
        <f ca="1">T133+V133</f>
      </c>
      <c r="AL133" s="460"/>
      <c r="AM133" s="460"/>
      <c r="AN133" s="460"/>
      <c r="AO133" s="460"/>
      <c r="AP133" s="460"/>
      <c r="AQ133" s="460"/>
    </row>
    <row r="134" spans="2:43" s="105" customFormat="1" ht="27" customHeight="1">
      <c r="B134" s="401">
        <f>#REF!</f>
      </c>
      <c r="C134" s="373"/>
      <c r="D134" s="374">
        <f>IF(#REF!&lt;&gt;"",#REF!,IF(#REF!&lt;&gt;"",#REF!,""))</f>
      </c>
      <c r="E134" s="375"/>
      <c r="F134" s="376"/>
      <c r="G134" s="376"/>
      <c r="H134" s="377"/>
      <c r="I134" s="378"/>
      <c r="J134" s="379"/>
      <c r="K134" s="380"/>
      <c r="L134" s="381"/>
      <c r="M134" s="382"/>
      <c r="N134" s="167"/>
      <c r="O134" s="167"/>
      <c r="P134" s="260"/>
      <c r="Q134" s="168"/>
      <c r="R134" s="425"/>
      <c r="S134" s="371"/>
      <c r="T134" s="425"/>
      <c r="U134" s="372"/>
      <c r="V134" s="425"/>
      <c r="W134" s="244"/>
      <c r="X134" s="202"/>
      <c r="AL134" s="460"/>
      <c r="AM134" s="460"/>
      <c r="AN134" s="460"/>
      <c r="AO134" s="460"/>
      <c r="AP134" s="460"/>
      <c r="AQ134" s="460"/>
    </row>
    <row r="135" spans="2:43" s="105" customFormat="1" ht="27" customHeight="1">
      <c r="B135" s="370">
        <f>#REF!</f>
      </c>
      <c r="C135" s="232"/>
      <c r="D135" s="164">
        <f>IF(#REF!&lt;&gt;"",#REF!,IF(#REF!&lt;&gt;"",#REF!,""))</f>
      </c>
      <c r="E135" s="235"/>
      <c r="F135" s="236"/>
      <c r="G135" s="236"/>
      <c r="H135" s="237"/>
      <c r="I135" s="238"/>
      <c r="J135" s="239"/>
      <c r="K135" s="240"/>
      <c r="L135" s="241"/>
      <c r="M135" s="242"/>
      <c r="N135" s="167">
        <f>#REF!</f>
      </c>
      <c r="O135" s="167">
        <f>#REF!</f>
      </c>
      <c r="P135" s="260">
        <f>#REF!</f>
      </c>
      <c r="Q135" s="168">
        <f>P135*N135</f>
      </c>
      <c r="R135" s="425">
        <f>IFERROR(Q135/$Q$166,0)</f>
      </c>
      <c r="S135" s="371">
        <f ca="1">IF($AL$5&lt;=1,0,SUM(OFFSET('rincian '!#REF!,0,0,1,$AL$5-1)))</f>
      </c>
      <c r="T135" s="425">
        <f ca="1">IFERROR(S135/N135*R135,0)</f>
      </c>
      <c r="U135" s="372" cm="1">
        <f t="array" ref="U135">IFERROR(INDEX('rincian '!#REF!,$AL$5),0)</f>
      </c>
      <c r="V135" s="425">
        <f>IFERROR(U135/N135*R135,0)</f>
      </c>
      <c r="W135" s="244">
        <f t="shared" ref="W135:X137" ca="1" si="28">S135+U135</f>
      </c>
      <c r="X135" s="202">
        <f t="shared" ca="1" si="28"/>
      </c>
      <c r="AL135" s="460"/>
      <c r="AM135" s="460"/>
      <c r="AN135" s="460"/>
      <c r="AO135" s="460"/>
      <c r="AP135" s="460"/>
      <c r="AQ135" s="460"/>
    </row>
    <row r="136" spans="2:43" s="105" customFormat="1" ht="27" customHeight="1">
      <c r="B136" s="370">
        <f>#REF!</f>
      </c>
      <c r="C136" s="232"/>
      <c r="D136" s="164">
        <f>IF(#REF!&lt;&gt;"",#REF!,IF(#REF!&lt;&gt;"",#REF!,""))</f>
      </c>
      <c r="E136" s="235"/>
      <c r="F136" s="236"/>
      <c r="G136" s="236"/>
      <c r="H136" s="237"/>
      <c r="I136" s="238"/>
      <c r="J136" s="239"/>
      <c r="K136" s="240"/>
      <c r="L136" s="241"/>
      <c r="M136" s="242"/>
      <c r="N136" s="167">
        <f>#REF!</f>
      </c>
      <c r="O136" s="167">
        <f>#REF!</f>
      </c>
      <c r="P136" s="260">
        <f>#REF!</f>
      </c>
      <c r="Q136" s="168">
        <f>P136*N136</f>
      </c>
      <c r="R136" s="425">
        <f>IFERROR(Q136/$Q$166,0)</f>
      </c>
      <c r="S136" s="371">
        <f ca="1">IF($AL$5&lt;=1,0,SUM(OFFSET('rincian '!#REF!,0,0,1,$AL$5-1)))</f>
      </c>
      <c r="T136" s="425">
        <f ca="1">IFERROR(S136/N136*R136,0)</f>
      </c>
      <c r="U136" s="372" cm="1">
        <f t="array" ref="U136">IFERROR(INDEX('rincian '!#REF!,$AL$5),0)</f>
      </c>
      <c r="V136" s="425">
        <f>IFERROR(U136/N136*R136,0)</f>
      </c>
      <c r="W136" s="244">
        <f t="shared" ca="1" si="28"/>
      </c>
      <c r="X136" s="202">
        <f t="shared" ca="1" si="28"/>
      </c>
      <c r="AL136" s="460"/>
      <c r="AM136" s="460"/>
      <c r="AN136" s="460"/>
      <c r="AO136" s="460"/>
      <c r="AP136" s="460"/>
      <c r="AQ136" s="460"/>
    </row>
    <row r="137" spans="2:43" s="105" customFormat="1" ht="27" customHeight="1">
      <c r="B137" s="370">
        <f>#REF!</f>
      </c>
      <c r="C137" s="232"/>
      <c r="D137" s="164">
        <f>IF(#REF!&lt;&gt;"",#REF!,IF(#REF!&lt;&gt;"",#REF!,""))</f>
      </c>
      <c r="E137" s="235"/>
      <c r="F137" s="236"/>
      <c r="G137" s="236"/>
      <c r="H137" s="237"/>
      <c r="I137" s="238"/>
      <c r="J137" s="239"/>
      <c r="K137" s="240"/>
      <c r="L137" s="241"/>
      <c r="M137" s="242"/>
      <c r="N137" s="167">
        <f>#REF!</f>
      </c>
      <c r="O137" s="167">
        <f>#REF!</f>
      </c>
      <c r="P137" s="260">
        <f>#REF!</f>
      </c>
      <c r="Q137" s="168">
        <f>P137*N137</f>
      </c>
      <c r="R137" s="425">
        <f>IFERROR(Q137/$Q$166,0)</f>
      </c>
      <c r="S137" s="371">
        <f ca="1">IF($AL$5&lt;=1,0,SUM(OFFSET('rincian '!#REF!,0,0,1,$AL$5-1)))</f>
      </c>
      <c r="T137" s="425">
        <f ca="1">IFERROR(S137/N137*R137,0)</f>
      </c>
      <c r="U137" s="372" cm="1">
        <f t="array" ref="U137">IFERROR(INDEX('rincian '!#REF!,$AL$5),0)</f>
      </c>
      <c r="V137" s="425">
        <f>IFERROR(U137/N137*R137,0)</f>
      </c>
      <c r="W137" s="244">
        <f t="shared" ca="1" si="28"/>
      </c>
      <c r="X137" s="202">
        <f t="shared" ca="1" si="28"/>
      </c>
      <c r="AL137" s="460"/>
      <c r="AM137" s="460"/>
      <c r="AN137" s="460"/>
      <c r="AO137" s="460"/>
      <c r="AP137" s="460"/>
      <c r="AQ137" s="460"/>
    </row>
    <row r="138" spans="2:43" s="105" customFormat="1" ht="27" customHeight="1">
      <c r="B138" s="402">
        <f>#REF!</f>
      </c>
      <c r="C138" s="384"/>
      <c r="D138" s="385">
        <f>IF(#REF!&lt;&gt;"",#REF!,IF(#REF!&lt;&gt;"",#REF!,""))</f>
      </c>
      <c r="E138" s="386"/>
      <c r="F138" s="387"/>
      <c r="G138" s="387"/>
      <c r="H138" s="388"/>
      <c r="I138" s="389"/>
      <c r="J138" s="390"/>
      <c r="K138" s="391"/>
      <c r="L138" s="392"/>
      <c r="M138" s="393"/>
      <c r="N138" s="394"/>
      <c r="O138" s="394"/>
      <c r="P138" s="395"/>
      <c r="Q138" s="396"/>
      <c r="R138" s="426"/>
      <c r="S138" s="403"/>
      <c r="T138" s="426"/>
      <c r="U138" s="403"/>
      <c r="V138" s="426"/>
      <c r="W138" s="399"/>
      <c r="X138" s="400"/>
      <c r="AL138" s="460"/>
      <c r="AM138" s="460"/>
      <c r="AN138" s="460"/>
      <c r="AO138" s="460"/>
      <c r="AP138" s="460"/>
      <c r="AQ138" s="460"/>
    </row>
    <row r="139" spans="2:43" s="105" customFormat="1" ht="27" customHeight="1">
      <c r="B139" s="401">
        <f>#REF!</f>
      </c>
      <c r="C139" s="373"/>
      <c r="D139" s="374">
        <f>IF(#REF!&lt;&gt;"",#REF!,IF(#REF!&lt;&gt;"",#REF!,""))</f>
      </c>
      <c r="E139" s="375"/>
      <c r="F139" s="376"/>
      <c r="G139" s="376"/>
      <c r="H139" s="377"/>
      <c r="I139" s="378"/>
      <c r="J139" s="379"/>
      <c r="K139" s="380"/>
      <c r="L139" s="381"/>
      <c r="M139" s="382"/>
      <c r="N139" s="167"/>
      <c r="O139" s="167"/>
      <c r="P139" s="260"/>
      <c r="Q139" s="168"/>
      <c r="R139" s="425"/>
      <c r="S139" s="371"/>
      <c r="T139" s="425"/>
      <c r="U139" s="372"/>
      <c r="V139" s="425"/>
      <c r="W139" s="244"/>
      <c r="X139" s="202"/>
      <c r="AL139" s="460"/>
      <c r="AM139" s="460"/>
      <c r="AN139" s="460"/>
      <c r="AO139" s="460"/>
      <c r="AP139" s="460"/>
      <c r="AQ139" s="460"/>
    </row>
    <row r="140" spans="2:43" s="105" customFormat="1" ht="27" customHeight="1">
      <c r="B140" s="370">
        <f>#REF!</f>
      </c>
      <c r="C140" s="232"/>
      <c r="D140" s="164">
        <f>IF(#REF!&lt;&gt;"",#REF!,IF(#REF!&lt;&gt;"",#REF!,""))</f>
      </c>
      <c r="E140" s="235"/>
      <c r="F140" s="236"/>
      <c r="G140" s="236"/>
      <c r="H140" s="237"/>
      <c r="I140" s="238"/>
      <c r="J140" s="239"/>
      <c r="K140" s="240"/>
      <c r="L140" s="241"/>
      <c r="M140" s="242"/>
      <c r="N140" s="167">
        <f>#REF!</f>
      </c>
      <c r="O140" s="167">
        <f>#REF!</f>
      </c>
      <c r="P140" s="260">
        <f>#REF!</f>
      </c>
      <c r="Q140" s="168">
        <f>P140*N140</f>
      </c>
      <c r="R140" s="425">
        <f>IFERROR(Q140/$Q$166,0)</f>
      </c>
      <c r="S140" s="371">
        <f ca="1">IF($AL$5&lt;=1,0,SUM(OFFSET('rincian '!#REF!,0,0,1,$AL$5-1)))</f>
      </c>
      <c r="T140" s="425">
        <f ca="1">IFERROR(S140/N140*R140,0)</f>
      </c>
      <c r="U140" s="372" cm="1">
        <f t="array" ref="U140">IFERROR(INDEX('rincian '!#REF!,$AL$5),0)</f>
      </c>
      <c r="V140" s="425">
        <f>IFERROR(U140/N140*R140,0)</f>
      </c>
      <c r="W140" s="244">
        <f t="shared" ref="W140:X143" ca="1" si="29">S140+U140</f>
      </c>
      <c r="X140" s="202">
        <f t="shared" ca="1" si="29"/>
      </c>
      <c r="AL140" s="460"/>
      <c r="AM140" s="460"/>
      <c r="AN140" s="460"/>
      <c r="AO140" s="460"/>
      <c r="AP140" s="460"/>
      <c r="AQ140" s="460"/>
    </row>
    <row r="141" spans="2:43" s="105" customFormat="1" ht="27" customHeight="1">
      <c r="B141" s="370">
        <f>#REF!</f>
      </c>
      <c r="C141" s="232"/>
      <c r="D141" s="164">
        <f>IF(#REF!&lt;&gt;"",#REF!,IF(#REF!&lt;&gt;"",#REF!,""))</f>
      </c>
      <c r="E141" s="235"/>
      <c r="F141" s="236"/>
      <c r="G141" s="236"/>
      <c r="H141" s="237"/>
      <c r="I141" s="238"/>
      <c r="J141" s="239"/>
      <c r="K141" s="240"/>
      <c r="L141" s="241"/>
      <c r="M141" s="242"/>
      <c r="N141" s="167">
        <f>#REF!</f>
      </c>
      <c r="O141" s="167">
        <f>#REF!</f>
      </c>
      <c r="P141" s="260">
        <f>#REF!</f>
      </c>
      <c r="Q141" s="168">
        <f>P141*N141</f>
      </c>
      <c r="R141" s="425">
        <f>IFERROR(Q141/$Q$166,0)</f>
      </c>
      <c r="S141" s="371">
        <f ca="1">IF($AL$5&lt;=1,0,SUM(OFFSET('rincian '!#REF!,0,0,1,$AL$5-1)))</f>
      </c>
      <c r="T141" s="425">
        <f ca="1">IFERROR(S141/N141*R141,0)</f>
      </c>
      <c r="U141" s="372" cm="1">
        <f t="array" ref="U141">IFERROR(INDEX('rincian '!#REF!,$AL$5),0)</f>
      </c>
      <c r="V141" s="425">
        <f>IFERROR(U141/N141*R141,0)</f>
      </c>
      <c r="W141" s="244">
        <f t="shared" ca="1" si="29"/>
      </c>
      <c r="X141" s="202">
        <f t="shared" ca="1" si="29"/>
      </c>
      <c r="AL141" s="460"/>
      <c r="AM141" s="460"/>
      <c r="AN141" s="460"/>
      <c r="AO141" s="460"/>
      <c r="AP141" s="460"/>
      <c r="AQ141" s="460"/>
    </row>
    <row r="142" spans="2:43" s="105" customFormat="1" ht="27" customHeight="1">
      <c r="B142" s="370">
        <f>#REF!</f>
      </c>
      <c r="C142" s="232"/>
      <c r="D142" s="164">
        <f>IF(#REF!&lt;&gt;"",#REF!,IF(#REF!&lt;&gt;"",#REF!,""))</f>
      </c>
      <c r="E142" s="235"/>
      <c r="F142" s="236"/>
      <c r="G142" s="236"/>
      <c r="H142" s="237"/>
      <c r="I142" s="238"/>
      <c r="J142" s="239"/>
      <c r="K142" s="240"/>
      <c r="L142" s="241"/>
      <c r="M142" s="242"/>
      <c r="N142" s="167">
        <f>#REF!</f>
      </c>
      <c r="O142" s="167">
        <f>#REF!</f>
      </c>
      <c r="P142" s="260">
        <f>#REF!</f>
      </c>
      <c r="Q142" s="168">
        <f>P142*N142</f>
      </c>
      <c r="R142" s="425">
        <f>IFERROR(Q142/$Q$166,0)</f>
      </c>
      <c r="S142" s="371">
        <f ca="1">IF($AL$5&lt;=1,0,SUM(OFFSET('rincian '!#REF!,0,0,1,$AL$5-1)))</f>
      </c>
      <c r="T142" s="425">
        <f ca="1">IFERROR(S142/N142*R142,0)</f>
      </c>
      <c r="U142" s="372" cm="1">
        <f t="array" ref="U142">IFERROR(INDEX('rincian '!#REF!,$AL$5),0)</f>
      </c>
      <c r="V142" s="425">
        <f>IFERROR(U142/N142*R142,0)</f>
      </c>
      <c r="W142" s="244">
        <f t="shared" ca="1" si="29"/>
      </c>
      <c r="X142" s="202">
        <f t="shared" ca="1" si="29"/>
      </c>
      <c r="AL142" s="460"/>
      <c r="AM142" s="460"/>
      <c r="AN142" s="460"/>
      <c r="AO142" s="460"/>
      <c r="AP142" s="460"/>
      <c r="AQ142" s="460"/>
    </row>
    <row r="143" spans="2:43" s="105" customFormat="1" ht="27" customHeight="1">
      <c r="B143" s="370">
        <f>#REF!</f>
      </c>
      <c r="C143" s="232"/>
      <c r="D143" s="164">
        <f>IF(#REF!&lt;&gt;"",#REF!,IF(#REF!&lt;&gt;"",#REF!,""))</f>
      </c>
      <c r="E143" s="235"/>
      <c r="F143" s="236"/>
      <c r="G143" s="236"/>
      <c r="H143" s="237"/>
      <c r="I143" s="238"/>
      <c r="J143" s="239"/>
      <c r="K143" s="240"/>
      <c r="L143" s="241"/>
      <c r="M143" s="242"/>
      <c r="N143" s="167">
        <f>#REF!</f>
      </c>
      <c r="O143" s="167">
        <f>#REF!</f>
      </c>
      <c r="P143" s="260">
        <f>#REF!</f>
      </c>
      <c r="Q143" s="168">
        <f>P143*N143</f>
      </c>
      <c r="R143" s="425">
        <f>IFERROR(Q143/$Q$166,0)</f>
      </c>
      <c r="S143" s="371">
        <f ca="1">IF($AL$5&lt;=1,0,SUM(OFFSET('rincian '!#REF!,0,0,1,$AL$5-1)))</f>
      </c>
      <c r="T143" s="425">
        <f ca="1">IFERROR(S143/N143*R143,0)</f>
      </c>
      <c r="U143" s="372" cm="1">
        <f t="array" ref="U143">IFERROR(INDEX('rincian '!#REF!,$AL$5),0)</f>
      </c>
      <c r="V143" s="425">
        <f>IFERROR(U143/N143*R143,0)</f>
      </c>
      <c r="W143" s="244">
        <f t="shared" ca="1" si="29"/>
      </c>
      <c r="X143" s="202">
        <f t="shared" ca="1" si="29"/>
      </c>
      <c r="AL143" s="460"/>
      <c r="AM143" s="460"/>
      <c r="AN143" s="460"/>
      <c r="AO143" s="460"/>
      <c r="AP143" s="460"/>
      <c r="AQ143" s="460"/>
    </row>
    <row r="144" spans="2:43" s="105" customFormat="1" ht="27" customHeight="1">
      <c r="B144" s="370">
        <f>#REF!</f>
      </c>
      <c r="C144" s="232"/>
      <c r="D144" s="164">
        <f>IF(#REF!&lt;&gt;"",#REF!,IF(#REF!&lt;&gt;"",#REF!,""))</f>
      </c>
      <c r="E144" s="235"/>
      <c r="F144" s="236"/>
      <c r="G144" s="236"/>
      <c r="H144" s="237"/>
      <c r="I144" s="238"/>
      <c r="J144" s="239"/>
      <c r="K144" s="240"/>
      <c r="L144" s="241"/>
      <c r="M144" s="242"/>
      <c r="N144" s="167"/>
      <c r="O144" s="167"/>
      <c r="P144" s="260"/>
      <c r="Q144" s="168"/>
      <c r="R144" s="425"/>
      <c r="S144" s="371"/>
      <c r="T144" s="425"/>
      <c r="U144" s="372"/>
      <c r="V144" s="425"/>
      <c r="W144" s="244"/>
      <c r="X144" s="202"/>
      <c r="AL144" s="460"/>
      <c r="AM144" s="460"/>
      <c r="AN144" s="460"/>
      <c r="AO144" s="460"/>
      <c r="AP144" s="460"/>
      <c r="AQ144" s="460"/>
    </row>
    <row r="145" spans="2:43" s="105" customFormat="1" ht="27" customHeight="1">
      <c r="B145" s="370">
        <f>#REF!</f>
      </c>
      <c r="C145" s="232"/>
      <c r="D145" s="164">
        <f>IF(#REF!&lt;&gt;"",#REF!,IF(#REF!&lt;&gt;"",#REF!,""))</f>
      </c>
      <c r="E145" s="235"/>
      <c r="F145" s="236"/>
      <c r="G145" s="236"/>
      <c r="H145" s="237"/>
      <c r="I145" s="238"/>
      <c r="J145" s="239"/>
      <c r="K145" s="240"/>
      <c r="L145" s="241"/>
      <c r="M145" s="242"/>
      <c r="N145" s="167"/>
      <c r="O145" s="167"/>
      <c r="P145" s="260"/>
      <c r="Q145" s="168"/>
      <c r="R145" s="425"/>
      <c r="S145" s="371"/>
      <c r="T145" s="425"/>
      <c r="U145" s="372"/>
      <c r="V145" s="425"/>
      <c r="W145" s="244"/>
      <c r="X145" s="202"/>
      <c r="AL145" s="460"/>
      <c r="AM145" s="460"/>
      <c r="AN145" s="460"/>
      <c r="AO145" s="460"/>
      <c r="AP145" s="460"/>
      <c r="AQ145" s="460"/>
    </row>
    <row r="146" spans="2:43" s="105" customFormat="1" ht="21" customHeight="1">
      <c r="B146" s="370">
        <f>#REF!</f>
      </c>
      <c r="C146" s="232"/>
      <c r="D146" s="704">
        <f>IF(#REF!&lt;&gt;"",#REF!,IF(#REF!&lt;&gt;"",#REF!,""))</f>
      </c>
      <c r="E146" s="704"/>
      <c r="F146" s="704"/>
      <c r="G146" s="704"/>
      <c r="H146" s="704"/>
      <c r="I146" s="704"/>
      <c r="J146" s="704"/>
      <c r="K146" s="704"/>
      <c r="L146" s="704"/>
      <c r="M146" s="705"/>
      <c r="N146" s="167"/>
      <c r="O146" s="167"/>
      <c r="P146" s="260"/>
      <c r="Q146" s="168"/>
      <c r="R146" s="425"/>
      <c r="S146" s="371"/>
      <c r="T146" s="425"/>
      <c r="U146" s="372"/>
      <c r="V146" s="425"/>
      <c r="W146" s="244"/>
      <c r="X146" s="202"/>
      <c r="AL146" s="460"/>
      <c r="AM146" s="460"/>
      <c r="AN146" s="460"/>
      <c r="AO146" s="460"/>
      <c r="AP146" s="460"/>
      <c r="AQ146" s="460"/>
    </row>
    <row r="147" spans="2:43" s="105" customFormat="1" ht="27" customHeight="1">
      <c r="B147" s="370">
        <f>#REF!</f>
      </c>
      <c r="C147" s="232"/>
      <c r="D147" s="164">
        <f>IF(#REF!&lt;&gt;"",#REF!,IF(#REF!&lt;&gt;"",#REF!,""))</f>
      </c>
      <c r="E147" s="235"/>
      <c r="F147" s="236"/>
      <c r="G147" s="236"/>
      <c r="H147" s="237"/>
      <c r="I147" s="238"/>
      <c r="J147" s="239"/>
      <c r="K147" s="240"/>
      <c r="L147" s="241"/>
      <c r="M147" s="242"/>
      <c r="N147" s="167">
        <f>#REF!</f>
      </c>
      <c r="O147" s="167">
        <f>#REF!</f>
      </c>
      <c r="P147" s="260">
        <f>#REF!</f>
      </c>
      <c r="Q147" s="168">
        <f>P147*N147</f>
      </c>
      <c r="R147" s="425">
        <f>IFERROR(Q147/$Q$166,0)</f>
      </c>
      <c r="S147" s="371">
        <f ca="1">IF($AL$5&lt;=1,0,SUM(OFFSET('rincian '!#REF!,0,0,1,$AL$5-1)))</f>
      </c>
      <c r="T147" s="425">
        <f ca="1">IFERROR(S147/N147*R147,0)</f>
      </c>
      <c r="U147" s="372" cm="1">
        <f t="array" ref="U147">IFERROR(INDEX('rincian '!#REF!,$AL$5),0)</f>
      </c>
      <c r="V147" s="425">
        <f>IFERROR(U147/N147*R147,0)</f>
      </c>
      <c r="W147" s="244">
        <f ca="1">S147+U147</f>
      </c>
      <c r="X147" s="202">
        <f ca="1">T147+V147</f>
      </c>
      <c r="AL147" s="460"/>
      <c r="AM147" s="460"/>
      <c r="AN147" s="460"/>
      <c r="AO147" s="460"/>
      <c r="AP147" s="460"/>
      <c r="AQ147" s="460"/>
    </row>
    <row r="148" spans="2:43" s="105" customFormat="1" ht="27" customHeight="1">
      <c r="B148" s="370">
        <f>#REF!</f>
      </c>
      <c r="C148" s="232"/>
      <c r="D148" s="164">
        <f>IF(#REF!&lt;&gt;"",#REF!,IF(#REF!&lt;&gt;"",#REF!,""))</f>
      </c>
      <c r="E148" s="235"/>
      <c r="F148" s="236"/>
      <c r="G148" s="236"/>
      <c r="H148" s="237"/>
      <c r="I148" s="238"/>
      <c r="J148" s="239"/>
      <c r="K148" s="240"/>
      <c r="L148" s="241"/>
      <c r="M148" s="242"/>
      <c r="N148" s="167"/>
      <c r="O148" s="167"/>
      <c r="P148" s="260"/>
      <c r="Q148" s="168"/>
      <c r="R148" s="425"/>
      <c r="S148" s="371"/>
      <c r="T148" s="425"/>
      <c r="U148" s="372"/>
      <c r="V148" s="425"/>
      <c r="W148" s="244"/>
      <c r="X148" s="202"/>
      <c r="AL148" s="460"/>
      <c r="AM148" s="460"/>
      <c r="AN148" s="460"/>
      <c r="AO148" s="460"/>
      <c r="AP148" s="460"/>
      <c r="AQ148" s="460"/>
    </row>
    <row r="149" spans="2:43" s="105" customFormat="1" ht="27" customHeight="1">
      <c r="B149" s="370">
        <f>#REF!</f>
      </c>
      <c r="C149" s="232"/>
      <c r="D149" s="164">
        <f>IF(#REF!&lt;&gt;"",#REF!,IF(#REF!&lt;&gt;"",#REF!,""))</f>
      </c>
      <c r="E149" s="235"/>
      <c r="F149" s="236"/>
      <c r="G149" s="236"/>
      <c r="H149" s="237"/>
      <c r="I149" s="238"/>
      <c r="J149" s="239"/>
      <c r="K149" s="240"/>
      <c r="L149" s="241"/>
      <c r="M149" s="242"/>
      <c r="N149" s="167"/>
      <c r="O149" s="167"/>
      <c r="P149" s="260"/>
      <c r="Q149" s="168"/>
      <c r="R149" s="425"/>
      <c r="S149" s="371"/>
      <c r="T149" s="425"/>
      <c r="U149" s="372"/>
      <c r="V149" s="425"/>
      <c r="W149" s="244"/>
      <c r="X149" s="202"/>
      <c r="AL149" s="460"/>
      <c r="AM149" s="460"/>
      <c r="AN149" s="460"/>
      <c r="AO149" s="460"/>
      <c r="AP149" s="460"/>
      <c r="AQ149" s="460"/>
    </row>
    <row r="150" spans="2:43" s="105" customFormat="1" ht="27" customHeight="1">
      <c r="B150" s="370">
        <f>#REF!</f>
      </c>
      <c r="C150" s="232"/>
      <c r="D150" s="164">
        <f>IF(#REF!&lt;&gt;"",#REF!,IF(#REF!&lt;&gt;"",#REF!,""))</f>
      </c>
      <c r="E150" s="235"/>
      <c r="F150" s="236"/>
      <c r="G150" s="236"/>
      <c r="H150" s="237"/>
      <c r="I150" s="238"/>
      <c r="J150" s="239"/>
      <c r="K150" s="240"/>
      <c r="L150" s="241"/>
      <c r="M150" s="242"/>
      <c r="N150" s="167"/>
      <c r="O150" s="167"/>
      <c r="P150" s="260"/>
      <c r="Q150" s="168"/>
      <c r="R150" s="425"/>
      <c r="S150" s="371"/>
      <c r="T150" s="425"/>
      <c r="U150" s="372"/>
      <c r="V150" s="425"/>
      <c r="W150" s="244"/>
      <c r="X150" s="202"/>
      <c r="AL150" s="460"/>
      <c r="AM150" s="460"/>
      <c r="AN150" s="460"/>
      <c r="AO150" s="460"/>
      <c r="AP150" s="460"/>
      <c r="AQ150" s="460"/>
    </row>
    <row r="151" spans="2:43" s="105" customFormat="1" ht="27" customHeight="1">
      <c r="B151" s="370">
        <f>#REF!</f>
      </c>
      <c r="C151" s="232"/>
      <c r="D151" s="164">
        <f>IF(#REF!&lt;&gt;"",#REF!,IF(#REF!&lt;&gt;"",#REF!,""))</f>
      </c>
      <c r="E151" s="235"/>
      <c r="F151" s="236"/>
      <c r="G151" s="236"/>
      <c r="H151" s="237"/>
      <c r="I151" s="238"/>
      <c r="J151" s="239"/>
      <c r="K151" s="240"/>
      <c r="L151" s="241"/>
      <c r="M151" s="242"/>
      <c r="N151" s="167"/>
      <c r="O151" s="167"/>
      <c r="P151" s="260"/>
      <c r="Q151" s="168"/>
      <c r="R151" s="425"/>
      <c r="S151" s="371"/>
      <c r="T151" s="425"/>
      <c r="U151" s="372"/>
      <c r="V151" s="425"/>
      <c r="W151" s="244"/>
      <c r="X151" s="202"/>
      <c r="AL151" s="460"/>
      <c r="AM151" s="460"/>
      <c r="AN151" s="460"/>
      <c r="AO151" s="460"/>
      <c r="AP151" s="460"/>
      <c r="AQ151" s="460"/>
    </row>
    <row r="152" spans="2:43" s="105" customFormat="1" ht="27" customHeight="1">
      <c r="B152" s="370">
        <f>#REF!</f>
      </c>
      <c r="C152" s="232"/>
      <c r="D152" s="164">
        <f>IF(#REF!&lt;&gt;"",#REF!,IF(#REF!&lt;&gt;"",#REF!,""))</f>
      </c>
      <c r="E152" s="235"/>
      <c r="F152" s="236"/>
      <c r="G152" s="236"/>
      <c r="H152" s="237"/>
      <c r="I152" s="238"/>
      <c r="J152" s="239"/>
      <c r="K152" s="240"/>
      <c r="L152" s="241"/>
      <c r="M152" s="242"/>
      <c r="N152" s="167">
        <f>#REF!</f>
      </c>
      <c r="O152" s="167">
        <f>#REF!</f>
      </c>
      <c r="P152" s="260">
        <f>#REF!</f>
      </c>
      <c r="Q152" s="168">
        <f>P152*N152</f>
      </c>
      <c r="R152" s="425">
        <f>IFERROR(Q152/$Q$166,0)</f>
      </c>
      <c r="S152" s="371">
        <f ca="1">IF($AL$5&lt;=1,0,SUM(OFFSET('rincian '!#REF!,0,0,1,$AL$5-1)))</f>
      </c>
      <c r="T152" s="425">
        <f ca="1">IFERROR(S152/N152*R152,0)</f>
      </c>
      <c r="U152" s="372" cm="1">
        <f t="array" ref="U152">IFERROR(INDEX('rincian '!#REF!,$AL$5),0)</f>
      </c>
      <c r="V152" s="425">
        <f>IFERROR(U152/N152*R152,0)</f>
      </c>
      <c r="W152" s="244">
        <f ca="1">S152+U152</f>
      </c>
      <c r="X152" s="202">
        <f ca="1">T152+V152</f>
      </c>
      <c r="AL152" s="460"/>
      <c r="AM152" s="460"/>
      <c r="AN152" s="460"/>
      <c r="AO152" s="460"/>
      <c r="AP152" s="460"/>
      <c r="AQ152" s="460"/>
    </row>
    <row r="153" spans="2:43" s="105" customFormat="1" ht="27" customHeight="1">
      <c r="B153" s="401">
        <f>#REF!</f>
      </c>
      <c r="C153" s="373"/>
      <c r="D153" s="374">
        <f>IF(#REF!&lt;&gt;"",#REF!,IF(#REF!&lt;&gt;"",#REF!,""))</f>
      </c>
      <c r="E153" s="375"/>
      <c r="F153" s="376"/>
      <c r="G153" s="376"/>
      <c r="H153" s="377"/>
      <c r="I153" s="378"/>
      <c r="J153" s="379"/>
      <c r="K153" s="380"/>
      <c r="L153" s="381"/>
      <c r="M153" s="382"/>
      <c r="N153" s="167"/>
      <c r="O153" s="167"/>
      <c r="P153" s="260"/>
      <c r="Q153" s="168"/>
      <c r="R153" s="425"/>
      <c r="S153" s="371"/>
      <c r="T153" s="425"/>
      <c r="U153" s="372"/>
      <c r="V153" s="425"/>
      <c r="W153" s="244"/>
      <c r="X153" s="202"/>
      <c r="AL153" s="460"/>
      <c r="AM153" s="460"/>
      <c r="AN153" s="460"/>
      <c r="AO153" s="460"/>
      <c r="AP153" s="460"/>
      <c r="AQ153" s="460"/>
    </row>
    <row r="154" spans="2:43" s="105" customFormat="1" ht="27" customHeight="1">
      <c r="B154" s="370">
        <f>#REF!</f>
      </c>
      <c r="C154" s="232"/>
      <c r="D154" s="164">
        <f>IF(#REF!&lt;&gt;"",#REF!,IF(#REF!&lt;&gt;"",#REF!,""))</f>
      </c>
      <c r="E154" s="235"/>
      <c r="F154" s="236"/>
      <c r="G154" s="236"/>
      <c r="H154" s="237"/>
      <c r="I154" s="238"/>
      <c r="J154" s="239"/>
      <c r="K154" s="240"/>
      <c r="L154" s="241"/>
      <c r="M154" s="242"/>
      <c r="N154" s="167">
        <f>#REF!</f>
      </c>
      <c r="O154" s="167">
        <f>#REF!</f>
      </c>
      <c r="P154" s="260">
        <f>#REF!</f>
      </c>
      <c r="Q154" s="168">
        <f>P154*N154</f>
      </c>
      <c r="R154" s="425">
        <f>IFERROR(Q154/$Q$166,0)</f>
      </c>
      <c r="S154" s="371">
        <f ca="1">IF($AL$5&lt;=1,0,SUM(OFFSET('rincian '!#REF!,0,0,1,$AL$5-1)))</f>
      </c>
      <c r="T154" s="425">
        <f ca="1">IFERROR(S154/N154*R154,0)</f>
      </c>
      <c r="U154" s="372" cm="1">
        <f t="array" ref="U154">IFERROR(INDEX('rincian '!#REF!,$AL$5),0)</f>
      </c>
      <c r="V154" s="425">
        <f>IFERROR(U154/N154*R154,0)</f>
      </c>
      <c r="W154" s="244">
        <f ca="1">S154+U154</f>
      </c>
      <c r="X154" s="202">
        <f ca="1">T154+V154</f>
      </c>
      <c r="AL154" s="460"/>
      <c r="AM154" s="460"/>
      <c r="AN154" s="460"/>
      <c r="AO154" s="460"/>
      <c r="AP154" s="460"/>
      <c r="AQ154" s="460"/>
    </row>
    <row r="155" spans="2:43" s="105" customFormat="1" ht="27" customHeight="1">
      <c r="B155" s="370">
        <f>#REF!</f>
      </c>
      <c r="C155" s="232"/>
      <c r="D155" s="164">
        <f>IF(#REF!&lt;&gt;"",#REF!,IF(#REF!&lt;&gt;"",#REF!,""))</f>
      </c>
      <c r="E155" s="235"/>
      <c r="F155" s="236"/>
      <c r="G155" s="236"/>
      <c r="H155" s="237"/>
      <c r="I155" s="238"/>
      <c r="J155" s="239"/>
      <c r="K155" s="240"/>
      <c r="L155" s="241"/>
      <c r="M155" s="242"/>
      <c r="N155" s="167">
        <f>#REF!</f>
      </c>
      <c r="O155" s="167">
        <f>#REF!</f>
      </c>
      <c r="P155" s="260">
        <f>#REF!</f>
      </c>
      <c r="Q155" s="168">
        <f>P155*N155</f>
      </c>
      <c r="R155" s="425">
        <f>IFERROR(Q155/$Q$166,0)</f>
      </c>
      <c r="S155" s="371">
        <f ca="1">IF($AL$5&lt;=1,0,SUM(OFFSET('rincian '!#REF!,0,0,1,$AL$5-1)))</f>
      </c>
      <c r="T155" s="425">
        <f ca="1">IFERROR(S155/N155*R155,0)</f>
      </c>
      <c r="U155" s="372" cm="1">
        <f t="array" ref="U155">IFERROR(INDEX('rincian '!#REF!,$AL$5),0)</f>
      </c>
      <c r="V155" s="425">
        <f>IFERROR(U155/N155*R155,0)</f>
      </c>
      <c r="W155" s="244">
        <f ca="1">S155+U155</f>
      </c>
      <c r="X155" s="202">
        <f ca="1">T155+V155</f>
      </c>
      <c r="AL155" s="460"/>
      <c r="AM155" s="460"/>
      <c r="AN155" s="460"/>
      <c r="AO155" s="460"/>
      <c r="AP155" s="460"/>
      <c r="AQ155" s="460"/>
    </row>
    <row r="156" spans="2:43" s="105" customFormat="1" ht="27" customHeight="1">
      <c r="B156" s="370">
        <f>#REF!</f>
      </c>
      <c r="C156" s="232"/>
      <c r="D156" s="164">
        <f>IF(#REF!&lt;&gt;"",#REF!,IF(#REF!&lt;&gt;"",#REF!,""))</f>
      </c>
      <c r="E156" s="235"/>
      <c r="F156" s="236"/>
      <c r="G156" s="236"/>
      <c r="H156" s="237"/>
      <c r="I156" s="238"/>
      <c r="J156" s="239"/>
      <c r="K156" s="240"/>
      <c r="L156" s="241"/>
      <c r="M156" s="242"/>
      <c r="N156" s="167"/>
      <c r="O156" s="167"/>
      <c r="P156" s="260"/>
      <c r="Q156" s="168"/>
      <c r="R156" s="425"/>
      <c r="S156" s="371"/>
      <c r="T156" s="425"/>
      <c r="U156" s="372"/>
      <c r="V156" s="425"/>
      <c r="W156" s="244"/>
      <c r="X156" s="202"/>
      <c r="AL156" s="460"/>
      <c r="AM156" s="460"/>
      <c r="AN156" s="460"/>
      <c r="AO156" s="460"/>
      <c r="AP156" s="460"/>
      <c r="AQ156" s="460"/>
    </row>
    <row r="157" spans="2:43" s="105" customFormat="1" ht="27" customHeight="1">
      <c r="B157" s="370">
        <f>#REF!</f>
      </c>
      <c r="C157" s="232"/>
      <c r="D157" s="164">
        <f>IF(#REF!&lt;&gt;"",#REF!,IF(#REF!&lt;&gt;"",#REF!,""))</f>
      </c>
      <c r="E157" s="235"/>
      <c r="F157" s="236"/>
      <c r="G157" s="236"/>
      <c r="H157" s="237"/>
      <c r="I157" s="238"/>
      <c r="J157" s="239"/>
      <c r="K157" s="240"/>
      <c r="L157" s="241"/>
      <c r="M157" s="242"/>
      <c r="N157" s="167"/>
      <c r="O157" s="167"/>
      <c r="P157" s="260"/>
      <c r="Q157" s="168"/>
      <c r="R157" s="425"/>
      <c r="S157" s="371"/>
      <c r="T157" s="425"/>
      <c r="U157" s="372"/>
      <c r="V157" s="425"/>
      <c r="W157" s="244"/>
      <c r="X157" s="202"/>
      <c r="AL157" s="460"/>
      <c r="AM157" s="460"/>
      <c r="AN157" s="460"/>
      <c r="AO157" s="460"/>
      <c r="AP157" s="460"/>
      <c r="AQ157" s="460"/>
    </row>
    <row r="158" spans="2:43" s="105" customFormat="1" ht="27" customHeight="1">
      <c r="B158" s="370">
        <f>#REF!</f>
      </c>
      <c r="C158" s="232"/>
      <c r="D158" s="164">
        <f>IF(#REF!&lt;&gt;"",#REF!,IF(#REF!&lt;&gt;"",#REF!,""))</f>
      </c>
      <c r="E158" s="235"/>
      <c r="F158" s="236"/>
      <c r="G158" s="236"/>
      <c r="H158" s="237"/>
      <c r="I158" s="238"/>
      <c r="J158" s="239"/>
      <c r="K158" s="240"/>
      <c r="L158" s="241"/>
      <c r="M158" s="242"/>
      <c r="N158" s="167"/>
      <c r="O158" s="167"/>
      <c r="P158" s="260"/>
      <c r="Q158" s="168"/>
      <c r="R158" s="425"/>
      <c r="S158" s="371"/>
      <c r="T158" s="425"/>
      <c r="U158" s="372"/>
      <c r="V158" s="425"/>
      <c r="W158" s="244"/>
      <c r="X158" s="202"/>
      <c r="AL158" s="460"/>
      <c r="AM158" s="460"/>
      <c r="AN158" s="460"/>
      <c r="AO158" s="460"/>
      <c r="AP158" s="460"/>
      <c r="AQ158" s="460"/>
    </row>
    <row r="159" spans="2:43" s="105" customFormat="1" ht="27" customHeight="1">
      <c r="B159" s="370">
        <f>#REF!</f>
      </c>
      <c r="C159" s="232"/>
      <c r="D159" s="164">
        <f>IF(#REF!&lt;&gt;"",#REF!,IF(#REF!&lt;&gt;"",#REF!,""))</f>
      </c>
      <c r="E159" s="235"/>
      <c r="F159" s="236"/>
      <c r="G159" s="236"/>
      <c r="H159" s="237"/>
      <c r="I159" s="238"/>
      <c r="J159" s="239"/>
      <c r="K159" s="240"/>
      <c r="L159" s="241"/>
      <c r="M159" s="242"/>
      <c r="N159" s="167">
        <f>#REF!</f>
      </c>
      <c r="O159" s="167">
        <f>#REF!</f>
      </c>
      <c r="P159" s="260">
        <f>#REF!</f>
      </c>
      <c r="Q159" s="168">
        <f>P159*N159</f>
      </c>
      <c r="R159" s="425">
        <f>IFERROR(Q159/$Q$166,0)</f>
      </c>
      <c r="S159" s="371">
        <f ca="1">IF($AL$5&lt;=1,0,SUM(OFFSET('rincian '!#REF!,0,0,1,$AL$5-1)))</f>
      </c>
      <c r="T159" s="425">
        <f ca="1">IFERROR(S159/N159*R159,0)</f>
      </c>
      <c r="U159" s="372" cm="1">
        <f t="array" ref="U159">IFERROR(INDEX('rincian '!#REF!,$AL$5),0)</f>
      </c>
      <c r="V159" s="425">
        <f>IFERROR(U159/N159*R159,0)</f>
      </c>
      <c r="W159" s="244">
        <f ca="1">S159+U159</f>
      </c>
      <c r="X159" s="202">
        <f ca="1">T159+V159</f>
      </c>
      <c r="AL159" s="460"/>
      <c r="AM159" s="460"/>
      <c r="AN159" s="460"/>
      <c r="AO159" s="460"/>
      <c r="AP159" s="460"/>
      <c r="AQ159" s="460"/>
    </row>
    <row r="160" spans="2:43" s="105" customFormat="1" ht="27" customHeight="1">
      <c r="B160" s="370">
        <f>#REF!</f>
      </c>
      <c r="C160" s="232"/>
      <c r="D160" s="164">
        <f>IF(#REF!&lt;&gt;"",#REF!,IF(#REF!&lt;&gt;"",#REF!,""))</f>
      </c>
      <c r="E160" s="235"/>
      <c r="F160" s="236"/>
      <c r="G160" s="236"/>
      <c r="H160" s="237"/>
      <c r="I160" s="238"/>
      <c r="J160" s="239"/>
      <c r="K160" s="240"/>
      <c r="L160" s="241"/>
      <c r="M160" s="242"/>
      <c r="N160" s="167"/>
      <c r="O160" s="167"/>
      <c r="P160" s="260"/>
      <c r="Q160" s="168"/>
      <c r="R160" s="425"/>
      <c r="S160" s="371"/>
      <c r="T160" s="425"/>
      <c r="U160" s="372"/>
      <c r="V160" s="425"/>
      <c r="W160" s="244"/>
      <c r="X160" s="202"/>
      <c r="AL160" s="460"/>
      <c r="AM160" s="460"/>
      <c r="AN160" s="460"/>
      <c r="AO160" s="460"/>
      <c r="AP160" s="460"/>
      <c r="AQ160" s="460"/>
    </row>
    <row r="161" spans="2:43" s="105" customFormat="1" ht="27" customHeight="1">
      <c r="B161" s="370">
        <f>#REF!</f>
      </c>
      <c r="C161" s="232"/>
      <c r="D161" s="164">
        <f>IF(#REF!&lt;&gt;"",#REF!,IF(#REF!&lt;&gt;"",#REF!,""))</f>
      </c>
      <c r="E161" s="235"/>
      <c r="F161" s="236"/>
      <c r="G161" s="236"/>
      <c r="H161" s="237"/>
      <c r="I161" s="238"/>
      <c r="J161" s="239"/>
      <c r="K161" s="240"/>
      <c r="L161" s="241"/>
      <c r="M161" s="242"/>
      <c r="N161" s="167"/>
      <c r="O161" s="167"/>
      <c r="P161" s="260"/>
      <c r="Q161" s="168"/>
      <c r="R161" s="425"/>
      <c r="S161" s="371"/>
      <c r="T161" s="425"/>
      <c r="U161" s="372"/>
      <c r="V161" s="425"/>
      <c r="W161" s="244"/>
      <c r="X161" s="202"/>
      <c r="AL161" s="460"/>
      <c r="AM161" s="460"/>
      <c r="AN161" s="460"/>
      <c r="AO161" s="460"/>
      <c r="AP161" s="460"/>
      <c r="AQ161" s="460"/>
    </row>
    <row r="162" spans="2:43" s="105" customFormat="1" ht="27" customHeight="1">
      <c r="B162" s="370">
        <f>#REF!</f>
      </c>
      <c r="C162" s="232"/>
      <c r="D162" s="164">
        <f>IF(#REF!&lt;&gt;"",#REF!,IF(#REF!&lt;&gt;"",#REF!,""))</f>
      </c>
      <c r="E162" s="235"/>
      <c r="F162" s="236"/>
      <c r="G162" s="236"/>
      <c r="H162" s="237"/>
      <c r="I162" s="238"/>
      <c r="J162" s="239"/>
      <c r="K162" s="240"/>
      <c r="L162" s="241"/>
      <c r="M162" s="242"/>
      <c r="N162" s="167">
        <f>#REF!</f>
      </c>
      <c r="O162" s="167">
        <f>#REF!</f>
      </c>
      <c r="P162" s="260">
        <f>#REF!</f>
      </c>
      <c r="Q162" s="168">
        <f>P162*N162</f>
      </c>
      <c r="R162" s="425">
        <f>IFERROR(Q162/$Q$166,0)</f>
      </c>
      <c r="S162" s="371">
        <f ca="1">IF($AL$5&lt;=1,0,SUM(OFFSET('rincian '!#REF!,0,0,1,$AL$5-1)))</f>
      </c>
      <c r="T162" s="425">
        <f ca="1">IFERROR(S162/N162*R162,0)</f>
      </c>
      <c r="U162" s="372" cm="1">
        <f t="array" ref="U162">IFERROR(INDEX('rincian '!#REF!,$AL$5),0)</f>
      </c>
      <c r="V162" s="425">
        <f>IFERROR(U162/N162*R162,0)</f>
      </c>
      <c r="W162" s="244">
        <f t="shared" ref="W162:X164" ca="1" si="30">S162+U162</f>
      </c>
      <c r="X162" s="202">
        <f t="shared" ca="1" si="30"/>
      </c>
      <c r="AL162" s="460"/>
      <c r="AM162" s="460"/>
      <c r="AN162" s="460"/>
      <c r="AO162" s="460"/>
      <c r="AP162" s="460"/>
      <c r="AQ162" s="460"/>
    </row>
    <row r="163" spans="2:43" s="105" customFormat="1" ht="27" customHeight="1">
      <c r="B163" s="370">
        <f>#REF!</f>
      </c>
      <c r="C163" s="232"/>
      <c r="D163" s="164">
        <f>IF(#REF!&lt;&gt;"",#REF!,IF(#REF!&lt;&gt;"",#REF!,""))</f>
      </c>
      <c r="E163" s="235"/>
      <c r="F163" s="236"/>
      <c r="G163" s="236"/>
      <c r="H163" s="237"/>
      <c r="I163" s="238"/>
      <c r="J163" s="239"/>
      <c r="K163" s="240"/>
      <c r="L163" s="241"/>
      <c r="M163" s="242"/>
      <c r="N163" s="167">
        <f>#REF!</f>
      </c>
      <c r="O163" s="167">
        <f>#REF!</f>
      </c>
      <c r="P163" s="260">
        <f>#REF!</f>
      </c>
      <c r="Q163" s="168">
        <f>P163*N163</f>
      </c>
      <c r="R163" s="425">
        <f>IFERROR(Q163/$Q$166,0)</f>
      </c>
      <c r="S163" s="371">
        <f ca="1">IF($AL$5&lt;=1,0,SUM(OFFSET('rincian '!#REF!,0,0,1,$AL$5-1)))</f>
      </c>
      <c r="T163" s="425">
        <f ca="1">IFERROR(S163/N163*R163,0)</f>
      </c>
      <c r="U163" s="372" cm="1">
        <f t="array" ref="U163">IFERROR(INDEX('rincian '!#REF!,$AL$5),0)</f>
      </c>
      <c r="V163" s="425">
        <f>IFERROR(U163/N163*R163,0)</f>
      </c>
      <c r="W163" s="244">
        <f t="shared" ca="1" si="30"/>
      </c>
      <c r="X163" s="202">
        <f t="shared" ca="1" si="30"/>
      </c>
      <c r="AL163" s="460"/>
      <c r="AM163" s="460"/>
      <c r="AN163" s="460"/>
      <c r="AO163" s="460"/>
      <c r="AP163" s="460"/>
      <c r="AQ163" s="460"/>
    </row>
    <row r="164" spans="2:43" s="105" customFormat="1" ht="27" customHeight="1">
      <c r="B164" s="370">
        <f>#REF!</f>
      </c>
      <c r="C164" s="232"/>
      <c r="D164" s="164">
        <f>IF(#REF!&lt;&gt;"",#REF!,IF(#REF!&lt;&gt;"",#REF!,""))</f>
      </c>
      <c r="E164" s="235"/>
      <c r="F164" s="236"/>
      <c r="G164" s="236"/>
      <c r="H164" s="237"/>
      <c r="I164" s="238"/>
      <c r="J164" s="239"/>
      <c r="K164" s="240"/>
      <c r="L164" s="241"/>
      <c r="M164" s="242"/>
      <c r="N164" s="167">
        <f>#REF!</f>
      </c>
      <c r="O164" s="167">
        <f>#REF!</f>
      </c>
      <c r="P164" s="260">
        <f>#REF!</f>
      </c>
      <c r="Q164" s="168">
        <f>P164*N164</f>
      </c>
      <c r="R164" s="425">
        <f>IFERROR(Q164/$Q$166,0)</f>
      </c>
      <c r="S164" s="371">
        <f ca="1">IF($AL$5&lt;=1,0,SUM(OFFSET('rincian '!#REF!,0,0,1,$AL$5-1)))</f>
      </c>
      <c r="T164" s="425">
        <f ca="1">IFERROR(S164/N164*R164,0)</f>
      </c>
      <c r="U164" s="372" cm="1">
        <f t="array" ref="U164">IFERROR(INDEX('rincian '!#REF!,$AL$5),0)</f>
      </c>
      <c r="V164" s="425">
        <f>IFERROR(U164/N164*R164,0)</f>
      </c>
      <c r="W164" s="244">
        <f t="shared" ca="1" si="30"/>
      </c>
      <c r="X164" s="202">
        <f t="shared" ca="1" si="30"/>
      </c>
      <c r="AL164" s="460"/>
      <c r="AM164" s="460"/>
      <c r="AN164" s="460"/>
      <c r="AO164" s="460"/>
      <c r="AP164" s="460"/>
      <c r="AQ164" s="460"/>
    </row>
    <row r="165" spans="2:43" s="105" customFormat="1" ht="25.2" customHeight="1">
      <c r="B165" s="140"/>
      <c r="C165" s="200"/>
      <c r="D165" s="196"/>
      <c r="E165" s="141"/>
      <c r="F165" s="141"/>
      <c r="G165" s="141"/>
      <c r="H165" s="141"/>
      <c r="I165" s="142"/>
      <c r="J165" s="143"/>
      <c r="K165" s="144"/>
      <c r="L165" s="145"/>
      <c r="M165" s="145"/>
      <c r="N165" s="167"/>
      <c r="O165" s="132"/>
      <c r="P165" s="133"/>
      <c r="Q165" s="168"/>
      <c r="R165" s="427"/>
      <c r="S165" s="146"/>
      <c r="T165" s="427"/>
      <c r="U165" s="146"/>
      <c r="V165" s="427"/>
      <c r="W165" s="170"/>
      <c r="X165" s="171"/>
    </row>
    <row r="166" spans="2:43" ht="25.2" customHeight="1" thickBot="1">
      <c r="B166" s="147"/>
      <c r="C166" s="148" t="s">
        <v>123</v>
      </c>
      <c r="D166" s="149"/>
      <c r="E166" s="150"/>
      <c r="F166" s="150"/>
      <c r="G166" s="150"/>
      <c r="H166" s="150"/>
      <c r="I166" s="150"/>
      <c r="J166" s="151"/>
      <c r="K166" s="152"/>
      <c r="L166" s="153"/>
      <c r="M166" s="154"/>
      <c r="N166" s="155"/>
      <c r="O166" s="151"/>
      <c r="P166" s="156"/>
      <c r="Q166" s="169">
        <f>SUM(Q12:Q165)</f>
      </c>
      <c r="R166" s="428">
        <f>SUM(R12:R165)</f>
      </c>
      <c r="S166" s="197"/>
      <c r="T166" s="428">
        <f ca="1">SUM(T12:T165)</f>
      </c>
      <c r="U166" s="198"/>
      <c r="V166" s="428">
        <f>SUM(V12:V165)</f>
      </c>
      <c r="W166" s="197"/>
      <c r="X166" s="199">
        <f ca="1">SUM(X12:X165)</f>
      </c>
      <c r="Z166" s="666" cm="1">
        <f t="array" aca="1" ref="Z166" ca="1">IF(SUMPRODUCT(--(W12:W165&gt;IFERROR(N12:N165*1,0)))&gt;0,"DITOLAK: ada item dengan progres s/d periode ini MELEBIHI volume kontrak",IF(ROUND(X166,6)&gt;1,"DITOLAK: bobot s/d periode ini "&amp;TEXT(X166,"0.00%")&amp;" sudah melebihi 100%",IF(ROUND(X166,6)=1,"PROGRES SUDAH 100% - VOLUME KONTRAK HABIS, penambahan progres ditolak","SISA BOBOT BELUM DITAGIH: "&amp;TEXT(1-X166,"0.00%"))))</f>
      </c>
      <c r="AA166" s="665"/>
      <c r="AB166" s="665"/>
      <c r="AC166" s="665"/>
      <c r="AD166" s="665"/>
      <c r="AE166" s="665"/>
      <c r="AF166" s="665"/>
      <c r="AG166" s="665"/>
      <c r="AH166" s="665"/>
    </row>
    <row r="167" spans="2:43" ht="25.2" customHeight="1">
      <c r="B167" s="157"/>
      <c r="C167" s="158"/>
      <c r="D167" s="159"/>
      <c r="E167" s="158"/>
      <c r="F167" s="158"/>
      <c r="G167" s="158"/>
      <c r="H167" s="158"/>
      <c r="I167" s="158"/>
      <c r="J167" s="160"/>
      <c r="K167" s="158"/>
      <c r="L167" s="158"/>
      <c r="M167" s="158"/>
      <c r="N167" s="161"/>
      <c r="O167" s="160"/>
      <c r="P167" s="161"/>
      <c r="Q167" s="161"/>
      <c r="R167" s="162"/>
      <c r="S167" s="120"/>
      <c r="T167" s="120"/>
      <c r="U167" s="120"/>
      <c r="V167" s="120"/>
      <c r="W167" s="120"/>
      <c r="X167" s="120"/>
      <c r="Z167" s="665"/>
      <c r="AA167" s="665"/>
      <c r="AB167" s="665"/>
      <c r="AC167" s="665"/>
      <c r="AD167" s="665"/>
      <c r="AE167" s="665"/>
      <c r="AF167" s="665"/>
      <c r="AG167" s="665"/>
      <c r="AH167" s="665"/>
    </row>
    <row r="168" spans="2:43" ht="25.2" customHeight="1">
      <c r="B168" s="157"/>
      <c r="C168" s="158"/>
      <c r="D168" s="159"/>
      <c r="E168" s="158"/>
      <c r="F168" s="158"/>
      <c r="G168" s="158"/>
      <c r="H168" s="158"/>
      <c r="I168" s="158"/>
      <c r="J168" s="160"/>
      <c r="K168" s="158"/>
      <c r="L168" s="158"/>
      <c r="M168" s="158"/>
      <c r="N168" s="163"/>
      <c r="O168" s="160"/>
      <c r="P168" s="161"/>
      <c r="Q168" s="161"/>
      <c r="R168" s="120"/>
      <c r="S168" s="120"/>
      <c r="T168" s="120"/>
      <c r="U168" s="120"/>
      <c r="V168" s="172"/>
      <c r="W168" s="203">
        <f>DATA!$B$36&amp;", "&amp;'BAPP 2'!W2</f>
      </c>
      <c r="X168" s="172"/>
    </row>
    <row r="169" spans="2:43" ht="25.2" customHeight="1">
      <c r="B169" s="658" t="s">
        <v>166</v>
      </c>
      <c r="C169" s="658"/>
      <c r="D169" s="658"/>
      <c r="E169" s="658"/>
      <c r="F169" s="658"/>
      <c r="G169" s="658"/>
      <c r="H169" s="658"/>
      <c r="I169" s="173"/>
      <c r="J169" s="173"/>
      <c r="K169" s="173"/>
      <c r="L169" s="173"/>
      <c r="M169" s="173"/>
      <c r="N169" s="658" t="s">
        <v>167</v>
      </c>
      <c r="O169" s="658"/>
      <c r="P169" s="658"/>
      <c r="Q169" s="658"/>
      <c r="R169" s="658"/>
      <c r="S169" s="658"/>
      <c r="T169" s="658"/>
      <c r="U169" s="120"/>
      <c r="V169" s="658" t="s">
        <v>168</v>
      </c>
      <c r="W169" s="658"/>
      <c r="X169" s="658"/>
    </row>
    <row r="170" spans="2:43" ht="25.2" hidden="1" customHeight="1">
      <c r="B170" s="658">
        <f>DATA!$B$107</f>
      </c>
      <c r="C170" s="658"/>
      <c r="D170" s="658"/>
      <c r="E170" s="658"/>
      <c r="F170" s="658"/>
      <c r="G170" s="658"/>
      <c r="H170" s="658"/>
      <c r="I170" s="173"/>
      <c r="J170" s="173"/>
      <c r="K170" s="173"/>
      <c r="L170" s="173"/>
      <c r="M170" s="173"/>
      <c r="N170" s="658">
        <f>B170</f>
      </c>
      <c r="O170" s="658"/>
      <c r="P170" s="658"/>
      <c r="Q170" s="161"/>
      <c r="R170" s="655">
        <f>N170</f>
      </c>
      <c r="S170" s="655"/>
      <c r="T170" s="655"/>
      <c r="U170" s="120"/>
      <c r="V170" s="655" t="s">
        <v>169</v>
      </c>
      <c r="W170" s="655"/>
      <c r="X170" s="655"/>
    </row>
    <row r="171" spans="2:43" ht="25.2" hidden="1" customHeight="1">
      <c r="B171" s="658">
        <f>DATA!$B$108</f>
      </c>
      <c r="C171" s="658"/>
      <c r="D171" s="658"/>
      <c r="E171" s="658"/>
      <c r="F171" s="658"/>
      <c r="G171" s="658"/>
      <c r="H171" s="658"/>
      <c r="I171" s="173"/>
      <c r="J171" s="173"/>
      <c r="K171" s="173"/>
      <c r="L171" s="173"/>
      <c r="M171" s="173"/>
      <c r="N171" s="658">
        <f>$B$171</f>
      </c>
      <c r="O171" s="658"/>
      <c r="P171" s="658"/>
      <c r="Q171" s="161"/>
      <c r="R171" s="655">
        <f>$B$171</f>
      </c>
      <c r="S171" s="655"/>
      <c r="T171" s="655"/>
      <c r="U171" s="120"/>
      <c r="V171" s="655"/>
      <c r="W171" s="655"/>
      <c r="X171" s="655"/>
    </row>
    <row r="172" spans="2:43" ht="25.2" customHeight="1">
      <c r="B172" s="157"/>
      <c r="C172" s="158"/>
      <c r="D172" s="159"/>
      <c r="E172" s="158"/>
      <c r="F172" s="158"/>
      <c r="G172" s="158"/>
      <c r="H172" s="158"/>
      <c r="I172" s="158"/>
      <c r="J172" s="158"/>
      <c r="K172" s="158"/>
      <c r="L172" s="158"/>
      <c r="M172" s="158"/>
      <c r="N172" s="161"/>
      <c r="O172" s="158"/>
      <c r="P172" s="161"/>
      <c r="Q172" s="161"/>
      <c r="R172" s="120"/>
      <c r="S172" s="120"/>
      <c r="T172" s="120"/>
      <c r="U172" s="120"/>
      <c r="V172" s="120"/>
      <c r="W172" s="120"/>
      <c r="X172" s="120"/>
    </row>
    <row r="173" spans="2:43" ht="25.2" customHeight="1">
      <c r="B173" s="157"/>
      <c r="C173" s="158"/>
      <c r="D173" s="159"/>
      <c r="E173" s="158"/>
      <c r="F173" s="158"/>
      <c r="G173" s="158"/>
      <c r="H173" s="158"/>
      <c r="I173" s="158"/>
      <c r="J173" s="158"/>
      <c r="K173" s="158"/>
      <c r="L173" s="158"/>
      <c r="M173" s="158"/>
      <c r="N173" s="161"/>
      <c r="O173" s="158"/>
      <c r="P173" s="161"/>
      <c r="Q173" s="161"/>
      <c r="R173" s="120"/>
      <c r="S173" s="120"/>
      <c r="T173" s="120"/>
      <c r="U173" s="120"/>
      <c r="V173" s="120"/>
      <c r="W173" s="120"/>
      <c r="X173" s="120"/>
    </row>
    <row r="174" spans="2:43" ht="25.2" customHeight="1">
      <c r="B174" s="157"/>
      <c r="C174" s="158"/>
      <c r="D174" s="159"/>
      <c r="E174" s="158"/>
      <c r="F174" s="158"/>
      <c r="G174" s="158"/>
      <c r="H174" s="158"/>
      <c r="I174" s="158"/>
      <c r="J174" s="158"/>
      <c r="K174" s="158"/>
      <c r="L174" s="158"/>
      <c r="M174" s="158"/>
      <c r="N174" s="161"/>
      <c r="O174" s="158"/>
      <c r="P174" s="161"/>
      <c r="Q174" s="161"/>
      <c r="R174" s="120"/>
      <c r="S174" s="120"/>
      <c r="T174" s="120"/>
      <c r="U174" s="120"/>
      <c r="V174" s="120"/>
      <c r="W174" s="120"/>
      <c r="X174" s="120"/>
    </row>
    <row r="175" spans="2:43" ht="25.2" customHeight="1">
      <c r="B175" s="157"/>
      <c r="C175" s="158"/>
      <c r="D175" s="159"/>
      <c r="E175" s="158"/>
      <c r="F175" s="158"/>
      <c r="G175" s="158"/>
      <c r="H175" s="158"/>
      <c r="I175" s="158"/>
      <c r="J175" s="158"/>
      <c r="K175" s="158"/>
      <c r="L175" s="158"/>
      <c r="M175" s="158"/>
      <c r="N175" s="161"/>
      <c r="O175" s="158"/>
      <c r="P175" s="161"/>
      <c r="Q175" s="161"/>
      <c r="R175" s="120"/>
      <c r="S175" s="120"/>
      <c r="T175" s="120"/>
      <c r="U175" s="120"/>
      <c r="V175" s="120"/>
      <c r="W175" s="120"/>
      <c r="X175" s="120"/>
    </row>
    <row r="176" spans="2:43" ht="25.2" customHeight="1">
      <c r="B176" s="157"/>
      <c r="C176" s="158"/>
      <c r="D176" s="159"/>
      <c r="E176" s="158"/>
      <c r="F176" s="158"/>
      <c r="G176" s="158"/>
      <c r="H176" s="158"/>
      <c r="I176" s="158"/>
      <c r="J176" s="158"/>
      <c r="K176" s="158"/>
      <c r="L176" s="158"/>
      <c r="M176" s="158"/>
      <c r="N176" s="161"/>
      <c r="O176" s="158"/>
      <c r="P176" s="161"/>
      <c r="Q176" s="161"/>
      <c r="R176" s="120"/>
      <c r="S176" s="120"/>
      <c r="T176" s="120"/>
      <c r="U176" s="120"/>
      <c r="V176" s="120"/>
      <c r="W176" s="120"/>
      <c r="X176" s="120"/>
    </row>
    <row r="177" spans="2:24" ht="25.2" customHeight="1">
      <c r="B177" s="157"/>
      <c r="C177" s="158"/>
      <c r="D177" s="159"/>
      <c r="E177" s="158"/>
      <c r="F177" s="158"/>
      <c r="G177" s="158"/>
      <c r="H177" s="158"/>
      <c r="I177" s="158"/>
      <c r="J177" s="158"/>
      <c r="K177" s="158"/>
      <c r="L177" s="158"/>
      <c r="M177" s="158"/>
      <c r="N177" s="161"/>
      <c r="O177" s="158"/>
      <c r="P177" s="161"/>
      <c r="Q177" s="161"/>
      <c r="R177" s="120"/>
      <c r="S177" s="120"/>
      <c r="T177" s="120"/>
      <c r="U177" s="120"/>
      <c r="V177" s="120"/>
      <c r="W177" s="120"/>
      <c r="X177" s="120"/>
    </row>
    <row r="178" spans="2:24" ht="25.2" customHeight="1">
      <c r="B178" s="659">
        <f>DATA!$B$109</f>
      </c>
      <c r="C178" s="660"/>
      <c r="D178" s="660"/>
      <c r="E178" s="660"/>
      <c r="F178" s="660"/>
      <c r="G178" s="660"/>
      <c r="H178" s="660"/>
      <c r="I178" s="174"/>
      <c r="J178" s="174"/>
      <c r="K178" s="174"/>
      <c r="L178" s="174"/>
      <c r="M178" s="174"/>
      <c r="N178" s="659">
        <f>DATA!$B$111</f>
      </c>
      <c r="O178" s="660"/>
      <c r="P178" s="660"/>
      <c r="Q178" s="218"/>
      <c r="R178" s="664">
        <f>DATA!$B$113</f>
      </c>
      <c r="S178" s="665"/>
      <c r="T178" s="665"/>
      <c r="U178" s="665"/>
      <c r="V178" s="663">
        <f>#REF!</f>
      </c>
      <c r="W178" s="663"/>
      <c r="X178" s="663"/>
    </row>
    <row r="179" spans="2:24" ht="25.2" customHeight="1">
      <c r="B179" s="658">
        <f>DATA!$B$110</f>
      </c>
      <c r="C179" s="658"/>
      <c r="D179" s="658"/>
      <c r="E179" s="658"/>
      <c r="F179" s="658"/>
      <c r="G179" s="658"/>
      <c r="H179" s="658"/>
      <c r="I179" s="173"/>
      <c r="J179" s="173"/>
      <c r="K179" s="173"/>
      <c r="L179" s="173"/>
      <c r="M179" s="173"/>
      <c r="N179" s="658">
        <f>DATA!$B$112</f>
      </c>
      <c r="O179" s="658"/>
      <c r="P179" s="658"/>
      <c r="Q179" s="219"/>
      <c r="R179" s="710">
        <f>DATA!$B$114</f>
      </c>
      <c r="S179" s="665"/>
      <c r="T179" s="665"/>
      <c r="U179" s="665"/>
      <c r="V179" s="709">
        <f>#REF!</f>
      </c>
      <c r="W179" s="709"/>
      <c r="X179" s="709"/>
    </row>
    <row r="182" spans="2:24" ht="25.2" customHeight="1">
      <c r="P182" s="166"/>
    </row>
    <row r="183" spans="2:24" ht="25.2" customHeight="1">
      <c r="J183" s="165" t="s">
        <v>170</v>
      </c>
      <c r="O183" s="165"/>
      <c r="P183" s="165"/>
    </row>
    <row r="184" spans="2:24" ht="25.2" customHeight="1">
      <c r="J184" s="165">
        <f>DATA!$B$62</f>
      </c>
      <c r="O184" s="165"/>
    </row>
    <row r="185" spans="2:24" ht="25.2" customHeight="1">
      <c r="J185" s="165">
        <f>DATA!$B$108</f>
      </c>
      <c r="O185" s="165"/>
    </row>
  </sheetData>
  <mergeCells count="53">
    <mergeCell ref="B179:H179"/>
    <mergeCell ref="N179:P179"/>
    <mergeCell ref="V179:X179"/>
    <mergeCell ref="B171:H171"/>
    <mergeCell ref="N171:P171"/>
    <mergeCell ref="R171:T171"/>
    <mergeCell ref="V171:X171"/>
    <mergeCell ref="B178:H178"/>
    <mergeCell ref="N178:P178"/>
    <mergeCell ref="V178:X178"/>
    <mergeCell ref="R178:U178"/>
    <mergeCell ref="R179:U179"/>
    <mergeCell ref="B169:H169"/>
    <mergeCell ref="V169:X169"/>
    <mergeCell ref="B170:H170"/>
    <mergeCell ref="N170:P170"/>
    <mergeCell ref="R170:T170"/>
    <mergeCell ref="V170:X170"/>
    <mergeCell ref="D40:M40"/>
    <mergeCell ref="D58:M58"/>
    <mergeCell ref="D59:M59"/>
    <mergeCell ref="D60:M60"/>
    <mergeCell ref="D101:M101"/>
    <mergeCell ref="X8:X9"/>
    <mergeCell ref="C11:I11"/>
    <mergeCell ref="D15:M15"/>
    <mergeCell ref="D16:M16"/>
    <mergeCell ref="D17:M17"/>
    <mergeCell ref="P7:P9"/>
    <mergeCell ref="Q7:Q9"/>
    <mergeCell ref="S7:T7"/>
    <mergeCell ref="U7:V7"/>
    <mergeCell ref="W7:X7"/>
    <mergeCell ref="R8:R9"/>
    <mergeCell ref="S8:S9"/>
    <mergeCell ref="T8:T9"/>
    <mergeCell ref="U8:U9"/>
    <mergeCell ref="Z166:AH166"/>
    <mergeCell ref="Z167:AH167"/>
    <mergeCell ref="N169:T169"/>
    <mergeCell ref="V8:V9"/>
    <mergeCell ref="B2:X2"/>
    <mergeCell ref="B3:X3"/>
    <mergeCell ref="B4:X4"/>
    <mergeCell ref="B5:X5"/>
    <mergeCell ref="B7:B9"/>
    <mergeCell ref="C7:I9"/>
    <mergeCell ref="J7:J9"/>
    <mergeCell ref="K7:M8"/>
    <mergeCell ref="N7:N9"/>
    <mergeCell ref="O7:O9"/>
    <mergeCell ref="D146:M146"/>
    <mergeCell ref="W8:W9"/>
  </mergeCells>
  <conditionalFormatting sqref="Z166:AH167">
    <cfRule type="containsText" dxfId="21" priority="1" operator="containsText" text="DITOLAK">
      <formula>NOT(ISERROR(SEARCH("DITOLAK",Z166)))</formula>
    </cfRule>
    <cfRule type="containsText" dxfId="20" priority="2" operator="containsText" text="HABIS">
      <formula>NOT(ISERROR(SEARCH("HABIS",Z166)))</formula>
    </cfRule>
    <cfRule type="containsText" dxfId="19" priority="3" operator="containsText" text="SISA">
      <formula>NOT(ISERROR(SEARCH("SISA",Z166)))</formula>
    </cfRule>
  </conditionalFormatting>
  <printOptions horizontalCentered="1"/>
  <pageMargins left="0.18" right="0.14000000000000001" top="0.39370078740157499" bottom="0.39370078740157499" header="0.31496062992126" footer="0.31496062992126"/>
  <pageSetup paperSize="9" scale="39" fitToHeight="0" orientation="landscape" r:id="rId1"/>
  <rowBreaks count="3" manualBreakCount="3">
    <brk id="50" min="1" max="23" man="1"/>
    <brk id="100" min="1" max="23" man="1"/>
    <brk id="147" min="1" max="23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5CCE-CD1B-46FF-A71C-BA6413F649A7}">
  <sheetPr>
    <tabColor rgb="FF0070C0"/>
  </sheetPr>
  <dimension ref="B2:AQ185"/>
  <sheetViews>
    <sheetView view="pageBreakPreview" topLeftCell="A159" zoomScale="40" zoomScaleNormal="60" zoomScaleSheetLayoutView="40" workbookViewId="0">
      <selection activeCell="B3" sqref="B3:K3"/>
    </sheetView>
  </sheetViews>
  <sheetFormatPr defaultColWidth="4.1796875" defaultRowHeight="25.2" customHeight="1"/>
  <cols>
    <col min="1" max="1" width="5.453125" style="101" customWidth="1"/>
    <col min="2" max="2" width="5.54296875" style="106" customWidth="1"/>
    <col min="3" max="3" width="3.453125" style="107" customWidth="1"/>
    <col min="4" max="4" width="3.81640625" style="108" customWidth="1"/>
    <col min="5" max="5" width="5.1796875" style="107" customWidth="1"/>
    <col min="6" max="6" width="3.81640625" style="107" customWidth="1"/>
    <col min="7" max="7" width="3.08984375" style="107" customWidth="1"/>
    <col min="8" max="8" width="23" style="107" customWidth="1"/>
    <col min="9" max="9" width="29.1796875" style="107" customWidth="1"/>
    <col min="10" max="10" width="6.1796875" style="109" hidden="1" customWidth="1"/>
    <col min="11" max="11" width="12.81640625" style="109" hidden="1" customWidth="1"/>
    <col min="12" max="12" width="17" style="110" hidden="1" customWidth="1"/>
    <col min="13" max="13" width="22.1796875" style="110" hidden="1" customWidth="1"/>
    <col min="14" max="14" width="13.81640625" style="102" customWidth="1"/>
    <col min="15" max="15" width="14.54296875" style="109" bestFit="1" customWidth="1"/>
    <col min="16" max="16" width="24.81640625" style="111" customWidth="1"/>
    <col min="17" max="17" width="26.81640625" style="111" customWidth="1"/>
    <col min="18" max="18" width="14.81640625" style="102" bestFit="1" customWidth="1"/>
    <col min="19" max="21" width="13.453125" style="102" customWidth="1"/>
    <col min="22" max="22" width="14.453125" style="102" customWidth="1"/>
    <col min="23" max="23" width="13.453125" style="102" customWidth="1"/>
    <col min="24" max="24" width="14.81640625" style="102" bestFit="1" customWidth="1"/>
    <col min="25" max="25" width="9" style="101" customWidth="1"/>
    <col min="26" max="27" width="7.08984375" style="101" customWidth="1"/>
    <col min="28" max="28" width="14.453125" style="101" bestFit="1" customWidth="1"/>
    <col min="29" max="29" width="17.81640625" style="101" bestFit="1" customWidth="1"/>
    <col min="30" max="30" width="15.1796875" style="101" bestFit="1" customWidth="1"/>
    <col min="31" max="31" width="17.81640625" style="101" bestFit="1" customWidth="1"/>
    <col min="32" max="32" width="9.81640625" style="101" bestFit="1" customWidth="1"/>
    <col min="33" max="35" width="7.08984375" style="101" customWidth="1"/>
    <col min="36" max="36" width="15.1796875" style="101" bestFit="1" customWidth="1"/>
    <col min="37" max="37" width="7.08984375" style="101" customWidth="1"/>
    <col min="38" max="43" width="10.36328125" style="101" customWidth="1"/>
    <col min="44" max="128" width="7.08984375" style="101" customWidth="1"/>
    <col min="129" max="129" width="5.453125" style="101" customWidth="1"/>
    <col min="130" max="130" width="6.1796875" style="101" customWidth="1"/>
    <col min="131" max="131" width="4.81640625" style="101" customWidth="1"/>
    <col min="132" max="132" width="6" style="101" customWidth="1"/>
    <col min="133" max="16384" width="4.1796875" style="101"/>
  </cols>
  <sheetData>
    <row r="2" spans="2:43" ht="25.2" customHeight="1"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7"/>
      <c r="U2" s="667"/>
      <c r="V2" s="667"/>
      <c r="W2" s="667"/>
      <c r="X2" s="667"/>
    </row>
    <row r="3" spans="2:43" ht="25.2" customHeight="1">
      <c r="B3" s="668" t="s">
        <v>137</v>
      </c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  <c r="N3" s="668"/>
      <c r="O3" s="668"/>
      <c r="P3" s="668"/>
      <c r="Q3" s="668"/>
      <c r="R3" s="668"/>
      <c r="S3" s="668"/>
      <c r="T3" s="668"/>
      <c r="U3" s="668"/>
      <c r="V3" s="668"/>
      <c r="W3" s="668"/>
      <c r="X3" s="668"/>
    </row>
    <row r="4" spans="2:43" ht="25.2" customHeight="1">
      <c r="B4" s="668">
        <f>UPPER(""&amp;#REF!)</f>
      </c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  <c r="N4" s="668"/>
      <c r="O4" s="668"/>
      <c r="P4" s="668"/>
      <c r="Q4" s="668"/>
      <c r="R4" s="668"/>
      <c r="S4" s="668"/>
      <c r="T4" s="668"/>
      <c r="U4" s="668"/>
      <c r="V4" s="668"/>
      <c r="W4" s="668"/>
      <c r="X4" s="668"/>
      <c r="AC4" s="251"/>
      <c r="AI4" s="247"/>
      <c r="AJ4" s="248"/>
      <c r="AL4" s="466" t="s">
        <v>51</v>
      </c>
    </row>
    <row r="5" spans="2:43" ht="25.2" customHeight="1">
      <c r="B5" s="668" t="s">
        <v>138</v>
      </c>
      <c r="C5" s="668"/>
      <c r="D5" s="668"/>
      <c r="E5" s="668"/>
      <c r="F5" s="668"/>
      <c r="G5" s="668"/>
      <c r="H5" s="668"/>
      <c r="I5" s="668"/>
      <c r="J5" s="668"/>
      <c r="K5" s="668"/>
      <c r="L5" s="668"/>
      <c r="M5" s="668"/>
      <c r="N5" s="668"/>
      <c r="O5" s="668"/>
      <c r="P5" s="668"/>
      <c r="Q5" s="668"/>
      <c r="R5" s="668"/>
      <c r="S5" s="668"/>
      <c r="T5" s="668"/>
      <c r="U5" s="668"/>
      <c r="V5" s="668"/>
      <c r="W5" s="668"/>
      <c r="X5" s="668"/>
      <c r="AC5" s="251"/>
      <c r="AG5" s="247"/>
      <c r="AI5" s="247"/>
      <c r="AJ5" s="249"/>
      <c r="AL5" s="467">
        <v>3</v>
      </c>
    </row>
    <row r="6" spans="2:43" ht="15" customHeight="1" thickBot="1">
      <c r="B6" s="112"/>
      <c r="C6" s="113"/>
      <c r="D6" s="114"/>
      <c r="E6" s="113"/>
      <c r="F6" s="113"/>
      <c r="G6" s="113"/>
      <c r="H6" s="113"/>
      <c r="I6" s="113"/>
      <c r="J6" s="115"/>
      <c r="K6" s="116"/>
      <c r="L6" s="117"/>
      <c r="M6" s="117"/>
      <c r="N6" s="118"/>
      <c r="O6" s="115"/>
      <c r="P6" s="119"/>
      <c r="Q6" s="119"/>
      <c r="R6" s="120"/>
      <c r="S6" s="120"/>
      <c r="T6" s="120"/>
      <c r="U6" s="120"/>
      <c r="V6" s="120"/>
      <c r="W6" s="120"/>
      <c r="X6" s="120"/>
    </row>
    <row r="7" spans="2:43" s="103" customFormat="1" ht="25.2" customHeight="1">
      <c r="B7" s="669" t="s">
        <v>139</v>
      </c>
      <c r="C7" s="672" t="s">
        <v>140</v>
      </c>
      <c r="D7" s="673"/>
      <c r="E7" s="673"/>
      <c r="F7" s="673"/>
      <c r="G7" s="673"/>
      <c r="H7" s="673"/>
      <c r="I7" s="674"/>
      <c r="J7" s="681" t="s">
        <v>141</v>
      </c>
      <c r="K7" s="684" t="s">
        <v>142</v>
      </c>
      <c r="L7" s="685"/>
      <c r="M7" s="686"/>
      <c r="N7" s="690" t="s">
        <v>143</v>
      </c>
      <c r="O7" s="681" t="s">
        <v>141</v>
      </c>
      <c r="P7" s="693" t="s">
        <v>144</v>
      </c>
      <c r="Q7" s="693" t="s">
        <v>145</v>
      </c>
      <c r="R7" s="121" t="s">
        <v>146</v>
      </c>
      <c r="S7" s="696" t="s">
        <v>147</v>
      </c>
      <c r="T7" s="696"/>
      <c r="U7" s="696" t="s">
        <v>148</v>
      </c>
      <c r="V7" s="696"/>
      <c r="W7" s="696" t="s">
        <v>149</v>
      </c>
      <c r="X7" s="697"/>
      <c r="AJ7" s="250"/>
      <c r="AL7" s="457" t="s">
        <v>171</v>
      </c>
    </row>
    <row r="8" spans="2:43" s="103" customFormat="1" ht="25.2" customHeight="1">
      <c r="B8" s="670"/>
      <c r="C8" s="675"/>
      <c r="D8" s="676"/>
      <c r="E8" s="676"/>
      <c r="F8" s="676"/>
      <c r="G8" s="676"/>
      <c r="H8" s="676"/>
      <c r="I8" s="677"/>
      <c r="J8" s="682"/>
      <c r="K8" s="687"/>
      <c r="L8" s="688"/>
      <c r="M8" s="689"/>
      <c r="N8" s="691"/>
      <c r="O8" s="682"/>
      <c r="P8" s="694"/>
      <c r="Q8" s="694"/>
      <c r="R8" s="698" t="s">
        <v>152</v>
      </c>
      <c r="S8" s="661" t="s">
        <v>153</v>
      </c>
      <c r="T8" s="661" t="s">
        <v>146</v>
      </c>
      <c r="U8" s="661" t="s">
        <v>153</v>
      </c>
      <c r="V8" s="661" t="s">
        <v>146</v>
      </c>
      <c r="W8" s="661" t="s">
        <v>153</v>
      </c>
      <c r="X8" s="656" t="s">
        <v>146</v>
      </c>
    </row>
    <row r="9" spans="2:43" s="103" customFormat="1" ht="32.25" customHeight="1" thickBot="1">
      <c r="B9" s="671"/>
      <c r="C9" s="678"/>
      <c r="D9" s="679"/>
      <c r="E9" s="679"/>
      <c r="F9" s="679"/>
      <c r="G9" s="679"/>
      <c r="H9" s="679"/>
      <c r="I9" s="680"/>
      <c r="J9" s="683"/>
      <c r="K9" s="122" t="s">
        <v>143</v>
      </c>
      <c r="L9" s="122" t="s">
        <v>154</v>
      </c>
      <c r="M9" s="122" t="s">
        <v>155</v>
      </c>
      <c r="N9" s="692"/>
      <c r="O9" s="683"/>
      <c r="P9" s="695"/>
      <c r="Q9" s="695"/>
      <c r="R9" s="662"/>
      <c r="S9" s="662"/>
      <c r="T9" s="662"/>
      <c r="U9" s="662"/>
      <c r="V9" s="662"/>
      <c r="W9" s="662"/>
      <c r="X9" s="657"/>
      <c r="AL9" s="458" t="s">
        <v>156</v>
      </c>
      <c r="AM9" s="458" t="s">
        <v>157</v>
      </c>
      <c r="AN9" s="458" t="s">
        <v>158</v>
      </c>
      <c r="AO9" s="458" t="s">
        <v>159</v>
      </c>
      <c r="AP9" s="458" t="s">
        <v>160</v>
      </c>
      <c r="AQ9" s="458" t="s">
        <v>161</v>
      </c>
    </row>
    <row r="10" spans="2:43" s="104" customFormat="1" ht="25.2" customHeight="1">
      <c r="B10" s="123"/>
      <c r="C10" s="124"/>
      <c r="D10" s="125"/>
      <c r="E10" s="126"/>
      <c r="F10" s="126"/>
      <c r="G10" s="126"/>
      <c r="H10" s="126"/>
      <c r="I10" s="126"/>
      <c r="J10" s="127"/>
      <c r="K10" s="127"/>
      <c r="L10" s="128"/>
      <c r="M10" s="127"/>
      <c r="N10" s="129"/>
      <c r="O10" s="127"/>
      <c r="P10" s="130"/>
      <c r="Q10" s="130"/>
      <c r="R10" s="129"/>
      <c r="S10" s="129"/>
      <c r="T10" s="129"/>
      <c r="U10" s="129"/>
      <c r="V10" s="129"/>
      <c r="W10" s="129"/>
      <c r="X10" s="131"/>
      <c r="AL10" s="459"/>
      <c r="AM10" s="459"/>
      <c r="AN10" s="459"/>
      <c r="AO10" s="459"/>
      <c r="AP10" s="459"/>
      <c r="AQ10" s="459"/>
    </row>
    <row r="11" spans="2:43" s="105" customFormat="1" ht="64.8" customHeight="1">
      <c r="B11" s="123"/>
      <c r="C11" s="706">
        <f>DATA!$B$6</f>
      </c>
      <c r="D11" s="707"/>
      <c r="E11" s="707"/>
      <c r="F11" s="707"/>
      <c r="G11" s="707"/>
      <c r="H11" s="707"/>
      <c r="I11" s="708"/>
      <c r="J11" s="136"/>
      <c r="K11" s="137"/>
      <c r="L11" s="138"/>
      <c r="M11" s="139"/>
      <c r="N11" s="167"/>
      <c r="O11" s="167"/>
      <c r="P11" s="134"/>
      <c r="Q11" s="167"/>
      <c r="R11" s="201"/>
      <c r="S11" s="135"/>
      <c r="T11" s="201"/>
      <c r="U11" s="213"/>
      <c r="V11" s="201"/>
      <c r="W11" s="170"/>
      <c r="X11" s="202"/>
      <c r="AC11" s="105" t="s">
        <v>165</v>
      </c>
      <c r="AL11" s="460"/>
      <c r="AM11" s="460"/>
      <c r="AN11" s="460"/>
      <c r="AO11" s="460"/>
      <c r="AP11" s="460"/>
      <c r="AQ11" s="460"/>
    </row>
    <row r="12" spans="2:43" s="105" customFormat="1" ht="27" customHeight="1">
      <c r="B12" s="383">
        <f>#REF!</f>
      </c>
      <c r="C12" s="384"/>
      <c r="D12" s="385">
        <f>IF(#REF!&lt;&gt;"",#REF!,IF(#REF!&lt;&gt;"",#REF!,""))</f>
      </c>
      <c r="E12" s="386"/>
      <c r="F12" s="387"/>
      <c r="G12" s="387"/>
      <c r="H12" s="388"/>
      <c r="I12" s="389"/>
      <c r="J12" s="390"/>
      <c r="K12" s="391"/>
      <c r="L12" s="392"/>
      <c r="M12" s="393"/>
      <c r="N12" s="394"/>
      <c r="O12" s="394"/>
      <c r="P12" s="395"/>
      <c r="Q12" s="396"/>
      <c r="R12" s="397"/>
      <c r="S12" s="398"/>
      <c r="T12" s="397"/>
      <c r="U12" s="398"/>
      <c r="V12" s="397"/>
      <c r="W12" s="399"/>
      <c r="X12" s="400"/>
      <c r="AL12" s="460"/>
      <c r="AM12" s="460"/>
      <c r="AN12" s="460"/>
      <c r="AO12" s="460"/>
      <c r="AP12" s="460"/>
      <c r="AQ12" s="460"/>
    </row>
    <row r="13" spans="2:43" s="105" customFormat="1" ht="27" customHeight="1">
      <c r="B13" s="123">
        <f>#REF!</f>
      </c>
      <c r="C13" s="373"/>
      <c r="D13" s="374">
        <f>IF(#REF!&lt;&gt;"",#REF!,IF(#REF!&lt;&gt;"",#REF!,""))</f>
      </c>
      <c r="E13" s="375"/>
      <c r="F13" s="376"/>
      <c r="G13" s="376"/>
      <c r="H13" s="377"/>
      <c r="I13" s="378"/>
      <c r="J13" s="379"/>
      <c r="K13" s="380"/>
      <c r="L13" s="381"/>
      <c r="M13" s="382"/>
      <c r="N13" s="167"/>
      <c r="O13" s="167"/>
      <c r="P13" s="260"/>
      <c r="Q13" s="168"/>
      <c r="R13" s="201"/>
      <c r="S13" s="135"/>
      <c r="T13" s="201"/>
      <c r="U13" s="213"/>
      <c r="V13" s="201"/>
      <c r="W13" s="244"/>
      <c r="X13" s="202"/>
      <c r="AL13" s="460"/>
      <c r="AM13" s="460"/>
      <c r="AN13" s="460"/>
      <c r="AO13" s="460"/>
      <c r="AP13" s="460"/>
      <c r="AQ13" s="460"/>
    </row>
    <row r="14" spans="2:43" s="105" customFormat="1" ht="27" customHeight="1">
      <c r="B14" s="243">
        <f>#REF!</f>
      </c>
      <c r="C14" s="232"/>
      <c r="D14" s="164">
        <f>IF(#REF!&lt;&gt;"",#REF!,IF(#REF!&lt;&gt;"",#REF!,""))</f>
      </c>
      <c r="E14" s="235"/>
      <c r="F14" s="236"/>
      <c r="G14" s="236"/>
      <c r="H14" s="237"/>
      <c r="I14" s="238"/>
      <c r="J14" s="239"/>
      <c r="K14" s="240"/>
      <c r="L14" s="241"/>
      <c r="M14" s="242"/>
      <c r="N14" s="167">
        <f>#REF!</f>
      </c>
      <c r="O14" s="167">
        <f>#REF!</f>
      </c>
      <c r="P14" s="260">
        <f>#REF!</f>
      </c>
      <c r="Q14" s="168">
        <f>P14*N14</f>
      </c>
      <c r="R14" s="425">
        <f>IFERROR(Q14/$Q$166,0)</f>
      </c>
      <c r="S14" s="135">
        <f ca="1">IF($AL$5&lt;=1,0,SUM(OFFSET('rincian '!#REF!,0,0,1,$AL$5-1)))</f>
      </c>
      <c r="T14" s="425">
        <f ca="1">IFERROR(S14/N14*R14,0)</f>
      </c>
      <c r="U14" s="213" cm="1">
        <f t="array" ref="U14">IFERROR(INDEX('rincian '!#REF!,$AL$5),0)</f>
      </c>
      <c r="V14" s="425">
        <f>IFERROR(U14/N14*R14,0)</f>
      </c>
      <c r="W14" s="244">
        <f t="shared" ref="W14:X17" ca="1" si="0">S14+U14</f>
      </c>
      <c r="X14" s="202">
        <f t="shared" ca="1" si="0"/>
      </c>
      <c r="AL14" s="460"/>
      <c r="AM14" s="460"/>
      <c r="AN14" s="460"/>
      <c r="AO14" s="460"/>
      <c r="AP14" s="460"/>
      <c r="AQ14" s="460"/>
    </row>
    <row r="15" spans="2:43" s="105" customFormat="1" ht="40.049999999999997" customHeight="1">
      <c r="B15" s="243">
        <f>#REF!</f>
      </c>
      <c r="C15" s="232"/>
      <c r="D15" s="704">
        <f>IF(#REF!&lt;&gt;"",#REF!,IF(#REF!&lt;&gt;"",#REF!,""))</f>
      </c>
      <c r="E15" s="704"/>
      <c r="F15" s="704"/>
      <c r="G15" s="704"/>
      <c r="H15" s="704"/>
      <c r="I15" s="704"/>
      <c r="J15" s="704"/>
      <c r="K15" s="704"/>
      <c r="L15" s="704"/>
      <c r="M15" s="705"/>
      <c r="N15" s="167">
        <f>#REF!</f>
      </c>
      <c r="O15" s="167">
        <f>#REF!</f>
      </c>
      <c r="P15" s="260">
        <f>#REF!</f>
      </c>
      <c r="Q15" s="168">
        <f>P15*N15</f>
      </c>
      <c r="R15" s="425">
        <f>IFERROR(Q15/$Q$166,0)</f>
      </c>
      <c r="S15" s="135">
        <f ca="1">IF($AL$5&lt;=1,0,SUM(OFFSET('rincian '!$AL15,0,0,1,$AL$5-1)))</f>
      </c>
      <c r="T15" s="425">
        <f ca="1">IFERROR(S15/N15*R15,0)</f>
      </c>
      <c r="U15" s="213" cm="1">
        <f t="array" ref="U15">IFERROR(INDEX('rincian '!$AL15:$AQ15,$AL$5),0)</f>
      </c>
      <c r="V15" s="425">
        <f>IFERROR(U15/N15*R15,0)</f>
      </c>
      <c r="W15" s="244">
        <f t="shared" ca="1" si="0"/>
      </c>
      <c r="X15" s="202">
        <f t="shared" ca="1" si="0"/>
      </c>
      <c r="AL15" s="460"/>
      <c r="AM15" s="460"/>
      <c r="AN15" s="460"/>
      <c r="AO15" s="460"/>
      <c r="AP15" s="460"/>
      <c r="AQ15" s="460"/>
    </row>
    <row r="16" spans="2:43" s="105" customFormat="1" ht="40.049999999999997" customHeight="1">
      <c r="B16" s="243">
        <f>#REF!</f>
      </c>
      <c r="C16" s="232"/>
      <c r="D16" s="704">
        <f>IF(#REF!&lt;&gt;"",#REF!,IF(#REF!&lt;&gt;"",#REF!,""))</f>
      </c>
      <c r="E16" s="704"/>
      <c r="F16" s="704"/>
      <c r="G16" s="704"/>
      <c r="H16" s="704"/>
      <c r="I16" s="704"/>
      <c r="J16" s="704"/>
      <c r="K16" s="704"/>
      <c r="L16" s="704"/>
      <c r="M16" s="705"/>
      <c r="N16" s="167">
        <f>#REF!</f>
      </c>
      <c r="O16" s="167">
        <f>#REF!</f>
      </c>
      <c r="P16" s="260">
        <f>#REF!</f>
      </c>
      <c r="Q16" s="168">
        <f>P16*N16</f>
      </c>
      <c r="R16" s="425">
        <f>IFERROR(Q16/$Q$166,0)</f>
      </c>
      <c r="S16" s="135">
        <f ca="1">IF($AL$5&lt;=1,0,SUM(OFFSET('rincian '!$AL16,0,0,1,$AL$5-1)))</f>
      </c>
      <c r="T16" s="425">
        <f ca="1">IFERROR(S16/N16*R16,0)</f>
      </c>
      <c r="U16" s="213" cm="1">
        <f t="array" ref="U16">IFERROR(INDEX('rincian '!$AL16:$AQ16,$AL$5),0)</f>
      </c>
      <c r="V16" s="425">
        <f>IFERROR(U16/N16*R16,0)</f>
      </c>
      <c r="W16" s="244">
        <f t="shared" ca="1" si="0"/>
      </c>
      <c r="X16" s="202">
        <f t="shared" ca="1" si="0"/>
      </c>
      <c r="AL16" s="460"/>
      <c r="AM16" s="460"/>
      <c r="AN16" s="460"/>
      <c r="AO16" s="460"/>
      <c r="AP16" s="460"/>
      <c r="AQ16" s="460"/>
    </row>
    <row r="17" spans="2:43" s="105" customFormat="1" ht="40.049999999999997" customHeight="1">
      <c r="B17" s="243">
        <f>#REF!</f>
      </c>
      <c r="C17" s="232"/>
      <c r="D17" s="704">
        <f>IF(#REF!&lt;&gt;"",#REF!,IF(#REF!&lt;&gt;"",#REF!,""))</f>
      </c>
      <c r="E17" s="704"/>
      <c r="F17" s="704"/>
      <c r="G17" s="704"/>
      <c r="H17" s="704"/>
      <c r="I17" s="704"/>
      <c r="J17" s="704"/>
      <c r="K17" s="704"/>
      <c r="L17" s="704"/>
      <c r="M17" s="705"/>
      <c r="N17" s="167">
        <f>#REF!</f>
      </c>
      <c r="O17" s="167">
        <f>#REF!</f>
      </c>
      <c r="P17" s="260">
        <f>#REF!</f>
      </c>
      <c r="Q17" s="168">
        <f>P17*N17</f>
      </c>
      <c r="R17" s="425">
        <f>IFERROR(Q17/$Q$166,0)</f>
      </c>
      <c r="S17" s="135">
        <f ca="1">IF($AL$5&lt;=1,0,SUM(OFFSET('rincian '!$AL17,0,0,1,$AL$5-1)))</f>
      </c>
      <c r="T17" s="425">
        <f ca="1">IFERROR(S17/N17*R17,0)</f>
      </c>
      <c r="U17" s="213" cm="1">
        <f t="array" ref="U17">IFERROR(INDEX('rincian '!$AL17:$AQ17,$AL$5),0)</f>
      </c>
      <c r="V17" s="425">
        <f>IFERROR(U17/N17*R17,0)</f>
      </c>
      <c r="W17" s="244">
        <f t="shared" ca="1" si="0"/>
      </c>
      <c r="X17" s="202">
        <f t="shared" ca="1" si="0"/>
      </c>
      <c r="AL17" s="460"/>
      <c r="AM17" s="460"/>
      <c r="AN17" s="460"/>
      <c r="AO17" s="460"/>
      <c r="AP17" s="460"/>
      <c r="AQ17" s="460"/>
    </row>
    <row r="18" spans="2:43" s="105" customFormat="1" ht="27" customHeight="1">
      <c r="B18" s="123">
        <f>#REF!</f>
      </c>
      <c r="C18" s="373"/>
      <c r="D18" s="374">
        <f>IF(#REF!&lt;&gt;"",#REF!,IF(#REF!&lt;&gt;"",#REF!,""))</f>
      </c>
      <c r="E18" s="375"/>
      <c r="F18" s="376"/>
      <c r="G18" s="376"/>
      <c r="H18" s="377"/>
      <c r="I18" s="378"/>
      <c r="J18" s="379"/>
      <c r="K18" s="380"/>
      <c r="L18" s="381"/>
      <c r="M18" s="382"/>
      <c r="N18" s="167"/>
      <c r="O18" s="167"/>
      <c r="P18" s="260"/>
      <c r="Q18" s="168"/>
      <c r="R18" s="425"/>
      <c r="S18" s="135"/>
      <c r="T18" s="425"/>
      <c r="U18" s="213"/>
      <c r="V18" s="425"/>
      <c r="W18" s="244"/>
      <c r="X18" s="202"/>
      <c r="AL18" s="460"/>
      <c r="AM18" s="460"/>
      <c r="AN18" s="460"/>
      <c r="AO18" s="460"/>
      <c r="AP18" s="460"/>
      <c r="AQ18" s="460"/>
    </row>
    <row r="19" spans="2:43" s="105" customFormat="1" ht="27" customHeight="1">
      <c r="B19" s="370">
        <f>#REF!</f>
      </c>
      <c r="C19" s="232"/>
      <c r="D19" s="164">
        <f>IF(#REF!&lt;&gt;"",#REF!,IF(#REF!&lt;&gt;"",#REF!,""))</f>
      </c>
      <c r="E19" s="235"/>
      <c r="F19" s="236"/>
      <c r="G19" s="236"/>
      <c r="H19" s="237"/>
      <c r="I19" s="238"/>
      <c r="J19" s="239"/>
      <c r="K19" s="240"/>
      <c r="L19" s="241"/>
      <c r="M19" s="242"/>
      <c r="N19" s="167">
        <f>#REF!</f>
      </c>
      <c r="O19" s="167">
        <f>#REF!</f>
      </c>
      <c r="P19" s="260">
        <f>#REF!</f>
      </c>
      <c r="Q19" s="168">
        <f t="shared" ref="Q19:Q24" si="1">P19*N19</f>
      </c>
      <c r="R19" s="425">
        <f t="shared" ref="R19:R24" si="2">IFERROR(Q19/$Q$166,0)</f>
      </c>
      <c r="S19" s="371">
        <f ca="1">IF($AL$5&lt;=1,0,SUM(OFFSET('rincian '!$AL19,0,0,1,$AL$5-1)))</f>
      </c>
      <c r="T19" s="425">
        <f t="shared" ref="T19:T24" ca="1" si="3">IFERROR(S19/N19*R19,0)</f>
      </c>
      <c r="U19" s="372" cm="1">
        <f t="array" ref="U19">IFERROR(INDEX('rincian '!$AL19:$AQ19,$AL$5),0)</f>
      </c>
      <c r="V19" s="425">
        <f>IFERROR(U19/N19*R19,0)</f>
      </c>
      <c r="W19" s="244">
        <f t="shared" ref="W19:X24" ca="1" si="4">S19+U19</f>
      </c>
      <c r="X19" s="202">
        <f t="shared" ca="1" si="4"/>
      </c>
      <c r="AL19" s="460"/>
      <c r="AM19" s="460"/>
      <c r="AN19" s="460"/>
      <c r="AO19" s="460"/>
      <c r="AP19" s="460"/>
      <c r="AQ19" s="460"/>
    </row>
    <row r="20" spans="2:43" s="105" customFormat="1" ht="27" customHeight="1">
      <c r="B20" s="370">
        <f>#REF!</f>
      </c>
      <c r="C20" s="232"/>
      <c r="D20" s="164">
        <f>IF(#REF!&lt;&gt;"",#REF!,IF(#REF!&lt;&gt;"",#REF!,""))</f>
      </c>
      <c r="E20" s="235"/>
      <c r="F20" s="236"/>
      <c r="G20" s="236"/>
      <c r="H20" s="237"/>
      <c r="I20" s="238"/>
      <c r="J20" s="239"/>
      <c r="K20" s="240"/>
      <c r="L20" s="241"/>
      <c r="M20" s="242"/>
      <c r="N20" s="167">
        <f>#REF!</f>
      </c>
      <c r="O20" s="167">
        <f>#REF!</f>
      </c>
      <c r="P20" s="260">
        <f>#REF!</f>
      </c>
      <c r="Q20" s="168">
        <f t="shared" si="1"/>
      </c>
      <c r="R20" s="425">
        <f t="shared" si="2"/>
      </c>
      <c r="S20" s="371">
        <f ca="1">IF($AL$5&lt;=1,0,SUM(OFFSET('rincian '!$AL20,0,0,1,$AL$5-1)))</f>
      </c>
      <c r="T20" s="425">
        <f t="shared" ca="1" si="3"/>
      </c>
      <c r="U20" s="372" cm="1">
        <f t="array" ref="U20">IFERROR(INDEX('rincian '!$AL20:$AQ20,$AL$5),0)</f>
      </c>
      <c r="V20" s="425">
        <f t="shared" ref="V20:V24" si="5">IFERROR(U20/N20*R20,0)</f>
      </c>
      <c r="W20" s="244">
        <f t="shared" ca="1" si="4"/>
      </c>
      <c r="X20" s="202">
        <f t="shared" ca="1" si="4"/>
      </c>
      <c r="AL20" s="460"/>
      <c r="AM20" s="460"/>
      <c r="AN20" s="460"/>
      <c r="AO20" s="460"/>
      <c r="AP20" s="460"/>
      <c r="AQ20" s="460"/>
    </row>
    <row r="21" spans="2:43" s="105" customFormat="1" ht="27" customHeight="1">
      <c r="B21" s="370">
        <f>#REF!</f>
      </c>
      <c r="C21" s="232"/>
      <c r="D21" s="164">
        <f>IF(#REF!&lt;&gt;"",#REF!,IF(#REF!&lt;&gt;"",#REF!,""))</f>
      </c>
      <c r="E21" s="235"/>
      <c r="F21" s="236"/>
      <c r="G21" s="236"/>
      <c r="H21" s="237"/>
      <c r="I21" s="238"/>
      <c r="J21" s="239"/>
      <c r="K21" s="240"/>
      <c r="L21" s="241"/>
      <c r="M21" s="242"/>
      <c r="N21" s="167">
        <f>#REF!</f>
      </c>
      <c r="O21" s="167">
        <f>#REF!</f>
      </c>
      <c r="P21" s="260">
        <f>#REF!</f>
      </c>
      <c r="Q21" s="168">
        <f t="shared" si="1"/>
      </c>
      <c r="R21" s="425">
        <f t="shared" si="2"/>
      </c>
      <c r="S21" s="371">
        <f ca="1">IF($AL$5&lt;=1,0,SUM(OFFSET('rincian '!$AL21,0,0,1,$AL$5-1)))</f>
      </c>
      <c r="T21" s="425">
        <f t="shared" ca="1" si="3"/>
      </c>
      <c r="U21" s="372" cm="1">
        <f t="array" ref="U21">IFERROR(INDEX('rincian '!$AL21:$AQ21,$AL$5),0)</f>
      </c>
      <c r="V21" s="425">
        <f t="shared" si="5"/>
      </c>
      <c r="W21" s="244">
        <f t="shared" ca="1" si="4"/>
      </c>
      <c r="X21" s="202">
        <f t="shared" ca="1" si="4"/>
      </c>
      <c r="AL21" s="460"/>
      <c r="AM21" s="460"/>
      <c r="AN21" s="460"/>
      <c r="AO21" s="460"/>
      <c r="AP21" s="460"/>
      <c r="AQ21" s="460"/>
    </row>
    <row r="22" spans="2:43" s="105" customFormat="1" ht="27" customHeight="1">
      <c r="B22" s="370">
        <f>#REF!</f>
      </c>
      <c r="C22" s="232"/>
      <c r="D22" s="164">
        <f>IF(#REF!&lt;&gt;"",#REF!,IF(#REF!&lt;&gt;"",#REF!,""))</f>
      </c>
      <c r="E22" s="235"/>
      <c r="F22" s="236"/>
      <c r="G22" s="236"/>
      <c r="H22" s="237"/>
      <c r="I22" s="238"/>
      <c r="J22" s="239"/>
      <c r="K22" s="240"/>
      <c r="L22" s="241"/>
      <c r="M22" s="242"/>
      <c r="N22" s="167">
        <f>#REF!</f>
      </c>
      <c r="O22" s="167">
        <f>#REF!</f>
      </c>
      <c r="P22" s="260">
        <f>#REF!</f>
      </c>
      <c r="Q22" s="168">
        <f t="shared" si="1"/>
      </c>
      <c r="R22" s="425">
        <f t="shared" si="2"/>
      </c>
      <c r="S22" s="371">
        <f ca="1">IF($AL$5&lt;=1,0,SUM(OFFSET('rincian '!$AL22,0,0,1,$AL$5-1)))</f>
      </c>
      <c r="T22" s="425">
        <f t="shared" ca="1" si="3"/>
      </c>
      <c r="U22" s="372" cm="1">
        <f t="array" ref="U22">IFERROR(INDEX('rincian '!$AL22:$AQ22,$AL$5),0)</f>
      </c>
      <c r="V22" s="425">
        <f t="shared" si="5"/>
      </c>
      <c r="W22" s="244">
        <f t="shared" ca="1" si="4"/>
      </c>
      <c r="X22" s="202">
        <f t="shared" ca="1" si="4"/>
      </c>
      <c r="AL22" s="460"/>
      <c r="AM22" s="460"/>
      <c r="AN22" s="460"/>
      <c r="AO22" s="460"/>
      <c r="AP22" s="460"/>
      <c r="AQ22" s="460"/>
    </row>
    <row r="23" spans="2:43" s="105" customFormat="1" ht="27" customHeight="1">
      <c r="B23" s="370">
        <f>#REF!</f>
      </c>
      <c r="C23" s="232"/>
      <c r="D23" s="164">
        <f>IF(#REF!&lt;&gt;"",#REF!,IF(#REF!&lt;&gt;"",#REF!,""))</f>
      </c>
      <c r="E23" s="235"/>
      <c r="F23" s="236"/>
      <c r="G23" s="236"/>
      <c r="H23" s="237"/>
      <c r="I23" s="238"/>
      <c r="J23" s="239"/>
      <c r="K23" s="240"/>
      <c r="L23" s="241"/>
      <c r="M23" s="242"/>
      <c r="N23" s="167">
        <f>#REF!</f>
      </c>
      <c r="O23" s="167">
        <f>#REF!</f>
      </c>
      <c r="P23" s="260">
        <f>#REF!</f>
      </c>
      <c r="Q23" s="168">
        <f t="shared" si="1"/>
      </c>
      <c r="R23" s="425">
        <f t="shared" si="2"/>
      </c>
      <c r="S23" s="371">
        <f ca="1">IF($AL$5&lt;=1,0,SUM(OFFSET('rincian '!#REF!,0,0,1,$AL$5-1)))</f>
      </c>
      <c r="T23" s="425">
        <f t="shared" ca="1" si="3"/>
      </c>
      <c r="U23" s="372" cm="1">
        <f t="array" ref="U23">IFERROR(INDEX('rincian '!#REF!,$AL$5),0)</f>
      </c>
      <c r="V23" s="425">
        <f t="shared" si="5"/>
      </c>
      <c r="W23" s="244">
        <f t="shared" ca="1" si="4"/>
      </c>
      <c r="X23" s="202">
        <f t="shared" ca="1" si="4"/>
      </c>
      <c r="AL23" s="460"/>
      <c r="AM23" s="460"/>
      <c r="AN23" s="460"/>
      <c r="AO23" s="460"/>
      <c r="AP23" s="460"/>
      <c r="AQ23" s="460"/>
    </row>
    <row r="24" spans="2:43" s="105" customFormat="1" ht="27" customHeight="1">
      <c r="B24" s="401">
        <f>#REF!</f>
      </c>
      <c r="C24" s="373"/>
      <c r="D24" s="374">
        <f>IF(#REF!&lt;&gt;"",#REF!,IF(#REF!&lt;&gt;"",#REF!,""))</f>
      </c>
      <c r="E24" s="375"/>
      <c r="F24" s="376"/>
      <c r="G24" s="376"/>
      <c r="H24" s="377"/>
      <c r="I24" s="378"/>
      <c r="J24" s="379"/>
      <c r="K24" s="380"/>
      <c r="L24" s="381"/>
      <c r="M24" s="382"/>
      <c r="N24" s="167">
        <f>#REF!</f>
      </c>
      <c r="O24" s="167">
        <f>#REF!</f>
      </c>
      <c r="P24" s="260">
        <f>#REF!</f>
      </c>
      <c r="Q24" s="168">
        <f t="shared" si="1"/>
      </c>
      <c r="R24" s="425">
        <f t="shared" si="2"/>
      </c>
      <c r="S24" s="371">
        <f ca="1">IF($AL$5&lt;=1,0,SUM(OFFSET('rincian '!$AL24,0,0,1,$AL$5-1)))</f>
      </c>
      <c r="T24" s="425">
        <f t="shared" ca="1" si="3"/>
      </c>
      <c r="U24" s="372" cm="1">
        <f t="array" ref="U24">IFERROR(INDEX('rincian '!$AL24:$AQ24,$AL$5),0)</f>
      </c>
      <c r="V24" s="425">
        <f t="shared" si="5"/>
      </c>
      <c r="W24" s="244">
        <f t="shared" ca="1" si="4"/>
      </c>
      <c r="X24" s="202">
        <f t="shared" ca="1" si="4"/>
      </c>
      <c r="AL24" s="460"/>
      <c r="AM24" s="460"/>
      <c r="AN24" s="460"/>
      <c r="AO24" s="460"/>
      <c r="AP24" s="460"/>
      <c r="AQ24" s="460"/>
    </row>
    <row r="25" spans="2:43" s="105" customFormat="1" ht="27" customHeight="1">
      <c r="B25" s="401">
        <f>#REF!</f>
      </c>
      <c r="C25" s="373"/>
      <c r="D25" s="374">
        <f>IF(#REF!&lt;&gt;"",#REF!,IF(#REF!&lt;&gt;"",#REF!,""))</f>
      </c>
      <c r="E25" s="375"/>
      <c r="F25" s="376"/>
      <c r="G25" s="376"/>
      <c r="H25" s="377"/>
      <c r="I25" s="378"/>
      <c r="J25" s="379"/>
      <c r="K25" s="380"/>
      <c r="L25" s="381"/>
      <c r="M25" s="382"/>
      <c r="N25" s="167"/>
      <c r="O25" s="167"/>
      <c r="P25" s="260"/>
      <c r="Q25" s="168"/>
      <c r="R25" s="425"/>
      <c r="S25" s="371"/>
      <c r="T25" s="425"/>
      <c r="U25" s="372"/>
      <c r="V25" s="425"/>
      <c r="W25" s="244"/>
      <c r="X25" s="202"/>
      <c r="AL25" s="460"/>
      <c r="AM25" s="460"/>
      <c r="AN25" s="460"/>
      <c r="AO25" s="460"/>
      <c r="AP25" s="460"/>
      <c r="AQ25" s="460"/>
    </row>
    <row r="26" spans="2:43" s="105" customFormat="1" ht="27" customHeight="1">
      <c r="B26" s="370">
        <f>#REF!</f>
      </c>
      <c r="C26" s="232"/>
      <c r="D26" s="164">
        <f>IF(#REF!&lt;&gt;"",#REF!,IF(#REF!&lt;&gt;"",#REF!,""))</f>
      </c>
      <c r="E26" s="235"/>
      <c r="F26" s="236"/>
      <c r="G26" s="236"/>
      <c r="H26" s="237"/>
      <c r="I26" s="238"/>
      <c r="J26" s="239"/>
      <c r="K26" s="240"/>
      <c r="L26" s="241"/>
      <c r="M26" s="242"/>
      <c r="N26" s="167">
        <f>#REF!</f>
      </c>
      <c r="O26" s="167">
        <f>#REF!</f>
      </c>
      <c r="P26" s="260">
        <f>#REF!</f>
      </c>
      <c r="Q26" s="168">
        <f>P26*N26</f>
      </c>
      <c r="R26" s="425">
        <f>IFERROR(Q26/$Q$166,0)</f>
      </c>
      <c r="S26" s="371">
        <f ca="1">IF($AL$5&lt;=1,0,SUM(OFFSET('rincian '!$AL36,0,0,1,$AL$5-1)))</f>
      </c>
      <c r="T26" s="425">
        <f ca="1">IFERROR(S26/N26*R26,0)</f>
      </c>
      <c r="U26" s="372" cm="1">
        <f t="array" ref="U26">IFERROR(INDEX('rincian '!$AL36:$AQ36,$AL$5),0)</f>
      </c>
      <c r="V26" s="425">
        <f>IFERROR(U26/N26*R26,0)</f>
      </c>
      <c r="W26" s="244">
        <f t="shared" ref="W26:X29" ca="1" si="6">S26+U26</f>
      </c>
      <c r="X26" s="202">
        <f t="shared" ca="1" si="6"/>
      </c>
      <c r="AB26" s="424">
        <f>Q26/Q166</f>
      </c>
      <c r="AL26" s="460"/>
      <c r="AM26" s="460"/>
      <c r="AN26" s="460"/>
      <c r="AO26" s="460"/>
      <c r="AP26" s="460"/>
      <c r="AQ26" s="460"/>
    </row>
    <row r="27" spans="2:43" s="105" customFormat="1" ht="27" customHeight="1">
      <c r="B27" s="370">
        <f>#REF!</f>
      </c>
      <c r="C27" s="232"/>
      <c r="D27" s="164">
        <f>IF(#REF!&lt;&gt;"",#REF!,IF(#REF!&lt;&gt;"",#REF!,""))</f>
      </c>
      <c r="E27" s="235"/>
      <c r="F27" s="236"/>
      <c r="G27" s="236"/>
      <c r="H27" s="237"/>
      <c r="I27" s="238"/>
      <c r="J27" s="239"/>
      <c r="K27" s="240"/>
      <c r="L27" s="241"/>
      <c r="M27" s="242"/>
      <c r="N27" s="167">
        <f>#REF!</f>
      </c>
      <c r="O27" s="167">
        <f>#REF!</f>
      </c>
      <c r="P27" s="260">
        <f>#REF!</f>
      </c>
      <c r="Q27" s="168">
        <f>P27*N27</f>
      </c>
      <c r="R27" s="425">
        <f>IFERROR(Q27/$Q$166,0)</f>
      </c>
      <c r="S27" s="371">
        <f ca="1">IF($AL$5&lt;=1,0,SUM(OFFSET('rincian '!#REF!,0,0,1,$AL$5-1)))</f>
      </c>
      <c r="T27" s="425">
        <f ca="1">IFERROR(S27/N27*R27,0)</f>
      </c>
      <c r="U27" s="372" cm="1">
        <f t="array" ref="U27">IFERROR(INDEX('rincian '!#REF!,$AL$5),0)</f>
      </c>
      <c r="V27" s="425">
        <f t="shared" ref="V27:V29" si="7">IFERROR(U27/N27*R27,0)</f>
      </c>
      <c r="W27" s="244">
        <f t="shared" ca="1" si="6"/>
      </c>
      <c r="X27" s="202">
        <f t="shared" ca="1" si="6"/>
      </c>
      <c r="AL27" s="460"/>
      <c r="AM27" s="460"/>
      <c r="AN27" s="460"/>
      <c r="AO27" s="460"/>
      <c r="AP27" s="460"/>
      <c r="AQ27" s="460"/>
    </row>
    <row r="28" spans="2:43" s="105" customFormat="1" ht="27" customHeight="1">
      <c r="B28" s="370">
        <f>#REF!</f>
      </c>
      <c r="C28" s="232"/>
      <c r="D28" s="164">
        <f>IF(#REF!&lt;&gt;"",#REF!,IF(#REF!&lt;&gt;"",#REF!,""))</f>
      </c>
      <c r="E28" s="235"/>
      <c r="F28" s="236"/>
      <c r="G28" s="236"/>
      <c r="H28" s="237"/>
      <c r="I28" s="238"/>
      <c r="J28" s="239"/>
      <c r="K28" s="240"/>
      <c r="L28" s="241"/>
      <c r="M28" s="242"/>
      <c r="N28" s="167">
        <f>#REF!</f>
      </c>
      <c r="O28" s="167">
        <f>#REF!</f>
      </c>
      <c r="P28" s="260">
        <f>#REF!</f>
      </c>
      <c r="Q28" s="168">
        <f>P28*N28</f>
      </c>
      <c r="R28" s="425">
        <f>IFERROR(Q28/$Q$166,0)</f>
      </c>
      <c r="S28" s="371">
        <f ca="1">IF($AL$5&lt;=1,0,SUM(OFFSET('rincian '!#REF!,0,0,1,$AL$5-1)))</f>
      </c>
      <c r="T28" s="425">
        <f ca="1">IFERROR(S28/N28*R28,0)</f>
      </c>
      <c r="U28" s="372" cm="1">
        <f t="array" ref="U28">IFERROR(INDEX('rincian '!#REF!,$AL$5),0)</f>
      </c>
      <c r="V28" s="425">
        <f t="shared" si="7"/>
      </c>
      <c r="W28" s="244">
        <f t="shared" ca="1" si="6"/>
      </c>
      <c r="X28" s="202">
        <f t="shared" ca="1" si="6"/>
      </c>
      <c r="AL28" s="460"/>
      <c r="AM28" s="460"/>
      <c r="AN28" s="460"/>
      <c r="AO28" s="460"/>
      <c r="AP28" s="460"/>
      <c r="AQ28" s="460"/>
    </row>
    <row r="29" spans="2:43" s="105" customFormat="1" ht="27" customHeight="1">
      <c r="B29" s="370">
        <f>#REF!</f>
      </c>
      <c r="C29" s="232"/>
      <c r="D29" s="164">
        <f>IF(#REF!&lt;&gt;"",#REF!,IF(#REF!&lt;&gt;"",#REF!,""))</f>
      </c>
      <c r="E29" s="235"/>
      <c r="F29" s="236"/>
      <c r="G29" s="236"/>
      <c r="H29" s="237"/>
      <c r="I29" s="238"/>
      <c r="J29" s="239"/>
      <c r="K29" s="240"/>
      <c r="L29" s="241"/>
      <c r="M29" s="242"/>
      <c r="N29" s="167">
        <f>#REF!</f>
      </c>
      <c r="O29" s="167">
        <f>#REF!</f>
      </c>
      <c r="P29" s="260">
        <f>#REF!</f>
      </c>
      <c r="Q29" s="168">
        <f>P29*N29</f>
      </c>
      <c r="R29" s="425">
        <f>IFERROR(Q29/$Q$166,0)</f>
      </c>
      <c r="S29" s="371">
        <f ca="1">IF($AL$5&lt;=1,0,SUM(OFFSET('rincian '!#REF!,0,0,1,$AL$5-1)))</f>
      </c>
      <c r="T29" s="425">
        <f ca="1">IFERROR(S29/N29*R29,0)</f>
      </c>
      <c r="U29" s="372" cm="1">
        <f t="array" ref="U29">IFERROR(INDEX('rincian '!#REF!,$AL$5),0)</f>
      </c>
      <c r="V29" s="425">
        <f t="shared" si="7"/>
      </c>
      <c r="W29" s="244">
        <f t="shared" ca="1" si="6"/>
      </c>
      <c r="X29" s="202">
        <f t="shared" ca="1" si="6"/>
      </c>
      <c r="AL29" s="460"/>
      <c r="AM29" s="460"/>
      <c r="AN29" s="460"/>
      <c r="AO29" s="460"/>
      <c r="AP29" s="460"/>
      <c r="AQ29" s="460"/>
    </row>
    <row r="30" spans="2:43" s="105" customFormat="1" ht="27" customHeight="1">
      <c r="B30" s="401">
        <f>#REF!</f>
      </c>
      <c r="C30" s="373"/>
      <c r="D30" s="374">
        <f>IF(#REF!&lt;&gt;"",#REF!,IF(#REF!&lt;&gt;"",#REF!,""))</f>
      </c>
      <c r="E30" s="375"/>
      <c r="F30" s="376"/>
      <c r="G30" s="376"/>
      <c r="H30" s="377"/>
      <c r="I30" s="378"/>
      <c r="J30" s="379"/>
      <c r="K30" s="380"/>
      <c r="L30" s="381"/>
      <c r="M30" s="382"/>
      <c r="N30" s="167"/>
      <c r="O30" s="167"/>
      <c r="P30" s="260"/>
      <c r="Q30" s="168"/>
      <c r="R30" s="425"/>
      <c r="S30" s="371"/>
      <c r="T30" s="425"/>
      <c r="U30" s="372"/>
      <c r="V30" s="425"/>
      <c r="W30" s="244"/>
      <c r="X30" s="202"/>
      <c r="AL30" s="460"/>
      <c r="AM30" s="460"/>
      <c r="AN30" s="460"/>
      <c r="AO30" s="460"/>
      <c r="AP30" s="460"/>
      <c r="AQ30" s="460"/>
    </row>
    <row r="31" spans="2:43" s="105" customFormat="1" ht="27" customHeight="1">
      <c r="B31" s="370">
        <f>#REF!</f>
      </c>
      <c r="C31" s="232"/>
      <c r="D31" s="164">
        <f>IF(#REF!&lt;&gt;"",#REF!,IF(#REF!&lt;&gt;"",#REF!,""))</f>
      </c>
      <c r="E31" s="235"/>
      <c r="F31" s="236"/>
      <c r="G31" s="236"/>
      <c r="H31" s="237"/>
      <c r="I31" s="238"/>
      <c r="J31" s="239"/>
      <c r="K31" s="240"/>
      <c r="L31" s="241"/>
      <c r="M31" s="242"/>
      <c r="N31" s="167">
        <f>#REF!</f>
      </c>
      <c r="O31" s="167">
        <f>#REF!</f>
      </c>
      <c r="P31" s="260">
        <f>#REF!</f>
      </c>
      <c r="Q31" s="168">
        <f>P31*N31</f>
      </c>
      <c r="R31" s="425">
        <f>IFERROR(Q31/$Q$166,0)</f>
      </c>
      <c r="S31" s="371">
        <f ca="1">IF($AL$5&lt;=1,0,SUM(OFFSET('rincian '!#REF!,0,0,1,$AL$5-1)))</f>
      </c>
      <c r="T31" s="425">
        <f ca="1">IFERROR(S31/N31*R31,0)</f>
      </c>
      <c r="U31" s="372" cm="1">
        <f t="array" ref="U31">IFERROR(INDEX('rincian '!#REF!,$AL$5),0)</f>
      </c>
      <c r="V31" s="425">
        <f>IFERROR(U31/N31*R31,0)</f>
      </c>
      <c r="W31" s="244">
        <f t="shared" ref="W31:X35" ca="1" si="8">S31+U31</f>
      </c>
      <c r="X31" s="202">
        <f t="shared" ca="1" si="8"/>
      </c>
      <c r="AL31" s="460"/>
      <c r="AM31" s="460"/>
      <c r="AN31" s="460"/>
      <c r="AO31" s="460"/>
      <c r="AP31" s="460"/>
      <c r="AQ31" s="460"/>
    </row>
    <row r="32" spans="2:43" s="105" customFormat="1" ht="27" customHeight="1">
      <c r="B32" s="370">
        <f>#REF!</f>
      </c>
      <c r="C32" s="232"/>
      <c r="D32" s="164">
        <f>IF(#REF!&lt;&gt;"",#REF!,IF(#REF!&lt;&gt;"",#REF!,""))</f>
      </c>
      <c r="E32" s="235"/>
      <c r="F32" s="236"/>
      <c r="G32" s="236"/>
      <c r="H32" s="237"/>
      <c r="I32" s="238"/>
      <c r="J32" s="239"/>
      <c r="K32" s="240"/>
      <c r="L32" s="241"/>
      <c r="M32" s="242"/>
      <c r="N32" s="167">
        <f>#REF!</f>
      </c>
      <c r="O32" s="167">
        <f>#REF!</f>
      </c>
      <c r="P32" s="260">
        <f>#REF!</f>
      </c>
      <c r="Q32" s="168">
        <f>P32*N32</f>
      </c>
      <c r="R32" s="425">
        <f>IFERROR(Q32/$Q$166,0)</f>
      </c>
      <c r="S32" s="371">
        <f ca="1">IF($AL$5&lt;=1,0,SUM(OFFSET('rincian '!#REF!,0,0,1,$AL$5-1)))</f>
      </c>
      <c r="T32" s="425">
        <f ca="1">IFERROR(S32/N32*R32,0)</f>
      </c>
      <c r="U32" s="372" cm="1">
        <f t="array" ref="U32">IFERROR(INDEX('rincian '!#REF!,$AL$5),0)</f>
      </c>
      <c r="V32" s="425">
        <f>IFERROR(U32/N32*R32,0)</f>
      </c>
      <c r="W32" s="244">
        <f t="shared" ca="1" si="8"/>
      </c>
      <c r="X32" s="202">
        <f t="shared" ca="1" si="8"/>
      </c>
      <c r="AL32" s="460"/>
      <c r="AM32" s="460"/>
      <c r="AN32" s="460"/>
      <c r="AO32" s="460"/>
      <c r="AP32" s="460"/>
      <c r="AQ32" s="460"/>
    </row>
    <row r="33" spans="2:43" s="105" customFormat="1" ht="27" customHeight="1">
      <c r="B33" s="370">
        <f>#REF!</f>
      </c>
      <c r="C33" s="232"/>
      <c r="D33" s="164">
        <f>IF(#REF!&lt;&gt;"",#REF!,IF(#REF!&lt;&gt;"",#REF!,""))</f>
      </c>
      <c r="E33" s="235"/>
      <c r="F33" s="236"/>
      <c r="G33" s="236"/>
      <c r="H33" s="237"/>
      <c r="I33" s="238"/>
      <c r="J33" s="239"/>
      <c r="K33" s="240"/>
      <c r="L33" s="241"/>
      <c r="M33" s="242"/>
      <c r="N33" s="167">
        <f>#REF!</f>
      </c>
      <c r="O33" s="167">
        <f>#REF!</f>
      </c>
      <c r="P33" s="260">
        <f>#REF!</f>
      </c>
      <c r="Q33" s="168">
        <f>P33*N33</f>
      </c>
      <c r="R33" s="425">
        <f>IFERROR(Q33/$Q$166,0)</f>
      </c>
      <c r="S33" s="371">
        <f ca="1">IF($AL$5&lt;=1,0,SUM(OFFSET('rincian '!#REF!,0,0,1,$AL$5-1)))</f>
      </c>
      <c r="T33" s="425">
        <f ca="1">IFERROR(S33/N33*R33,0)</f>
      </c>
      <c r="U33" s="372" cm="1">
        <f t="array" ref="U33">IFERROR(INDEX('rincian '!#REF!,$AL$5),0)</f>
      </c>
      <c r="V33" s="425">
        <f>IFERROR(U33/N33*R33,0)</f>
      </c>
      <c r="W33" s="244">
        <f t="shared" ca="1" si="8"/>
      </c>
      <c r="X33" s="202">
        <f t="shared" ca="1" si="8"/>
      </c>
      <c r="AL33" s="460"/>
      <c r="AM33" s="460"/>
      <c r="AN33" s="460"/>
      <c r="AO33" s="460"/>
      <c r="AP33" s="460"/>
      <c r="AQ33" s="460"/>
    </row>
    <row r="34" spans="2:43" s="105" customFormat="1" ht="27" customHeight="1">
      <c r="B34" s="370">
        <f>#REF!</f>
      </c>
      <c r="C34" s="232"/>
      <c r="D34" s="164">
        <f>IF(#REF!&lt;&gt;"",#REF!,IF(#REF!&lt;&gt;"",#REF!,""))</f>
      </c>
      <c r="E34" s="235"/>
      <c r="F34" s="236"/>
      <c r="G34" s="236"/>
      <c r="H34" s="237"/>
      <c r="I34" s="238"/>
      <c r="J34" s="239"/>
      <c r="K34" s="240"/>
      <c r="L34" s="241"/>
      <c r="M34" s="242"/>
      <c r="N34" s="167">
        <f>#REF!</f>
      </c>
      <c r="O34" s="167">
        <f>#REF!</f>
      </c>
      <c r="P34" s="260">
        <f>#REF!</f>
      </c>
      <c r="Q34" s="168">
        <f>P34*N34</f>
      </c>
      <c r="R34" s="425">
        <f>IFERROR(Q34/$Q$166,0)</f>
      </c>
      <c r="S34" s="371">
        <f ca="1">IF($AL$5&lt;=1,0,SUM(OFFSET('rincian '!#REF!,0,0,1,$AL$5-1)))</f>
      </c>
      <c r="T34" s="425">
        <f ca="1">IFERROR(S34/N34*R34,0)</f>
      </c>
      <c r="U34" s="372" cm="1">
        <f t="array" ref="U34">IFERROR(INDEX('rincian '!#REF!,$AL$5),0)</f>
      </c>
      <c r="V34" s="425">
        <f>IFERROR(U34/N34*R34,0)</f>
      </c>
      <c r="W34" s="244">
        <f t="shared" ca="1" si="8"/>
      </c>
      <c r="X34" s="202">
        <f t="shared" ca="1" si="8"/>
      </c>
      <c r="AL34" s="460"/>
      <c r="AM34" s="460"/>
      <c r="AN34" s="460"/>
      <c r="AO34" s="460"/>
      <c r="AP34" s="460"/>
      <c r="AQ34" s="460"/>
    </row>
    <row r="35" spans="2:43" s="105" customFormat="1" ht="27" customHeight="1">
      <c r="B35" s="370">
        <f>#REF!</f>
      </c>
      <c r="C35" s="232"/>
      <c r="D35" s="164">
        <f>IF(#REF!&lt;&gt;"",#REF!,IF(#REF!&lt;&gt;"",#REF!,""))</f>
      </c>
      <c r="E35" s="235"/>
      <c r="F35" s="236"/>
      <c r="G35" s="236"/>
      <c r="H35" s="237"/>
      <c r="I35" s="238"/>
      <c r="J35" s="239"/>
      <c r="K35" s="240"/>
      <c r="L35" s="241"/>
      <c r="M35" s="242"/>
      <c r="N35" s="167">
        <f>#REF!</f>
      </c>
      <c r="O35" s="167">
        <f>#REF!</f>
      </c>
      <c r="P35" s="260">
        <f>#REF!</f>
      </c>
      <c r="Q35" s="168">
        <f>P35*N35</f>
      </c>
      <c r="R35" s="425">
        <f>IFERROR(Q35/$Q$166,0)</f>
      </c>
      <c r="S35" s="371">
        <f ca="1">IF($AL$5&lt;=1,0,SUM(OFFSET('rincian '!#REF!,0,0,1,$AL$5-1)))</f>
      </c>
      <c r="T35" s="425">
        <f ca="1">IFERROR(S35/N35*R35,0)</f>
      </c>
      <c r="U35" s="372" cm="1">
        <f t="array" ref="U35">IFERROR(INDEX('rincian '!#REF!,$AL$5),0)</f>
      </c>
      <c r="V35" s="425">
        <f>IFERROR(U35/N35*R35,0)</f>
      </c>
      <c r="W35" s="244">
        <f t="shared" ca="1" si="8"/>
      </c>
      <c r="X35" s="202">
        <f t="shared" ca="1" si="8"/>
      </c>
      <c r="AL35" s="460"/>
      <c r="AM35" s="460"/>
      <c r="AN35" s="460"/>
      <c r="AO35" s="460"/>
      <c r="AP35" s="460"/>
      <c r="AQ35" s="460"/>
    </row>
    <row r="36" spans="2:43" s="105" customFormat="1" ht="27" customHeight="1">
      <c r="B36" s="370">
        <f>#REF!</f>
      </c>
      <c r="C36" s="232"/>
      <c r="D36" s="164">
        <f>IF(#REF!&lt;&gt;"",#REF!,IF(#REF!&lt;&gt;"",#REF!,""))</f>
      </c>
      <c r="E36" s="235"/>
      <c r="F36" s="236"/>
      <c r="G36" s="236"/>
      <c r="H36" s="237"/>
      <c r="I36" s="238"/>
      <c r="J36" s="239"/>
      <c r="K36" s="240"/>
      <c r="L36" s="241"/>
      <c r="M36" s="242"/>
      <c r="N36" s="167"/>
      <c r="O36" s="167"/>
      <c r="P36" s="260"/>
      <c r="Q36" s="168"/>
      <c r="R36" s="425"/>
      <c r="S36" s="371"/>
      <c r="T36" s="425"/>
      <c r="U36" s="372"/>
      <c r="V36" s="425"/>
      <c r="W36" s="244"/>
      <c r="X36" s="202"/>
      <c r="AL36" s="460"/>
      <c r="AM36" s="460"/>
      <c r="AN36" s="460"/>
      <c r="AO36" s="460"/>
      <c r="AP36" s="460"/>
      <c r="AQ36" s="460"/>
    </row>
    <row r="37" spans="2:43" s="105" customFormat="1" ht="27" customHeight="1">
      <c r="B37" s="370">
        <f>#REF!</f>
      </c>
      <c r="C37" s="232"/>
      <c r="D37" s="164">
        <f>IF(#REF!&lt;&gt;"",#REF!,IF(#REF!&lt;&gt;"",#REF!,""))</f>
      </c>
      <c r="E37" s="235"/>
      <c r="F37" s="236"/>
      <c r="G37" s="236"/>
      <c r="H37" s="237"/>
      <c r="I37" s="238"/>
      <c r="J37" s="239"/>
      <c r="K37" s="240"/>
      <c r="L37" s="241"/>
      <c r="M37" s="242"/>
      <c r="N37" s="167">
        <f>#REF!</f>
      </c>
      <c r="O37" s="167">
        <f>#REF!</f>
      </c>
      <c r="P37" s="260">
        <f>#REF!</f>
      </c>
      <c r="Q37" s="168">
        <f t="shared" ref="Q37:Q53" si="9">P37*N37</f>
      </c>
      <c r="R37" s="425">
        <f t="shared" ref="R37:R53" si="10">IFERROR(Q37/$Q$166,0)</f>
      </c>
      <c r="S37" s="371">
        <f ca="1">IF($AL$5&lt;=1,0,SUM(OFFSET('rincian '!#REF!,0,0,1,$AL$5-1)))</f>
      </c>
      <c r="T37" s="425">
        <f t="shared" ref="T37:T53" ca="1" si="11">IFERROR(S37/N37*R37,0)</f>
      </c>
      <c r="U37" s="372" cm="1">
        <f t="array" ref="U37">IFERROR(INDEX('rincian '!#REF!,$AL$5),0)</f>
      </c>
      <c r="V37" s="425">
        <f t="shared" ref="V37:V53" si="12">IFERROR(U37/N37*R37,0)</f>
      </c>
      <c r="W37" s="244">
        <f t="shared" ref="W37:X53" ca="1" si="13">S37+U37</f>
      </c>
      <c r="X37" s="202">
        <f t="shared" ca="1" si="13"/>
      </c>
      <c r="AL37" s="460"/>
      <c r="AM37" s="460"/>
      <c r="AN37" s="460"/>
      <c r="AO37" s="460"/>
      <c r="AP37" s="460"/>
      <c r="AQ37" s="460"/>
    </row>
    <row r="38" spans="2:43" s="105" customFormat="1" ht="27" customHeight="1">
      <c r="B38" s="370">
        <f>#REF!</f>
      </c>
      <c r="C38" s="232"/>
      <c r="D38" s="164">
        <f>IF(#REF!&lt;&gt;"",#REF!,IF(#REF!&lt;&gt;"",#REF!,""))</f>
      </c>
      <c r="E38" s="235"/>
      <c r="F38" s="236"/>
      <c r="G38" s="236"/>
      <c r="H38" s="237"/>
      <c r="I38" s="238"/>
      <c r="J38" s="239"/>
      <c r="K38" s="240"/>
      <c r="L38" s="241"/>
      <c r="M38" s="242"/>
      <c r="N38" s="167">
        <f>#REF!</f>
      </c>
      <c r="O38" s="167">
        <f>#REF!</f>
      </c>
      <c r="P38" s="260">
        <f>#REF!</f>
      </c>
      <c r="Q38" s="168">
        <f t="shared" si="9"/>
      </c>
      <c r="R38" s="425">
        <f t="shared" si="10"/>
      </c>
      <c r="S38" s="371">
        <f ca="1">IF($AL$5&lt;=1,0,SUM(OFFSET('rincian '!#REF!,0,0,1,$AL$5-1)))</f>
      </c>
      <c r="T38" s="425">
        <f t="shared" ca="1" si="11"/>
      </c>
      <c r="U38" s="372" cm="1">
        <f t="array" ref="U38">IFERROR(INDEX('rincian '!#REF!,$AL$5),0)</f>
      </c>
      <c r="V38" s="425">
        <f t="shared" si="12"/>
      </c>
      <c r="W38" s="244">
        <f t="shared" ca="1" si="13"/>
      </c>
      <c r="X38" s="202">
        <f t="shared" ca="1" si="13"/>
      </c>
      <c r="AL38" s="460"/>
      <c r="AM38" s="460"/>
      <c r="AN38" s="460"/>
      <c r="AO38" s="460"/>
      <c r="AP38" s="460"/>
      <c r="AQ38" s="460"/>
    </row>
    <row r="39" spans="2:43" s="105" customFormat="1" ht="27" customHeight="1">
      <c r="B39" s="370">
        <f>#REF!</f>
      </c>
      <c r="C39" s="232"/>
      <c r="D39" s="164">
        <f>IF(#REF!&lt;&gt;"",#REF!,IF(#REF!&lt;&gt;"",#REF!,""))</f>
      </c>
      <c r="E39" s="235"/>
      <c r="F39" s="236"/>
      <c r="G39" s="236"/>
      <c r="H39" s="237"/>
      <c r="I39" s="238"/>
      <c r="J39" s="239"/>
      <c r="K39" s="240"/>
      <c r="L39" s="241"/>
      <c r="M39" s="242"/>
      <c r="N39" s="167">
        <f>#REF!</f>
      </c>
      <c r="O39" s="167">
        <f>#REF!</f>
      </c>
      <c r="P39" s="260">
        <f>#REF!</f>
      </c>
      <c r="Q39" s="168">
        <f t="shared" si="9"/>
      </c>
      <c r="R39" s="425">
        <f t="shared" si="10"/>
      </c>
      <c r="S39" s="371">
        <f ca="1">IF($AL$5&lt;=1,0,SUM(OFFSET('rincian '!#REF!,0,0,1,$AL$5-1)))</f>
      </c>
      <c r="T39" s="425">
        <f t="shared" ca="1" si="11"/>
      </c>
      <c r="U39" s="372" cm="1">
        <f t="array" ref="U39">IFERROR(INDEX('rincian '!#REF!,$AL$5),0)</f>
      </c>
      <c r="V39" s="425">
        <f t="shared" si="12"/>
      </c>
      <c r="W39" s="244">
        <f t="shared" ca="1" si="13"/>
      </c>
      <c r="X39" s="202">
        <f t="shared" ca="1" si="13"/>
      </c>
      <c r="AL39" s="460"/>
      <c r="AM39" s="460"/>
      <c r="AN39" s="460"/>
      <c r="AO39" s="460"/>
      <c r="AP39" s="460"/>
      <c r="AQ39" s="460"/>
    </row>
    <row r="40" spans="2:43" s="105" customFormat="1" ht="21" customHeight="1">
      <c r="B40" s="370">
        <f>#REF!</f>
      </c>
      <c r="C40" s="232"/>
      <c r="D40" s="704">
        <f>IF(#REF!&lt;&gt;"",#REF!,IF(#REF!&lt;&gt;"",#REF!,""))</f>
      </c>
      <c r="E40" s="704"/>
      <c r="F40" s="704"/>
      <c r="G40" s="704"/>
      <c r="H40" s="704"/>
      <c r="I40" s="704"/>
      <c r="J40" s="704"/>
      <c r="K40" s="704"/>
      <c r="L40" s="704"/>
      <c r="M40" s="705"/>
      <c r="N40" s="167">
        <f>#REF!</f>
      </c>
      <c r="O40" s="167">
        <f>#REF!</f>
      </c>
      <c r="P40" s="260">
        <f>#REF!</f>
      </c>
      <c r="Q40" s="168">
        <f t="shared" si="9"/>
      </c>
      <c r="R40" s="425">
        <f t="shared" si="10"/>
      </c>
      <c r="S40" s="371">
        <f ca="1">IF($AL$5&lt;=1,0,SUM(OFFSET('rincian '!#REF!,0,0,1,$AL$5-1)))</f>
      </c>
      <c r="T40" s="425">
        <f t="shared" ca="1" si="11"/>
      </c>
      <c r="U40" s="372" cm="1">
        <f t="array" ref="U40">IFERROR(INDEX('rincian '!#REF!,$AL$5),0)</f>
      </c>
      <c r="V40" s="425">
        <f t="shared" si="12"/>
      </c>
      <c r="W40" s="244">
        <f t="shared" ca="1" si="13"/>
      </c>
      <c r="X40" s="202">
        <f t="shared" ca="1" si="13"/>
      </c>
      <c r="AL40" s="460"/>
      <c r="AM40" s="460"/>
      <c r="AN40" s="460"/>
      <c r="AO40" s="460"/>
      <c r="AP40" s="460"/>
      <c r="AQ40" s="460"/>
    </row>
    <row r="41" spans="2:43" s="105" customFormat="1" ht="27" customHeight="1">
      <c r="B41" s="370">
        <f>#REF!</f>
      </c>
      <c r="C41" s="232"/>
      <c r="D41" s="164">
        <f>IF(#REF!&lt;&gt;"",#REF!,IF(#REF!&lt;&gt;"",#REF!,""))</f>
      </c>
      <c r="E41" s="235"/>
      <c r="F41" s="236"/>
      <c r="G41" s="236"/>
      <c r="H41" s="237"/>
      <c r="I41" s="238"/>
      <c r="J41" s="239"/>
      <c r="K41" s="240"/>
      <c r="L41" s="241"/>
      <c r="M41" s="242"/>
      <c r="N41" s="167">
        <f>#REF!</f>
      </c>
      <c r="O41" s="167">
        <f>#REF!</f>
      </c>
      <c r="P41" s="260">
        <f>#REF!</f>
      </c>
      <c r="Q41" s="168">
        <f t="shared" si="9"/>
      </c>
      <c r="R41" s="425">
        <f t="shared" si="10"/>
      </c>
      <c r="S41" s="371">
        <f ca="1">IF($AL$5&lt;=1,0,SUM(OFFSET('rincian '!#REF!,0,0,1,$AL$5-1)))</f>
      </c>
      <c r="T41" s="425">
        <f t="shared" ca="1" si="11"/>
      </c>
      <c r="U41" s="372" cm="1">
        <f t="array" ref="U41">IFERROR(INDEX('rincian '!#REF!,$AL$5),0)</f>
      </c>
      <c r="V41" s="425">
        <f t="shared" si="12"/>
      </c>
      <c r="W41" s="244">
        <f t="shared" ca="1" si="13"/>
      </c>
      <c r="X41" s="202">
        <f t="shared" ca="1" si="13"/>
      </c>
      <c r="AL41" s="460"/>
      <c r="AM41" s="460"/>
      <c r="AN41" s="460"/>
      <c r="AO41" s="460"/>
      <c r="AP41" s="460"/>
      <c r="AQ41" s="460"/>
    </row>
    <row r="42" spans="2:43" s="105" customFormat="1" ht="27" customHeight="1">
      <c r="B42" s="370">
        <f>#REF!</f>
      </c>
      <c r="C42" s="232"/>
      <c r="D42" s="164">
        <f>IF(#REF!&lt;&gt;"",#REF!,IF(#REF!&lt;&gt;"",#REF!,""))</f>
      </c>
      <c r="E42" s="235"/>
      <c r="F42" s="236"/>
      <c r="G42" s="236"/>
      <c r="H42" s="237"/>
      <c r="I42" s="238"/>
      <c r="J42" s="239"/>
      <c r="K42" s="240"/>
      <c r="L42" s="241"/>
      <c r="M42" s="242"/>
      <c r="N42" s="167">
        <f>#REF!</f>
      </c>
      <c r="O42" s="167">
        <f>#REF!</f>
      </c>
      <c r="P42" s="260">
        <f>#REF!</f>
      </c>
      <c r="Q42" s="168">
        <f t="shared" si="9"/>
      </c>
      <c r="R42" s="425">
        <f t="shared" si="10"/>
      </c>
      <c r="S42" s="371">
        <f ca="1">IF($AL$5&lt;=1,0,SUM(OFFSET('rincian '!#REF!,0,0,1,$AL$5-1)))</f>
      </c>
      <c r="T42" s="425">
        <f t="shared" ca="1" si="11"/>
      </c>
      <c r="U42" s="372" cm="1">
        <f t="array" ref="U42">IFERROR(INDEX('rincian '!#REF!,$AL$5),0)</f>
      </c>
      <c r="V42" s="425">
        <f t="shared" si="12"/>
      </c>
      <c r="W42" s="244">
        <f t="shared" ca="1" si="13"/>
      </c>
      <c r="X42" s="202">
        <f t="shared" ca="1" si="13"/>
      </c>
      <c r="AL42" s="460"/>
      <c r="AM42" s="460"/>
      <c r="AN42" s="460"/>
      <c r="AO42" s="460"/>
      <c r="AP42" s="460"/>
      <c r="AQ42" s="460"/>
    </row>
    <row r="43" spans="2:43" s="105" customFormat="1" ht="27" customHeight="1">
      <c r="B43" s="370">
        <f>#REF!</f>
      </c>
      <c r="C43" s="232"/>
      <c r="D43" s="164">
        <f>IF(#REF!&lt;&gt;"",#REF!,IF(#REF!&lt;&gt;"",#REF!,""))</f>
      </c>
      <c r="E43" s="235"/>
      <c r="F43" s="236"/>
      <c r="G43" s="236"/>
      <c r="H43" s="237"/>
      <c r="I43" s="238"/>
      <c r="J43" s="239"/>
      <c r="K43" s="240"/>
      <c r="L43" s="241"/>
      <c r="M43" s="242"/>
      <c r="N43" s="167">
        <f>#REF!</f>
      </c>
      <c r="O43" s="167">
        <f>#REF!</f>
      </c>
      <c r="P43" s="260">
        <f>#REF!</f>
      </c>
      <c r="Q43" s="168">
        <f t="shared" si="9"/>
      </c>
      <c r="R43" s="425">
        <f t="shared" si="10"/>
      </c>
      <c r="S43" s="371">
        <f ca="1">IF($AL$5&lt;=1,0,SUM(OFFSET('rincian '!#REF!,0,0,1,$AL$5-1)))</f>
      </c>
      <c r="T43" s="425">
        <f t="shared" ca="1" si="11"/>
      </c>
      <c r="U43" s="372" cm="1">
        <f t="array" ref="U43">IFERROR(INDEX('rincian '!#REF!,$AL$5),0)</f>
      </c>
      <c r="V43" s="425">
        <f t="shared" si="12"/>
      </c>
      <c r="W43" s="244">
        <f t="shared" ca="1" si="13"/>
      </c>
      <c r="X43" s="202">
        <f t="shared" ca="1" si="13"/>
      </c>
      <c r="AL43" s="460"/>
      <c r="AM43" s="460"/>
      <c r="AN43" s="460"/>
      <c r="AO43" s="460"/>
      <c r="AP43" s="460"/>
      <c r="AQ43" s="460"/>
    </row>
    <row r="44" spans="2:43" s="105" customFormat="1" ht="27" customHeight="1">
      <c r="B44" s="370">
        <f>#REF!</f>
      </c>
      <c r="C44" s="232"/>
      <c r="D44" s="164">
        <f>IF(#REF!&lt;&gt;"",#REF!,IF(#REF!&lt;&gt;"",#REF!,""))</f>
      </c>
      <c r="E44" s="235"/>
      <c r="F44" s="236"/>
      <c r="G44" s="236"/>
      <c r="H44" s="237"/>
      <c r="I44" s="238"/>
      <c r="J44" s="239"/>
      <c r="K44" s="240"/>
      <c r="L44" s="241"/>
      <c r="M44" s="242"/>
      <c r="N44" s="167">
        <f>#REF!</f>
      </c>
      <c r="O44" s="167">
        <f>#REF!</f>
      </c>
      <c r="P44" s="260">
        <f>#REF!</f>
      </c>
      <c r="Q44" s="168">
        <f t="shared" si="9"/>
      </c>
      <c r="R44" s="425">
        <f t="shared" si="10"/>
      </c>
      <c r="S44" s="371">
        <f ca="1">IF($AL$5&lt;=1,0,SUM(OFFSET('rincian '!#REF!,0,0,1,$AL$5-1)))</f>
      </c>
      <c r="T44" s="425">
        <f t="shared" ca="1" si="11"/>
      </c>
      <c r="U44" s="372" cm="1">
        <f t="array" ref="U44">IFERROR(INDEX('rincian '!#REF!,$AL$5),0)</f>
      </c>
      <c r="V44" s="425">
        <f t="shared" si="12"/>
      </c>
      <c r="W44" s="244">
        <f t="shared" ca="1" si="13"/>
      </c>
      <c r="X44" s="202">
        <f t="shared" ca="1" si="13"/>
      </c>
      <c r="AL44" s="460"/>
      <c r="AM44" s="460"/>
      <c r="AN44" s="460"/>
      <c r="AO44" s="460"/>
      <c r="AP44" s="460"/>
      <c r="AQ44" s="460"/>
    </row>
    <row r="45" spans="2:43" s="105" customFormat="1" ht="27" customHeight="1">
      <c r="B45" s="370">
        <f>#REF!</f>
      </c>
      <c r="C45" s="232"/>
      <c r="D45" s="164">
        <f>IF(#REF!&lt;&gt;"",#REF!,IF(#REF!&lt;&gt;"",#REF!,""))</f>
      </c>
      <c r="E45" s="235"/>
      <c r="F45" s="236"/>
      <c r="G45" s="236"/>
      <c r="H45" s="237"/>
      <c r="I45" s="238"/>
      <c r="J45" s="239"/>
      <c r="K45" s="240"/>
      <c r="L45" s="241"/>
      <c r="M45" s="242"/>
      <c r="N45" s="167">
        <f>#REF!</f>
      </c>
      <c r="O45" s="167">
        <f>#REF!</f>
      </c>
      <c r="P45" s="260">
        <f>#REF!</f>
      </c>
      <c r="Q45" s="168">
        <f t="shared" si="9"/>
      </c>
      <c r="R45" s="425">
        <f t="shared" si="10"/>
      </c>
      <c r="S45" s="371">
        <f ca="1">IF($AL$5&lt;=1,0,SUM(OFFSET('rincian '!#REF!,0,0,1,$AL$5-1)))</f>
      </c>
      <c r="T45" s="425">
        <f t="shared" ca="1" si="11"/>
      </c>
      <c r="U45" s="372" cm="1">
        <f t="array" ref="U45">IFERROR(INDEX('rincian '!#REF!,$AL$5),0)</f>
      </c>
      <c r="V45" s="425">
        <f t="shared" si="12"/>
      </c>
      <c r="W45" s="244">
        <f t="shared" ca="1" si="13"/>
      </c>
      <c r="X45" s="202">
        <f t="shared" ca="1" si="13"/>
      </c>
      <c r="AL45" s="460"/>
      <c r="AM45" s="460"/>
      <c r="AN45" s="460"/>
      <c r="AO45" s="460"/>
      <c r="AP45" s="460"/>
      <c r="AQ45" s="460"/>
    </row>
    <row r="46" spans="2:43" s="105" customFormat="1" ht="27" customHeight="1">
      <c r="B46" s="370">
        <f>#REF!</f>
      </c>
      <c r="C46" s="232"/>
      <c r="D46" s="164">
        <f>IF(#REF!&lt;&gt;"",#REF!,IF(#REF!&lt;&gt;"",#REF!,""))</f>
      </c>
      <c r="E46" s="235"/>
      <c r="F46" s="236"/>
      <c r="G46" s="236"/>
      <c r="H46" s="237"/>
      <c r="I46" s="238"/>
      <c r="J46" s="239"/>
      <c r="K46" s="240"/>
      <c r="L46" s="241"/>
      <c r="M46" s="242"/>
      <c r="N46" s="167">
        <f>#REF!</f>
      </c>
      <c r="O46" s="167">
        <f>#REF!</f>
      </c>
      <c r="P46" s="260">
        <f>#REF!</f>
      </c>
      <c r="Q46" s="168">
        <f t="shared" si="9"/>
      </c>
      <c r="R46" s="425">
        <f t="shared" si="10"/>
      </c>
      <c r="S46" s="371">
        <f ca="1">IF($AL$5&lt;=1,0,SUM(OFFSET('rincian '!#REF!,0,0,1,$AL$5-1)))</f>
      </c>
      <c r="T46" s="425">
        <f t="shared" ca="1" si="11"/>
      </c>
      <c r="U46" s="372" cm="1">
        <f t="array" ref="U46">IFERROR(INDEX('rincian '!#REF!,$AL$5),0)</f>
      </c>
      <c r="V46" s="425">
        <f t="shared" si="12"/>
      </c>
      <c r="W46" s="244">
        <f t="shared" ca="1" si="13"/>
      </c>
      <c r="X46" s="202">
        <f t="shared" ca="1" si="13"/>
      </c>
      <c r="AL46" s="460"/>
      <c r="AM46" s="460"/>
      <c r="AN46" s="460"/>
      <c r="AO46" s="460"/>
      <c r="AP46" s="460"/>
      <c r="AQ46" s="460"/>
    </row>
    <row r="47" spans="2:43" s="105" customFormat="1" ht="27" customHeight="1">
      <c r="B47" s="370">
        <f>#REF!</f>
      </c>
      <c r="C47" s="232"/>
      <c r="D47" s="164">
        <f>IF(#REF!&lt;&gt;"",#REF!,IF(#REF!&lt;&gt;"",#REF!,""))</f>
      </c>
      <c r="E47" s="235"/>
      <c r="F47" s="236"/>
      <c r="G47" s="236"/>
      <c r="H47" s="237"/>
      <c r="I47" s="238"/>
      <c r="J47" s="239"/>
      <c r="K47" s="240"/>
      <c r="L47" s="241"/>
      <c r="M47" s="242"/>
      <c r="N47" s="167">
        <f>#REF!</f>
      </c>
      <c r="O47" s="167">
        <f>#REF!</f>
      </c>
      <c r="P47" s="260">
        <f>#REF!</f>
      </c>
      <c r="Q47" s="168">
        <f t="shared" si="9"/>
      </c>
      <c r="R47" s="425">
        <f t="shared" si="10"/>
      </c>
      <c r="S47" s="371">
        <f ca="1">IF($AL$5&lt;=1,0,SUM(OFFSET('rincian '!#REF!,0,0,1,$AL$5-1)))</f>
      </c>
      <c r="T47" s="425">
        <f t="shared" ca="1" si="11"/>
      </c>
      <c r="U47" s="372" cm="1">
        <f t="array" ref="U47">IFERROR(INDEX('rincian '!#REF!,$AL$5),0)</f>
      </c>
      <c r="V47" s="425">
        <f t="shared" si="12"/>
      </c>
      <c r="W47" s="244">
        <f t="shared" ca="1" si="13"/>
      </c>
      <c r="X47" s="202">
        <f t="shared" ca="1" si="13"/>
      </c>
      <c r="AL47" s="460"/>
      <c r="AM47" s="460"/>
      <c r="AN47" s="460"/>
      <c r="AO47" s="460"/>
      <c r="AP47" s="460"/>
      <c r="AQ47" s="460"/>
    </row>
    <row r="48" spans="2:43" s="105" customFormat="1" ht="27" customHeight="1">
      <c r="B48" s="370">
        <f>#REF!</f>
      </c>
      <c r="C48" s="232"/>
      <c r="D48" s="164">
        <f>IF(#REF!&lt;&gt;"",#REF!,IF(#REF!&lt;&gt;"",#REF!,""))</f>
      </c>
      <c r="E48" s="235"/>
      <c r="F48" s="236"/>
      <c r="G48" s="236"/>
      <c r="H48" s="237"/>
      <c r="I48" s="238"/>
      <c r="J48" s="239"/>
      <c r="K48" s="240"/>
      <c r="L48" s="241"/>
      <c r="M48" s="242"/>
      <c r="N48" s="167">
        <f>#REF!</f>
      </c>
      <c r="O48" s="167">
        <f>#REF!</f>
      </c>
      <c r="P48" s="260">
        <f>#REF!</f>
      </c>
      <c r="Q48" s="168">
        <f t="shared" si="9"/>
      </c>
      <c r="R48" s="425">
        <f t="shared" si="10"/>
      </c>
      <c r="S48" s="371">
        <f ca="1">IF($AL$5&lt;=1,0,SUM(OFFSET('rincian '!#REF!,0,0,1,$AL$5-1)))</f>
      </c>
      <c r="T48" s="425">
        <f t="shared" ca="1" si="11"/>
      </c>
      <c r="U48" s="372" cm="1">
        <f t="array" ref="U48">IFERROR(INDEX('rincian '!#REF!,$AL$5),0)</f>
      </c>
      <c r="V48" s="425">
        <f t="shared" si="12"/>
      </c>
      <c r="W48" s="244">
        <f t="shared" ca="1" si="13"/>
      </c>
      <c r="X48" s="202">
        <f t="shared" ca="1" si="13"/>
      </c>
      <c r="AL48" s="460"/>
      <c r="AM48" s="460"/>
      <c r="AN48" s="460"/>
      <c r="AO48" s="460"/>
      <c r="AP48" s="460"/>
      <c r="AQ48" s="460"/>
    </row>
    <row r="49" spans="2:43" s="105" customFormat="1" ht="27" customHeight="1">
      <c r="B49" s="370">
        <f>#REF!</f>
      </c>
      <c r="C49" s="232"/>
      <c r="D49" s="164">
        <f>IF(#REF!&lt;&gt;"",#REF!,IF(#REF!&lt;&gt;"",#REF!,""))</f>
      </c>
      <c r="E49" s="235"/>
      <c r="F49" s="236"/>
      <c r="G49" s="236"/>
      <c r="H49" s="237"/>
      <c r="I49" s="238"/>
      <c r="J49" s="239"/>
      <c r="K49" s="240"/>
      <c r="L49" s="241"/>
      <c r="M49" s="242"/>
      <c r="N49" s="167">
        <f>#REF!</f>
      </c>
      <c r="O49" s="167">
        <f>#REF!</f>
      </c>
      <c r="P49" s="260">
        <f>#REF!</f>
      </c>
      <c r="Q49" s="168">
        <f t="shared" si="9"/>
      </c>
      <c r="R49" s="425">
        <f t="shared" si="10"/>
      </c>
      <c r="S49" s="371">
        <f ca="1">IF($AL$5&lt;=1,0,SUM(OFFSET('rincian '!#REF!,0,0,1,$AL$5-1)))</f>
      </c>
      <c r="T49" s="425">
        <f t="shared" ca="1" si="11"/>
      </c>
      <c r="U49" s="372" cm="1">
        <f t="array" ref="U49">IFERROR(INDEX('rincian '!#REF!,$AL$5),0)</f>
      </c>
      <c r="V49" s="425">
        <f t="shared" si="12"/>
      </c>
      <c r="W49" s="244">
        <f t="shared" ca="1" si="13"/>
      </c>
      <c r="X49" s="202">
        <f t="shared" ca="1" si="13"/>
      </c>
      <c r="AL49" s="460"/>
      <c r="AM49" s="460"/>
      <c r="AN49" s="460"/>
      <c r="AO49" s="460"/>
      <c r="AP49" s="460"/>
      <c r="AQ49" s="460"/>
    </row>
    <row r="50" spans="2:43" s="105" customFormat="1" ht="27" customHeight="1">
      <c r="B50" s="370">
        <f>#REF!</f>
      </c>
      <c r="C50" s="232"/>
      <c r="D50" s="164">
        <f>IF(#REF!&lt;&gt;"",#REF!,IF(#REF!&lt;&gt;"",#REF!,""))</f>
      </c>
      <c r="E50" s="235"/>
      <c r="F50" s="236"/>
      <c r="G50" s="236"/>
      <c r="H50" s="237"/>
      <c r="I50" s="238"/>
      <c r="J50" s="239"/>
      <c r="K50" s="240"/>
      <c r="L50" s="241"/>
      <c r="M50" s="242"/>
      <c r="N50" s="167">
        <f>#REF!</f>
      </c>
      <c r="O50" s="167">
        <f>#REF!</f>
      </c>
      <c r="P50" s="260">
        <f>#REF!</f>
      </c>
      <c r="Q50" s="168">
        <f t="shared" si="9"/>
      </c>
      <c r="R50" s="425">
        <f t="shared" si="10"/>
      </c>
      <c r="S50" s="371">
        <f ca="1">IF($AL$5&lt;=1,0,SUM(OFFSET('rincian '!#REF!,0,0,1,$AL$5-1)))</f>
      </c>
      <c r="T50" s="425">
        <f t="shared" ca="1" si="11"/>
      </c>
      <c r="U50" s="372" cm="1">
        <f t="array" ref="U50">IFERROR(INDEX('rincian '!#REF!,$AL$5),0)</f>
      </c>
      <c r="V50" s="425">
        <f t="shared" si="12"/>
      </c>
      <c r="W50" s="244">
        <f t="shared" ca="1" si="13"/>
      </c>
      <c r="X50" s="202">
        <f t="shared" ca="1" si="13"/>
      </c>
      <c r="AL50" s="460"/>
      <c r="AM50" s="460"/>
      <c r="AN50" s="460"/>
      <c r="AO50" s="460"/>
      <c r="AP50" s="460"/>
      <c r="AQ50" s="460"/>
    </row>
    <row r="51" spans="2:43" s="105" customFormat="1" ht="27" customHeight="1">
      <c r="B51" s="370">
        <f>#REF!</f>
      </c>
      <c r="C51" s="232"/>
      <c r="D51" s="164">
        <f>IF(#REF!&lt;&gt;"",#REF!,IF(#REF!&lt;&gt;"",#REF!,""))</f>
      </c>
      <c r="E51" s="235"/>
      <c r="F51" s="236"/>
      <c r="G51" s="236"/>
      <c r="H51" s="237"/>
      <c r="I51" s="238"/>
      <c r="J51" s="239"/>
      <c r="K51" s="240"/>
      <c r="L51" s="241"/>
      <c r="M51" s="242"/>
      <c r="N51" s="167">
        <f>#REF!</f>
      </c>
      <c r="O51" s="167">
        <f>#REF!</f>
      </c>
      <c r="P51" s="260">
        <f>#REF!</f>
      </c>
      <c r="Q51" s="168">
        <f t="shared" si="9"/>
      </c>
      <c r="R51" s="425">
        <f t="shared" si="10"/>
      </c>
      <c r="S51" s="371">
        <f ca="1">IF($AL$5&lt;=1,0,SUM(OFFSET('rincian '!#REF!,0,0,1,$AL$5-1)))</f>
      </c>
      <c r="T51" s="425">
        <f t="shared" ca="1" si="11"/>
      </c>
      <c r="U51" s="372" cm="1">
        <f t="array" ref="U51">IFERROR(INDEX('rincian '!#REF!,$AL$5),0)</f>
      </c>
      <c r="V51" s="425">
        <f t="shared" si="12"/>
      </c>
      <c r="W51" s="244">
        <f t="shared" ca="1" si="13"/>
      </c>
      <c r="X51" s="202">
        <f t="shared" ca="1" si="13"/>
      </c>
      <c r="AL51" s="460"/>
      <c r="AM51" s="460"/>
      <c r="AN51" s="460"/>
      <c r="AO51" s="460"/>
      <c r="AP51" s="460"/>
      <c r="AQ51" s="460"/>
    </row>
    <row r="52" spans="2:43" s="105" customFormat="1" ht="27" customHeight="1">
      <c r="B52" s="370">
        <f>#REF!</f>
      </c>
      <c r="C52" s="232"/>
      <c r="D52" s="164">
        <f>IF(#REF!&lt;&gt;"",#REF!,IF(#REF!&lt;&gt;"",#REF!,""))</f>
      </c>
      <c r="E52" s="235"/>
      <c r="F52" s="236"/>
      <c r="G52" s="236"/>
      <c r="H52" s="237"/>
      <c r="I52" s="238"/>
      <c r="J52" s="239"/>
      <c r="K52" s="240"/>
      <c r="L52" s="241"/>
      <c r="M52" s="242"/>
      <c r="N52" s="167">
        <f>#REF!</f>
      </c>
      <c r="O52" s="167">
        <f>#REF!</f>
      </c>
      <c r="P52" s="260">
        <f>#REF!</f>
      </c>
      <c r="Q52" s="168">
        <f t="shared" si="9"/>
      </c>
      <c r="R52" s="425">
        <f t="shared" si="10"/>
      </c>
      <c r="S52" s="371">
        <f ca="1">IF($AL$5&lt;=1,0,SUM(OFFSET('rincian '!#REF!,0,0,1,$AL$5-1)))</f>
      </c>
      <c r="T52" s="425">
        <f t="shared" ca="1" si="11"/>
      </c>
      <c r="U52" s="372" cm="1">
        <f t="array" ref="U52">IFERROR(INDEX('rincian '!#REF!,$AL$5),0)</f>
      </c>
      <c r="V52" s="425">
        <f t="shared" si="12"/>
      </c>
      <c r="W52" s="244">
        <f t="shared" ca="1" si="13"/>
      </c>
      <c r="X52" s="202">
        <f t="shared" ca="1" si="13"/>
      </c>
      <c r="AL52" s="460"/>
      <c r="AM52" s="460"/>
      <c r="AN52" s="460"/>
      <c r="AO52" s="460"/>
      <c r="AP52" s="460"/>
      <c r="AQ52" s="460"/>
    </row>
    <row r="53" spans="2:43" s="105" customFormat="1" ht="27" customHeight="1">
      <c r="B53" s="370">
        <f>#REF!</f>
      </c>
      <c r="C53" s="232"/>
      <c r="D53" s="164">
        <f>IF(#REF!&lt;&gt;"",#REF!,IF(#REF!&lt;&gt;"",#REF!,""))</f>
      </c>
      <c r="E53" s="235"/>
      <c r="F53" s="236"/>
      <c r="G53" s="236"/>
      <c r="H53" s="237"/>
      <c r="I53" s="238"/>
      <c r="J53" s="239"/>
      <c r="K53" s="240"/>
      <c r="L53" s="241"/>
      <c r="M53" s="242"/>
      <c r="N53" s="167">
        <f>#REF!</f>
      </c>
      <c r="O53" s="167">
        <f>#REF!</f>
      </c>
      <c r="P53" s="260">
        <f>#REF!</f>
      </c>
      <c r="Q53" s="168">
        <f t="shared" si="9"/>
      </c>
      <c r="R53" s="425">
        <f t="shared" si="10"/>
      </c>
      <c r="S53" s="371">
        <f ca="1">IF($AL$5&lt;=1,0,SUM(OFFSET('rincian '!#REF!,0,0,1,$AL$5-1)))</f>
      </c>
      <c r="T53" s="425">
        <f t="shared" ca="1" si="11"/>
      </c>
      <c r="U53" s="372" cm="1">
        <f t="array" ref="U53">IFERROR(INDEX('rincian '!#REF!,$AL$5),0)</f>
      </c>
      <c r="V53" s="425">
        <f t="shared" si="12"/>
      </c>
      <c r="W53" s="244">
        <f t="shared" ca="1" si="13"/>
      </c>
      <c r="X53" s="202">
        <f t="shared" ca="1" si="13"/>
      </c>
      <c r="AL53" s="460"/>
      <c r="AM53" s="460"/>
      <c r="AN53" s="460"/>
      <c r="AO53" s="460"/>
      <c r="AP53" s="460"/>
      <c r="AQ53" s="460"/>
    </row>
    <row r="54" spans="2:43" s="105" customFormat="1" ht="27" customHeight="1">
      <c r="B54" s="402">
        <f>#REF!</f>
      </c>
      <c r="C54" s="384"/>
      <c r="D54" s="385">
        <f>IF(#REF!&lt;&gt;"",#REF!,IF(#REF!&lt;&gt;"",#REF!,""))</f>
      </c>
      <c r="E54" s="386"/>
      <c r="F54" s="387"/>
      <c r="G54" s="387"/>
      <c r="H54" s="388"/>
      <c r="I54" s="389"/>
      <c r="J54" s="390"/>
      <c r="K54" s="391"/>
      <c r="L54" s="392"/>
      <c r="M54" s="393"/>
      <c r="N54" s="394"/>
      <c r="O54" s="394"/>
      <c r="P54" s="395"/>
      <c r="Q54" s="396"/>
      <c r="R54" s="426"/>
      <c r="S54" s="403"/>
      <c r="T54" s="426"/>
      <c r="U54" s="403"/>
      <c r="V54" s="426"/>
      <c r="W54" s="399"/>
      <c r="X54" s="400"/>
      <c r="AL54" s="460"/>
      <c r="AM54" s="460"/>
      <c r="AN54" s="460"/>
      <c r="AO54" s="460"/>
      <c r="AP54" s="460"/>
      <c r="AQ54" s="460"/>
    </row>
    <row r="55" spans="2:43" s="105" customFormat="1" ht="27" customHeight="1">
      <c r="B55" s="401">
        <f>#REF!</f>
      </c>
      <c r="C55" s="373"/>
      <c r="D55" s="374">
        <f>IF(#REF!&lt;&gt;"",#REF!,IF(#REF!&lt;&gt;"",#REF!,""))</f>
      </c>
      <c r="E55" s="375"/>
      <c r="F55" s="376"/>
      <c r="G55" s="376"/>
      <c r="H55" s="377"/>
      <c r="I55" s="378"/>
      <c r="J55" s="379"/>
      <c r="K55" s="380"/>
      <c r="L55" s="381"/>
      <c r="M55" s="382"/>
      <c r="N55" s="167"/>
      <c r="O55" s="167"/>
      <c r="P55" s="260"/>
      <c r="Q55" s="168"/>
      <c r="R55" s="425"/>
      <c r="S55" s="371"/>
      <c r="T55" s="425"/>
      <c r="U55" s="372"/>
      <c r="V55" s="425"/>
      <c r="W55" s="244"/>
      <c r="X55" s="202"/>
      <c r="AL55" s="460"/>
      <c r="AM55" s="460"/>
      <c r="AN55" s="460"/>
      <c r="AO55" s="460"/>
      <c r="AP55" s="460"/>
      <c r="AQ55" s="460"/>
    </row>
    <row r="56" spans="2:43" s="105" customFormat="1" ht="27" customHeight="1">
      <c r="B56" s="401">
        <f>#REF!</f>
      </c>
      <c r="C56" s="373"/>
      <c r="D56" s="374">
        <f>IF(#REF!&lt;&gt;"",#REF!,IF(#REF!&lt;&gt;"",#REF!,""))</f>
      </c>
      <c r="E56" s="375"/>
      <c r="F56" s="376"/>
      <c r="G56" s="376"/>
      <c r="H56" s="377"/>
      <c r="I56" s="378"/>
      <c r="J56" s="379"/>
      <c r="K56" s="380"/>
      <c r="L56" s="381"/>
      <c r="M56" s="382"/>
      <c r="N56" s="167"/>
      <c r="O56" s="167"/>
      <c r="P56" s="260"/>
      <c r="Q56" s="168"/>
      <c r="R56" s="425"/>
      <c r="S56" s="371"/>
      <c r="T56" s="425"/>
      <c r="U56" s="372"/>
      <c r="V56" s="425"/>
      <c r="W56" s="244"/>
      <c r="X56" s="202"/>
      <c r="AL56" s="460"/>
      <c r="AM56" s="460"/>
      <c r="AN56" s="460"/>
      <c r="AO56" s="460"/>
      <c r="AP56" s="460"/>
      <c r="AQ56" s="460"/>
    </row>
    <row r="57" spans="2:43" s="105" customFormat="1" ht="27" customHeight="1">
      <c r="B57" s="370">
        <f>#REF!</f>
      </c>
      <c r="C57" s="232"/>
      <c r="D57" s="164">
        <f>IF(#REF!&lt;&gt;"",#REF!,IF(#REF!&lt;&gt;"",#REF!,""))</f>
      </c>
      <c r="E57" s="235"/>
      <c r="F57" s="236"/>
      <c r="G57" s="236"/>
      <c r="H57" s="237"/>
      <c r="I57" s="238"/>
      <c r="J57" s="239"/>
      <c r="K57" s="240"/>
      <c r="L57" s="241"/>
      <c r="M57" s="242"/>
      <c r="N57" s="167">
        <f>#REF!</f>
      </c>
      <c r="O57" s="167">
        <f>#REF!</f>
      </c>
      <c r="P57" s="260">
        <f>#REF!</f>
      </c>
      <c r="Q57" s="168">
        <f>P57*N57</f>
      </c>
      <c r="R57" s="425">
        <f>IFERROR(Q57/$Q$166,0)</f>
      </c>
      <c r="S57" s="371">
        <f ca="1">IF($AL$5&lt;=1,0,SUM(OFFSET('rincian '!#REF!,0,0,1,$AL$5-1)))</f>
      </c>
      <c r="T57" s="425">
        <f ca="1">IFERROR(S57/N57*R57,0)</f>
      </c>
      <c r="U57" s="372" cm="1">
        <f t="array" ref="U57">IFERROR(INDEX('rincian '!#REF!,$AL$5),0)</f>
      </c>
      <c r="V57" s="425">
        <f>IFERROR(U57/N57*R57,0)</f>
      </c>
      <c r="W57" s="244">
        <f t="shared" ref="W57:X60" ca="1" si="14">S57+U57</f>
      </c>
      <c r="X57" s="202">
        <f t="shared" ca="1" si="14"/>
      </c>
      <c r="AL57" s="460"/>
      <c r="AM57" s="460"/>
      <c r="AN57" s="460"/>
      <c r="AO57" s="460"/>
      <c r="AP57" s="460"/>
      <c r="AQ57" s="460"/>
    </row>
    <row r="58" spans="2:43" s="105" customFormat="1" ht="40.049999999999997" customHeight="1">
      <c r="B58" s="370">
        <f>#REF!</f>
      </c>
      <c r="C58" s="232"/>
      <c r="D58" s="704">
        <f>IF(#REF!&lt;&gt;"",#REF!,IF(#REF!&lt;&gt;"",#REF!,""))</f>
      </c>
      <c r="E58" s="704"/>
      <c r="F58" s="704"/>
      <c r="G58" s="704"/>
      <c r="H58" s="704"/>
      <c r="I58" s="704"/>
      <c r="J58" s="704"/>
      <c r="K58" s="704"/>
      <c r="L58" s="704"/>
      <c r="M58" s="705"/>
      <c r="N58" s="167">
        <f>#REF!</f>
      </c>
      <c r="O58" s="167">
        <f>#REF!</f>
      </c>
      <c r="P58" s="260">
        <f>#REF!</f>
      </c>
      <c r="Q58" s="168">
        <f>P58*N58</f>
      </c>
      <c r="R58" s="425">
        <f>IFERROR(Q58/$Q$166,0)</f>
      </c>
      <c r="S58" s="371">
        <f ca="1">IF($AL$5&lt;=1,0,SUM(OFFSET('rincian '!#REF!,0,0,1,$AL$5-1)))</f>
      </c>
      <c r="T58" s="425">
        <f ca="1">IFERROR(S58/N58*R58,0)</f>
      </c>
      <c r="U58" s="372" cm="1">
        <f t="array" ref="U58">IFERROR(INDEX('rincian '!#REF!,$AL$5),0)</f>
      </c>
      <c r="V58" s="425">
        <f>IFERROR(U58/N58*R58,0)</f>
      </c>
      <c r="W58" s="244">
        <f t="shared" ca="1" si="14"/>
      </c>
      <c r="X58" s="202">
        <f t="shared" ca="1" si="14"/>
      </c>
      <c r="AL58" s="460"/>
      <c r="AM58" s="460"/>
      <c r="AN58" s="460"/>
      <c r="AO58" s="460"/>
      <c r="AP58" s="460"/>
      <c r="AQ58" s="460"/>
    </row>
    <row r="59" spans="2:43" s="105" customFormat="1" ht="40.049999999999997" customHeight="1">
      <c r="B59" s="370">
        <f>#REF!</f>
      </c>
      <c r="C59" s="232"/>
      <c r="D59" s="704">
        <f>IF(#REF!&lt;&gt;"",#REF!,IF(#REF!&lt;&gt;"",#REF!,""))</f>
      </c>
      <c r="E59" s="704"/>
      <c r="F59" s="704"/>
      <c r="G59" s="704"/>
      <c r="H59" s="704"/>
      <c r="I59" s="704"/>
      <c r="J59" s="704"/>
      <c r="K59" s="704"/>
      <c r="L59" s="704"/>
      <c r="M59" s="705"/>
      <c r="N59" s="167">
        <f>#REF!</f>
      </c>
      <c r="O59" s="167">
        <f>#REF!</f>
      </c>
      <c r="P59" s="260">
        <f>#REF!</f>
      </c>
      <c r="Q59" s="168">
        <f>P59*N59</f>
      </c>
      <c r="R59" s="425">
        <f>IFERROR(Q59/$Q$166,0)</f>
      </c>
      <c r="S59" s="371">
        <f ca="1">IF($AL$5&lt;=1,0,SUM(OFFSET('rincian '!#REF!,0,0,1,$AL$5-1)))</f>
      </c>
      <c r="T59" s="425">
        <f ca="1">IFERROR(S59/N59*R59,0)</f>
      </c>
      <c r="U59" s="372" cm="1">
        <f t="array" ref="U59">IFERROR(INDEX('rincian '!#REF!,$AL$5),0)</f>
      </c>
      <c r="V59" s="425">
        <f>IFERROR(U59/N59*R59,0)</f>
      </c>
      <c r="W59" s="244">
        <f t="shared" ca="1" si="14"/>
      </c>
      <c r="X59" s="202">
        <f t="shared" ca="1" si="14"/>
      </c>
      <c r="AL59" s="460"/>
      <c r="AM59" s="460"/>
      <c r="AN59" s="460"/>
      <c r="AO59" s="460"/>
      <c r="AP59" s="460"/>
      <c r="AQ59" s="460"/>
    </row>
    <row r="60" spans="2:43" s="105" customFormat="1" ht="40.049999999999997" customHeight="1">
      <c r="B60" s="370">
        <f>#REF!</f>
      </c>
      <c r="C60" s="232"/>
      <c r="D60" s="704">
        <f>IF(#REF!&lt;&gt;"",#REF!,IF(#REF!&lt;&gt;"",#REF!,""))</f>
      </c>
      <c r="E60" s="704"/>
      <c r="F60" s="704"/>
      <c r="G60" s="704"/>
      <c r="H60" s="704"/>
      <c r="I60" s="704"/>
      <c r="J60" s="704"/>
      <c r="K60" s="704"/>
      <c r="L60" s="704"/>
      <c r="M60" s="705"/>
      <c r="N60" s="167">
        <f>#REF!</f>
      </c>
      <c r="O60" s="167">
        <f>#REF!</f>
      </c>
      <c r="P60" s="260">
        <f>#REF!</f>
      </c>
      <c r="Q60" s="168">
        <f>P60*N60</f>
      </c>
      <c r="R60" s="425">
        <f>IFERROR(Q60/$Q$166,0)</f>
      </c>
      <c r="S60" s="371">
        <f ca="1">IF($AL$5&lt;=1,0,SUM(OFFSET('rincian '!#REF!,0,0,1,$AL$5-1)))</f>
      </c>
      <c r="T60" s="425">
        <f ca="1">IFERROR(S60/N60*R60,0)</f>
      </c>
      <c r="U60" s="372" cm="1">
        <f t="array" ref="U60">IFERROR(INDEX('rincian '!#REF!,$AL$5),0)</f>
      </c>
      <c r="V60" s="425">
        <f>IFERROR(U60/N60*R60,0)</f>
      </c>
      <c r="W60" s="244">
        <f t="shared" ca="1" si="14"/>
      </c>
      <c r="X60" s="202">
        <f t="shared" ca="1" si="14"/>
      </c>
      <c r="AL60" s="460"/>
      <c r="AM60" s="460"/>
      <c r="AN60" s="460"/>
      <c r="AO60" s="460"/>
      <c r="AP60" s="460"/>
      <c r="AQ60" s="460"/>
    </row>
    <row r="61" spans="2:43" s="105" customFormat="1" ht="27" customHeight="1">
      <c r="B61" s="401">
        <f>#REF!</f>
      </c>
      <c r="C61" s="373"/>
      <c r="D61" s="374">
        <f>IF(#REF!&lt;&gt;"",#REF!,IF(#REF!&lt;&gt;"",#REF!,""))</f>
      </c>
      <c r="E61" s="375"/>
      <c r="F61" s="376"/>
      <c r="G61" s="376"/>
      <c r="H61" s="377"/>
      <c r="I61" s="378"/>
      <c r="J61" s="379"/>
      <c r="K61" s="380"/>
      <c r="L61" s="381"/>
      <c r="M61" s="382"/>
      <c r="N61" s="167"/>
      <c r="O61" s="167"/>
      <c r="P61" s="260"/>
      <c r="Q61" s="168"/>
      <c r="R61" s="425"/>
      <c r="S61" s="371"/>
      <c r="T61" s="425"/>
      <c r="U61" s="372"/>
      <c r="V61" s="425"/>
      <c r="W61" s="244"/>
      <c r="X61" s="202"/>
      <c r="AL61" s="460"/>
      <c r="AM61" s="460"/>
      <c r="AN61" s="460"/>
      <c r="AO61" s="460"/>
      <c r="AP61" s="460"/>
      <c r="AQ61" s="460"/>
    </row>
    <row r="62" spans="2:43" s="105" customFormat="1" ht="27" customHeight="1">
      <c r="B62" s="370">
        <f>#REF!</f>
      </c>
      <c r="C62" s="232"/>
      <c r="D62" s="164">
        <f>IF(#REF!&lt;&gt;"",#REF!,IF(#REF!&lt;&gt;"",#REF!,""))</f>
      </c>
      <c r="E62" s="235"/>
      <c r="F62" s="236"/>
      <c r="G62" s="236"/>
      <c r="H62" s="237"/>
      <c r="I62" s="238"/>
      <c r="J62" s="239"/>
      <c r="K62" s="240"/>
      <c r="L62" s="241"/>
      <c r="M62" s="242"/>
      <c r="N62" s="167">
        <f>#REF!</f>
      </c>
      <c r="O62" s="167">
        <f>#REF!</f>
      </c>
      <c r="P62" s="260">
        <f>#REF!</f>
      </c>
      <c r="Q62" s="168">
        <f>P62*N62</f>
      </c>
      <c r="R62" s="425">
        <f>IFERROR(Q62/$Q$166,0)</f>
      </c>
      <c r="S62" s="371">
        <f ca="1">IF($AL$5&lt;=1,0,SUM(OFFSET('rincian '!#REF!,0,0,1,$AL$5-1)))</f>
      </c>
      <c r="T62" s="425">
        <f ca="1">IFERROR(S62/N62*R62,0)</f>
      </c>
      <c r="U62" s="372" cm="1">
        <f t="array" ref="U62">IFERROR(INDEX('rincian '!#REF!,$AL$5),0)</f>
      </c>
      <c r="V62" s="425">
        <f>IFERROR(U62/N62*R62,0)</f>
      </c>
      <c r="W62" s="244">
        <f t="shared" ref="W62:X66" ca="1" si="15">S62+U62</f>
      </c>
      <c r="X62" s="202">
        <f t="shared" ca="1" si="15"/>
      </c>
      <c r="AL62" s="460"/>
      <c r="AM62" s="460"/>
      <c r="AN62" s="460"/>
      <c r="AO62" s="460"/>
      <c r="AP62" s="460"/>
      <c r="AQ62" s="460"/>
    </row>
    <row r="63" spans="2:43" s="105" customFormat="1" ht="27" customHeight="1">
      <c r="B63" s="370">
        <f>#REF!</f>
      </c>
      <c r="C63" s="232"/>
      <c r="D63" s="164">
        <f>IF(#REF!&lt;&gt;"",#REF!,IF(#REF!&lt;&gt;"",#REF!,""))</f>
      </c>
      <c r="E63" s="235"/>
      <c r="F63" s="236"/>
      <c r="G63" s="236"/>
      <c r="H63" s="237"/>
      <c r="I63" s="238"/>
      <c r="J63" s="239"/>
      <c r="K63" s="240"/>
      <c r="L63" s="241"/>
      <c r="M63" s="242"/>
      <c r="N63" s="167">
        <f>#REF!</f>
      </c>
      <c r="O63" s="167">
        <f>#REF!</f>
      </c>
      <c r="P63" s="260">
        <f>#REF!</f>
      </c>
      <c r="Q63" s="168">
        <f>P63*N63</f>
      </c>
      <c r="R63" s="425">
        <f>IFERROR(Q63/$Q$166,0)</f>
      </c>
      <c r="S63" s="371">
        <f ca="1">IF($AL$5&lt;=1,0,SUM(OFFSET('rincian '!#REF!,0,0,1,$AL$5-1)))</f>
      </c>
      <c r="T63" s="425">
        <f ca="1">IFERROR(S63/N63*R63,0)</f>
      </c>
      <c r="U63" s="372" cm="1">
        <f t="array" ref="U63">IFERROR(INDEX('rincian '!#REF!,$AL$5),0)</f>
      </c>
      <c r="V63" s="425">
        <f>IFERROR(U63/N63*R63,0)</f>
      </c>
      <c r="W63" s="244">
        <f t="shared" ca="1" si="15"/>
      </c>
      <c r="X63" s="202">
        <f t="shared" ca="1" si="15"/>
      </c>
      <c r="AL63" s="460"/>
      <c r="AM63" s="460"/>
      <c r="AN63" s="460"/>
      <c r="AO63" s="460"/>
      <c r="AP63" s="460"/>
      <c r="AQ63" s="460"/>
    </row>
    <row r="64" spans="2:43" s="105" customFormat="1" ht="27" customHeight="1">
      <c r="B64" s="370">
        <f>#REF!</f>
      </c>
      <c r="C64" s="232"/>
      <c r="D64" s="164">
        <f>IF(#REF!&lt;&gt;"",#REF!,IF(#REF!&lt;&gt;"",#REF!,""))</f>
      </c>
      <c r="E64" s="235"/>
      <c r="F64" s="236"/>
      <c r="G64" s="236"/>
      <c r="H64" s="237"/>
      <c r="I64" s="238"/>
      <c r="J64" s="239"/>
      <c r="K64" s="240"/>
      <c r="L64" s="241"/>
      <c r="M64" s="242"/>
      <c r="N64" s="167">
        <f>#REF!</f>
      </c>
      <c r="O64" s="167">
        <f>#REF!</f>
      </c>
      <c r="P64" s="260">
        <f>#REF!</f>
      </c>
      <c r="Q64" s="168">
        <f>P64*N64</f>
      </c>
      <c r="R64" s="425">
        <f>IFERROR(Q64/$Q$166,0)</f>
      </c>
      <c r="S64" s="371">
        <f ca="1">IF($AL$5&lt;=1,0,SUM(OFFSET('rincian '!#REF!,0,0,1,$AL$5-1)))</f>
      </c>
      <c r="T64" s="425">
        <f ca="1">IFERROR(S64/N64*R64,0)</f>
      </c>
      <c r="U64" s="372" cm="1">
        <f t="array" ref="U64">IFERROR(INDEX('rincian '!#REF!,$AL$5),0)</f>
      </c>
      <c r="V64" s="425">
        <f>IFERROR(U64/N64*R64,0)</f>
      </c>
      <c r="W64" s="244">
        <f t="shared" ca="1" si="15"/>
      </c>
      <c r="X64" s="202">
        <f t="shared" ca="1" si="15"/>
      </c>
      <c r="AL64" s="460"/>
      <c r="AM64" s="460"/>
      <c r="AN64" s="460"/>
      <c r="AO64" s="460"/>
      <c r="AP64" s="460"/>
      <c r="AQ64" s="460"/>
    </row>
    <row r="65" spans="2:43" s="105" customFormat="1" ht="27" customHeight="1">
      <c r="B65" s="370">
        <f>#REF!</f>
      </c>
      <c r="C65" s="232"/>
      <c r="D65" s="164">
        <f>IF(#REF!&lt;&gt;"",#REF!,IF(#REF!&lt;&gt;"",#REF!,""))</f>
      </c>
      <c r="E65" s="235"/>
      <c r="F65" s="236"/>
      <c r="G65" s="236"/>
      <c r="H65" s="237"/>
      <c r="I65" s="238"/>
      <c r="J65" s="239"/>
      <c r="K65" s="240"/>
      <c r="L65" s="241"/>
      <c r="M65" s="242"/>
      <c r="N65" s="167">
        <f>#REF!</f>
      </c>
      <c r="O65" s="167">
        <f>#REF!</f>
      </c>
      <c r="P65" s="260">
        <f>#REF!</f>
      </c>
      <c r="Q65" s="168">
        <f>P65*N65</f>
      </c>
      <c r="R65" s="425">
        <f>IFERROR(Q65/$Q$166,0)</f>
      </c>
      <c r="S65" s="371">
        <f ca="1">IF($AL$5&lt;=1,0,SUM(OFFSET('rincian '!#REF!,0,0,1,$AL$5-1)))</f>
      </c>
      <c r="T65" s="425">
        <f ca="1">IFERROR(S65/N65*R65,0)</f>
      </c>
      <c r="U65" s="372" cm="1">
        <f t="array" ref="U65">IFERROR(INDEX('rincian '!#REF!,$AL$5),0)</f>
      </c>
      <c r="V65" s="425">
        <f>IFERROR(U65/N65*R65,0)</f>
      </c>
      <c r="W65" s="244">
        <f t="shared" ca="1" si="15"/>
      </c>
      <c r="X65" s="202">
        <f t="shared" ca="1" si="15"/>
      </c>
      <c r="AL65" s="460"/>
      <c r="AM65" s="460"/>
      <c r="AN65" s="460"/>
      <c r="AO65" s="460"/>
      <c r="AP65" s="460"/>
      <c r="AQ65" s="460"/>
    </row>
    <row r="66" spans="2:43" s="105" customFormat="1" ht="27" customHeight="1">
      <c r="B66" s="370">
        <f>#REF!</f>
      </c>
      <c r="C66" s="232"/>
      <c r="D66" s="164">
        <f>IF(#REF!&lt;&gt;"",#REF!,IF(#REF!&lt;&gt;"",#REF!,""))</f>
      </c>
      <c r="E66" s="235"/>
      <c r="F66" s="236"/>
      <c r="G66" s="236"/>
      <c r="H66" s="237"/>
      <c r="I66" s="238"/>
      <c r="J66" s="239"/>
      <c r="K66" s="240"/>
      <c r="L66" s="241"/>
      <c r="M66" s="242"/>
      <c r="N66" s="167">
        <f>#REF!</f>
      </c>
      <c r="O66" s="167">
        <f>#REF!</f>
      </c>
      <c r="P66" s="260">
        <f>#REF!</f>
      </c>
      <c r="Q66" s="168">
        <f>P66*N66</f>
      </c>
      <c r="R66" s="425">
        <f>IFERROR(Q66/$Q$166,0)</f>
      </c>
      <c r="S66" s="371">
        <f ca="1">IF($AL$5&lt;=1,0,SUM(OFFSET('rincian '!#REF!,0,0,1,$AL$5-1)))</f>
      </c>
      <c r="T66" s="425">
        <f ca="1">IFERROR(S66/N66*R66,0)</f>
      </c>
      <c r="U66" s="372" cm="1">
        <f t="array" ref="U66">IFERROR(INDEX('rincian '!#REF!,$AL$5),0)</f>
      </c>
      <c r="V66" s="425">
        <f>IFERROR(U66/N66*R66,0)</f>
      </c>
      <c r="W66" s="244">
        <f t="shared" ca="1" si="15"/>
      </c>
      <c r="X66" s="202">
        <f t="shared" ca="1" si="15"/>
      </c>
      <c r="AL66" s="460"/>
      <c r="AM66" s="460"/>
      <c r="AN66" s="460"/>
      <c r="AO66" s="460"/>
      <c r="AP66" s="460"/>
      <c r="AQ66" s="460"/>
    </row>
    <row r="67" spans="2:43" s="105" customFormat="1" ht="27" customHeight="1">
      <c r="B67" s="401">
        <f>#REF!</f>
      </c>
      <c r="C67" s="373"/>
      <c r="D67" s="374">
        <f>IF(#REF!&lt;&gt;"",#REF!,IF(#REF!&lt;&gt;"",#REF!,""))</f>
      </c>
      <c r="E67" s="375"/>
      <c r="F67" s="376"/>
      <c r="G67" s="376"/>
      <c r="H67" s="377"/>
      <c r="I67" s="378"/>
      <c r="J67" s="379"/>
      <c r="K67" s="380"/>
      <c r="L67" s="381"/>
      <c r="M67" s="382"/>
      <c r="N67" s="167"/>
      <c r="O67" s="167"/>
      <c r="P67" s="260"/>
      <c r="Q67" s="168"/>
      <c r="R67" s="425"/>
      <c r="S67" s="371"/>
      <c r="T67" s="425"/>
      <c r="U67" s="372"/>
      <c r="V67" s="425"/>
      <c r="W67" s="244"/>
      <c r="X67" s="202"/>
      <c r="AL67" s="460"/>
      <c r="AM67" s="460"/>
      <c r="AN67" s="460"/>
      <c r="AO67" s="460"/>
      <c r="AP67" s="460"/>
      <c r="AQ67" s="460"/>
    </row>
    <row r="68" spans="2:43" s="105" customFormat="1" ht="27" customHeight="1">
      <c r="B68" s="370">
        <f>#REF!</f>
      </c>
      <c r="C68" s="232"/>
      <c r="D68" s="164">
        <f>IF(#REF!&lt;&gt;"",#REF!,IF(#REF!&lt;&gt;"",#REF!,""))</f>
      </c>
      <c r="E68" s="235"/>
      <c r="F68" s="236"/>
      <c r="G68" s="236"/>
      <c r="H68" s="237"/>
      <c r="I68" s="238"/>
      <c r="J68" s="239"/>
      <c r="K68" s="240"/>
      <c r="L68" s="241"/>
      <c r="M68" s="242"/>
      <c r="N68" s="167">
        <f>#REF!</f>
      </c>
      <c r="O68" s="167">
        <f>#REF!</f>
      </c>
      <c r="P68" s="260">
        <f>#REF!</f>
      </c>
      <c r="Q68" s="168">
        <f t="shared" ref="Q68:Q78" si="16">P68*N68</f>
      </c>
      <c r="R68" s="425">
        <f t="shared" ref="R68:R78" si="17">IFERROR(Q68/$Q$166,0)</f>
      </c>
      <c r="S68" s="371">
        <f ca="1">IF($AL$5&lt;=1,0,SUM(OFFSET('rincian '!#REF!,0,0,1,$AL$5-1)))</f>
      </c>
      <c r="T68" s="425">
        <f t="shared" ref="T68:T78" ca="1" si="18">IFERROR(S68/N68*R68,0)</f>
      </c>
      <c r="U68" s="372" cm="1">
        <f t="array" ref="U68">IFERROR(INDEX('rincian '!#REF!,$AL$5),0)</f>
      </c>
      <c r="V68" s="425">
        <f t="shared" ref="V68:V78" si="19">IFERROR(U68/N68*R68,0)</f>
      </c>
      <c r="W68" s="244">
        <f t="shared" ref="W68:X78" ca="1" si="20">S68+U68</f>
      </c>
      <c r="X68" s="202">
        <f t="shared" ca="1" si="20"/>
      </c>
      <c r="AL68" s="460"/>
      <c r="AM68" s="460"/>
      <c r="AN68" s="460"/>
      <c r="AO68" s="460"/>
      <c r="AP68" s="460"/>
      <c r="AQ68" s="460"/>
    </row>
    <row r="69" spans="2:43" s="105" customFormat="1" ht="27" customHeight="1">
      <c r="B69" s="370">
        <f>#REF!</f>
      </c>
      <c r="C69" s="232"/>
      <c r="D69" s="164">
        <f>IF(#REF!&lt;&gt;"",#REF!,IF(#REF!&lt;&gt;"",#REF!,""))</f>
      </c>
      <c r="E69" s="235"/>
      <c r="F69" s="236"/>
      <c r="G69" s="236"/>
      <c r="H69" s="237"/>
      <c r="I69" s="238"/>
      <c r="J69" s="239"/>
      <c r="K69" s="240"/>
      <c r="L69" s="241"/>
      <c r="M69" s="242"/>
      <c r="N69" s="167">
        <f>#REF!</f>
      </c>
      <c r="O69" s="167">
        <f>#REF!</f>
      </c>
      <c r="P69" s="260">
        <f>#REF!</f>
      </c>
      <c r="Q69" s="168">
        <f t="shared" si="16"/>
      </c>
      <c r="R69" s="425">
        <f t="shared" si="17"/>
      </c>
      <c r="S69" s="371">
        <f ca="1">IF($AL$5&lt;=1,0,SUM(OFFSET('rincian '!#REF!,0,0,1,$AL$5-1)))</f>
      </c>
      <c r="T69" s="425">
        <f t="shared" ca="1" si="18"/>
      </c>
      <c r="U69" s="372" cm="1">
        <f t="array" ref="U69">IFERROR(INDEX('rincian '!#REF!,$AL$5),0)</f>
      </c>
      <c r="V69" s="425">
        <f t="shared" si="19"/>
      </c>
      <c r="W69" s="244">
        <f t="shared" ca="1" si="20"/>
      </c>
      <c r="X69" s="202">
        <f t="shared" ca="1" si="20"/>
      </c>
      <c r="AL69" s="460"/>
      <c r="AM69" s="460"/>
      <c r="AN69" s="460"/>
      <c r="AO69" s="460"/>
      <c r="AP69" s="460"/>
      <c r="AQ69" s="460"/>
    </row>
    <row r="70" spans="2:43" s="105" customFormat="1" ht="27" customHeight="1">
      <c r="B70" s="370">
        <f>#REF!</f>
      </c>
      <c r="C70" s="232"/>
      <c r="D70" s="164">
        <f>IF(#REF!&lt;&gt;"",#REF!,IF(#REF!&lt;&gt;"",#REF!,""))</f>
      </c>
      <c r="E70" s="235"/>
      <c r="F70" s="236"/>
      <c r="G70" s="236"/>
      <c r="H70" s="237"/>
      <c r="I70" s="238"/>
      <c r="J70" s="239"/>
      <c r="K70" s="240"/>
      <c r="L70" s="241"/>
      <c r="M70" s="242"/>
      <c r="N70" s="167">
        <f>#REF!</f>
      </c>
      <c r="O70" s="167">
        <f>#REF!</f>
      </c>
      <c r="P70" s="260">
        <f>#REF!</f>
      </c>
      <c r="Q70" s="168">
        <f t="shared" si="16"/>
      </c>
      <c r="R70" s="425">
        <f t="shared" si="17"/>
      </c>
      <c r="S70" s="371">
        <f ca="1">IF($AL$5&lt;=1,0,SUM(OFFSET('rincian '!#REF!,0,0,1,$AL$5-1)))</f>
      </c>
      <c r="T70" s="425">
        <f t="shared" ca="1" si="18"/>
      </c>
      <c r="U70" s="372" cm="1">
        <f t="array" ref="U70">IFERROR(INDEX('rincian '!#REF!,$AL$5),0)</f>
      </c>
      <c r="V70" s="425">
        <f t="shared" si="19"/>
      </c>
      <c r="W70" s="244">
        <f t="shared" ca="1" si="20"/>
      </c>
      <c r="X70" s="202">
        <f t="shared" ca="1" si="20"/>
      </c>
      <c r="AL70" s="460"/>
      <c r="AM70" s="460"/>
      <c r="AN70" s="460"/>
      <c r="AO70" s="460"/>
      <c r="AP70" s="460"/>
      <c r="AQ70" s="460"/>
    </row>
    <row r="71" spans="2:43" s="105" customFormat="1" ht="27" customHeight="1">
      <c r="B71" s="370">
        <f>#REF!</f>
      </c>
      <c r="C71" s="232"/>
      <c r="D71" s="164">
        <f>IF(#REF!&lt;&gt;"",#REF!,IF(#REF!&lt;&gt;"",#REF!,""))</f>
      </c>
      <c r="E71" s="235"/>
      <c r="F71" s="236"/>
      <c r="G71" s="236"/>
      <c r="H71" s="237"/>
      <c r="I71" s="238"/>
      <c r="J71" s="239"/>
      <c r="K71" s="240"/>
      <c r="L71" s="241"/>
      <c r="M71" s="242"/>
      <c r="N71" s="167">
        <f>#REF!</f>
      </c>
      <c r="O71" s="167">
        <f>#REF!</f>
      </c>
      <c r="P71" s="260">
        <f>#REF!</f>
      </c>
      <c r="Q71" s="168">
        <f t="shared" si="16"/>
      </c>
      <c r="R71" s="425">
        <f t="shared" si="17"/>
      </c>
      <c r="S71" s="371">
        <f ca="1">IF($AL$5&lt;=1,0,SUM(OFFSET('rincian '!#REF!,0,0,1,$AL$5-1)))</f>
      </c>
      <c r="T71" s="425">
        <f t="shared" ca="1" si="18"/>
      </c>
      <c r="U71" s="372" cm="1">
        <f t="array" ref="U71">IFERROR(INDEX('rincian '!#REF!,$AL$5),0)</f>
      </c>
      <c r="V71" s="425">
        <f t="shared" si="19"/>
      </c>
      <c r="W71" s="244">
        <f t="shared" ca="1" si="20"/>
      </c>
      <c r="X71" s="202">
        <f t="shared" ca="1" si="20"/>
      </c>
      <c r="AL71" s="460"/>
      <c r="AM71" s="460"/>
      <c r="AN71" s="460"/>
      <c r="AO71" s="460"/>
      <c r="AP71" s="460"/>
      <c r="AQ71" s="460"/>
    </row>
    <row r="72" spans="2:43" s="105" customFormat="1" ht="27" customHeight="1">
      <c r="B72" s="370">
        <f>#REF!</f>
      </c>
      <c r="C72" s="232"/>
      <c r="D72" s="164">
        <f>IF(#REF!&lt;&gt;"",#REF!,IF(#REF!&lt;&gt;"",#REF!,""))</f>
      </c>
      <c r="E72" s="235"/>
      <c r="F72" s="236"/>
      <c r="G72" s="236"/>
      <c r="H72" s="237"/>
      <c r="I72" s="238"/>
      <c r="J72" s="239"/>
      <c r="K72" s="240"/>
      <c r="L72" s="241"/>
      <c r="M72" s="242"/>
      <c r="N72" s="167">
        <f>#REF!</f>
      </c>
      <c r="O72" s="167">
        <f>#REF!</f>
      </c>
      <c r="P72" s="260">
        <f>#REF!</f>
      </c>
      <c r="Q72" s="168">
        <f t="shared" si="16"/>
      </c>
      <c r="R72" s="425">
        <f t="shared" si="17"/>
      </c>
      <c r="S72" s="371">
        <f ca="1">IF($AL$5&lt;=1,0,SUM(OFFSET('rincian '!#REF!,0,0,1,$AL$5-1)))</f>
      </c>
      <c r="T72" s="425">
        <f t="shared" ca="1" si="18"/>
      </c>
      <c r="U72" s="372" cm="1">
        <f t="array" ref="U72">IFERROR(INDEX('rincian '!#REF!,$AL$5),0)</f>
      </c>
      <c r="V72" s="425">
        <f t="shared" si="19"/>
      </c>
      <c r="W72" s="244">
        <f t="shared" ca="1" si="20"/>
      </c>
      <c r="X72" s="202">
        <f t="shared" ca="1" si="20"/>
      </c>
      <c r="AL72" s="460"/>
      <c r="AM72" s="460"/>
      <c r="AN72" s="460"/>
      <c r="AO72" s="460"/>
      <c r="AP72" s="460"/>
      <c r="AQ72" s="460"/>
    </row>
    <row r="73" spans="2:43" s="105" customFormat="1" ht="27" customHeight="1">
      <c r="B73" s="370">
        <f>#REF!</f>
      </c>
      <c r="C73" s="232"/>
      <c r="D73" s="164">
        <f>IF(#REF!&lt;&gt;"",#REF!,IF(#REF!&lt;&gt;"",#REF!,""))</f>
      </c>
      <c r="E73" s="235"/>
      <c r="F73" s="236"/>
      <c r="G73" s="236"/>
      <c r="H73" s="237"/>
      <c r="I73" s="238"/>
      <c r="J73" s="239"/>
      <c r="K73" s="240"/>
      <c r="L73" s="241"/>
      <c r="M73" s="242"/>
      <c r="N73" s="167">
        <f>#REF!</f>
      </c>
      <c r="O73" s="167">
        <f>#REF!</f>
      </c>
      <c r="P73" s="260">
        <f>#REF!</f>
      </c>
      <c r="Q73" s="168">
        <f t="shared" si="16"/>
      </c>
      <c r="R73" s="425">
        <f t="shared" si="17"/>
      </c>
      <c r="S73" s="371">
        <f ca="1">IF($AL$5&lt;=1,0,SUM(OFFSET('rincian '!#REF!,0,0,1,$AL$5-1)))</f>
      </c>
      <c r="T73" s="425">
        <f t="shared" ca="1" si="18"/>
      </c>
      <c r="U73" s="372" cm="1">
        <f t="array" ref="U73">IFERROR(INDEX('rincian '!#REF!,$AL$5),0)</f>
      </c>
      <c r="V73" s="425">
        <f t="shared" si="19"/>
      </c>
      <c r="W73" s="244">
        <f t="shared" ca="1" si="20"/>
      </c>
      <c r="X73" s="202">
        <f t="shared" ca="1" si="20"/>
      </c>
      <c r="AL73" s="460"/>
      <c r="AM73" s="460"/>
      <c r="AN73" s="460"/>
      <c r="AO73" s="460"/>
      <c r="AP73" s="460"/>
      <c r="AQ73" s="460"/>
    </row>
    <row r="74" spans="2:43" s="105" customFormat="1" ht="27" customHeight="1">
      <c r="B74" s="370">
        <f>#REF!</f>
      </c>
      <c r="C74" s="232"/>
      <c r="D74" s="164">
        <f>IF(#REF!&lt;&gt;"",#REF!,IF(#REF!&lt;&gt;"",#REF!,""))</f>
      </c>
      <c r="E74" s="235"/>
      <c r="F74" s="236"/>
      <c r="G74" s="236"/>
      <c r="H74" s="237"/>
      <c r="I74" s="238"/>
      <c r="J74" s="239"/>
      <c r="K74" s="240"/>
      <c r="L74" s="241"/>
      <c r="M74" s="242"/>
      <c r="N74" s="167">
        <f>#REF!</f>
      </c>
      <c r="O74" s="167">
        <f>#REF!</f>
      </c>
      <c r="P74" s="260">
        <f>#REF!</f>
      </c>
      <c r="Q74" s="168">
        <f t="shared" si="16"/>
      </c>
      <c r="R74" s="425">
        <f t="shared" si="17"/>
      </c>
      <c r="S74" s="371">
        <f ca="1">IF($AL$5&lt;=1,0,SUM(OFFSET('rincian '!#REF!,0,0,1,$AL$5-1)))</f>
      </c>
      <c r="T74" s="425">
        <f t="shared" ca="1" si="18"/>
      </c>
      <c r="U74" s="372" cm="1">
        <f t="array" ref="U74">IFERROR(INDEX('rincian '!#REF!,$AL$5),0)</f>
      </c>
      <c r="V74" s="425">
        <f t="shared" si="19"/>
      </c>
      <c r="W74" s="244">
        <f t="shared" ca="1" si="20"/>
      </c>
      <c r="X74" s="202">
        <f t="shared" ca="1" si="20"/>
      </c>
      <c r="AL74" s="460"/>
      <c r="AM74" s="460"/>
      <c r="AN74" s="460"/>
      <c r="AO74" s="460"/>
      <c r="AP74" s="460"/>
      <c r="AQ74" s="460"/>
    </row>
    <row r="75" spans="2:43" s="105" customFormat="1" ht="27" customHeight="1">
      <c r="B75" s="370">
        <f>#REF!</f>
      </c>
      <c r="C75" s="232"/>
      <c r="D75" s="164">
        <f>IF(#REF!&lt;&gt;"",#REF!,IF(#REF!&lt;&gt;"",#REF!,""))</f>
      </c>
      <c r="E75" s="235"/>
      <c r="F75" s="236"/>
      <c r="G75" s="236"/>
      <c r="H75" s="237"/>
      <c r="I75" s="238"/>
      <c r="J75" s="239"/>
      <c r="K75" s="240"/>
      <c r="L75" s="241"/>
      <c r="M75" s="242"/>
      <c r="N75" s="167">
        <f>#REF!</f>
      </c>
      <c r="O75" s="167">
        <f>#REF!</f>
      </c>
      <c r="P75" s="260">
        <f>#REF!</f>
      </c>
      <c r="Q75" s="168">
        <f t="shared" si="16"/>
      </c>
      <c r="R75" s="425">
        <f t="shared" si="17"/>
      </c>
      <c r="S75" s="371">
        <f ca="1">IF($AL$5&lt;=1,0,SUM(OFFSET('rincian '!#REF!,0,0,1,$AL$5-1)))</f>
      </c>
      <c r="T75" s="425">
        <f t="shared" ca="1" si="18"/>
      </c>
      <c r="U75" s="372" cm="1">
        <f t="array" ref="U75">IFERROR(INDEX('rincian '!#REF!,$AL$5),0)</f>
      </c>
      <c r="V75" s="425">
        <f t="shared" si="19"/>
      </c>
      <c r="W75" s="244">
        <f t="shared" ca="1" si="20"/>
      </c>
      <c r="X75" s="202">
        <f t="shared" ca="1" si="20"/>
      </c>
      <c r="AL75" s="460"/>
      <c r="AM75" s="460"/>
      <c r="AN75" s="460"/>
      <c r="AO75" s="460"/>
      <c r="AP75" s="460"/>
      <c r="AQ75" s="460"/>
    </row>
    <row r="76" spans="2:43" s="105" customFormat="1" ht="27" customHeight="1">
      <c r="B76" s="370">
        <f>#REF!</f>
      </c>
      <c r="C76" s="232"/>
      <c r="D76" s="164">
        <f>IF(#REF!&lt;&gt;"",#REF!,IF(#REF!&lt;&gt;"",#REF!,""))</f>
      </c>
      <c r="E76" s="235"/>
      <c r="F76" s="236"/>
      <c r="G76" s="236"/>
      <c r="H76" s="237"/>
      <c r="I76" s="238"/>
      <c r="J76" s="239"/>
      <c r="K76" s="240"/>
      <c r="L76" s="241"/>
      <c r="M76" s="242"/>
      <c r="N76" s="167">
        <f>#REF!</f>
      </c>
      <c r="O76" s="167">
        <f>#REF!</f>
      </c>
      <c r="P76" s="260">
        <f>#REF!</f>
      </c>
      <c r="Q76" s="168">
        <f t="shared" si="16"/>
      </c>
      <c r="R76" s="425">
        <f t="shared" si="17"/>
      </c>
      <c r="S76" s="371">
        <f ca="1">IF($AL$5&lt;=1,0,SUM(OFFSET('rincian '!#REF!,0,0,1,$AL$5-1)))</f>
      </c>
      <c r="T76" s="425">
        <f t="shared" ca="1" si="18"/>
      </c>
      <c r="U76" s="372" cm="1">
        <f t="array" ref="U76">IFERROR(INDEX('rincian '!#REF!,$AL$5),0)</f>
      </c>
      <c r="V76" s="425">
        <f t="shared" si="19"/>
      </c>
      <c r="W76" s="244">
        <f t="shared" ca="1" si="20"/>
      </c>
      <c r="X76" s="202">
        <f t="shared" ca="1" si="20"/>
      </c>
      <c r="AL76" s="460"/>
      <c r="AM76" s="460"/>
      <c r="AN76" s="460"/>
      <c r="AO76" s="460"/>
      <c r="AP76" s="460"/>
      <c r="AQ76" s="460"/>
    </row>
    <row r="77" spans="2:43" s="105" customFormat="1" ht="27" customHeight="1">
      <c r="B77" s="370">
        <f>#REF!</f>
      </c>
      <c r="C77" s="232"/>
      <c r="D77" s="164">
        <f>IF(#REF!&lt;&gt;"",#REF!,IF(#REF!&lt;&gt;"",#REF!,""))</f>
      </c>
      <c r="E77" s="235"/>
      <c r="F77" s="236"/>
      <c r="G77" s="236"/>
      <c r="H77" s="237"/>
      <c r="I77" s="238"/>
      <c r="J77" s="239"/>
      <c r="K77" s="240"/>
      <c r="L77" s="241"/>
      <c r="M77" s="242"/>
      <c r="N77" s="167">
        <f>#REF!</f>
      </c>
      <c r="O77" s="167">
        <f>#REF!</f>
      </c>
      <c r="P77" s="260">
        <f>#REF!</f>
      </c>
      <c r="Q77" s="168">
        <f t="shared" si="16"/>
      </c>
      <c r="R77" s="425">
        <f t="shared" si="17"/>
      </c>
      <c r="S77" s="371">
        <f ca="1">IF($AL$5&lt;=1,0,SUM(OFFSET('rincian '!#REF!,0,0,1,$AL$5-1)))</f>
      </c>
      <c r="T77" s="425">
        <f t="shared" ca="1" si="18"/>
      </c>
      <c r="U77" s="372" cm="1">
        <f t="array" ref="U77">IFERROR(INDEX('rincian '!#REF!,$AL$5),0)</f>
      </c>
      <c r="V77" s="425">
        <f t="shared" si="19"/>
      </c>
      <c r="W77" s="244">
        <f t="shared" ca="1" si="20"/>
      </c>
      <c r="X77" s="202">
        <f t="shared" ca="1" si="20"/>
      </c>
      <c r="AL77" s="460"/>
      <c r="AM77" s="460"/>
      <c r="AN77" s="460"/>
      <c r="AO77" s="460"/>
      <c r="AP77" s="460"/>
      <c r="AQ77" s="460"/>
    </row>
    <row r="78" spans="2:43" s="105" customFormat="1" ht="27" customHeight="1">
      <c r="B78" s="370">
        <f>#REF!</f>
      </c>
      <c r="C78" s="232"/>
      <c r="D78" s="164">
        <f>IF(#REF!&lt;&gt;"",#REF!,IF(#REF!&lt;&gt;"",#REF!,""))</f>
      </c>
      <c r="E78" s="235"/>
      <c r="F78" s="236"/>
      <c r="G78" s="236"/>
      <c r="H78" s="237"/>
      <c r="I78" s="238"/>
      <c r="J78" s="239"/>
      <c r="K78" s="240"/>
      <c r="L78" s="241"/>
      <c r="M78" s="242"/>
      <c r="N78" s="167">
        <f>#REF!</f>
      </c>
      <c r="O78" s="167">
        <f>#REF!</f>
      </c>
      <c r="P78" s="260">
        <f>#REF!</f>
      </c>
      <c r="Q78" s="168">
        <f t="shared" si="16"/>
      </c>
      <c r="R78" s="425">
        <f t="shared" si="17"/>
      </c>
      <c r="S78" s="371">
        <f ca="1">IF($AL$5&lt;=1,0,SUM(OFFSET('rincian '!#REF!,0,0,1,$AL$5-1)))</f>
      </c>
      <c r="T78" s="425">
        <f t="shared" ca="1" si="18"/>
      </c>
      <c r="U78" s="372" cm="1">
        <f t="array" ref="U78">IFERROR(INDEX('rincian '!#REF!,$AL$5),0)</f>
      </c>
      <c r="V78" s="425">
        <f t="shared" si="19"/>
      </c>
      <c r="W78" s="244">
        <f t="shared" ca="1" si="20"/>
      </c>
      <c r="X78" s="202">
        <f t="shared" ca="1" si="20"/>
      </c>
      <c r="AL78" s="460"/>
      <c r="AM78" s="460"/>
      <c r="AN78" s="460"/>
      <c r="AO78" s="460"/>
      <c r="AP78" s="460"/>
      <c r="AQ78" s="460"/>
    </row>
    <row r="79" spans="2:43" s="105" customFormat="1" ht="27" customHeight="1">
      <c r="B79" s="402">
        <f>#REF!</f>
      </c>
      <c r="C79" s="384"/>
      <c r="D79" s="385">
        <f>IF(#REF!&lt;&gt;"",#REF!,IF(#REF!&lt;&gt;"",#REF!,""))</f>
      </c>
      <c r="E79" s="386"/>
      <c r="F79" s="387"/>
      <c r="G79" s="387"/>
      <c r="H79" s="388"/>
      <c r="I79" s="389"/>
      <c r="J79" s="390"/>
      <c r="K79" s="391"/>
      <c r="L79" s="392"/>
      <c r="M79" s="393"/>
      <c r="N79" s="394"/>
      <c r="O79" s="394"/>
      <c r="P79" s="395"/>
      <c r="Q79" s="396"/>
      <c r="R79" s="426"/>
      <c r="S79" s="403"/>
      <c r="T79" s="426"/>
      <c r="U79" s="403"/>
      <c r="V79" s="426"/>
      <c r="W79" s="399"/>
      <c r="X79" s="400"/>
      <c r="AL79" s="460"/>
      <c r="AM79" s="460"/>
      <c r="AN79" s="460"/>
      <c r="AO79" s="460"/>
      <c r="AP79" s="460"/>
      <c r="AQ79" s="460"/>
    </row>
    <row r="80" spans="2:43" s="105" customFormat="1" ht="27" customHeight="1">
      <c r="B80" s="401">
        <f>#REF!</f>
      </c>
      <c r="C80" s="373"/>
      <c r="D80" s="374">
        <f>IF(#REF!&lt;&gt;"",#REF!,IF(#REF!&lt;&gt;"",#REF!,""))</f>
      </c>
      <c r="E80" s="375"/>
      <c r="F80" s="376"/>
      <c r="G80" s="376"/>
      <c r="H80" s="377"/>
      <c r="I80" s="378"/>
      <c r="J80" s="379"/>
      <c r="K80" s="380"/>
      <c r="L80" s="381"/>
      <c r="M80" s="382"/>
      <c r="N80" s="167"/>
      <c r="O80" s="167"/>
      <c r="P80" s="260"/>
      <c r="Q80" s="168"/>
      <c r="R80" s="425"/>
      <c r="S80" s="371"/>
      <c r="T80" s="425"/>
      <c r="U80" s="372"/>
      <c r="V80" s="425"/>
      <c r="W80" s="244"/>
      <c r="X80" s="202"/>
      <c r="AL80" s="460"/>
      <c r="AM80" s="460"/>
      <c r="AN80" s="460"/>
      <c r="AO80" s="460"/>
      <c r="AP80" s="460"/>
      <c r="AQ80" s="460"/>
    </row>
    <row r="81" spans="2:43" s="105" customFormat="1" ht="27" customHeight="1">
      <c r="B81" s="370">
        <f>#REF!</f>
      </c>
      <c r="C81" s="232"/>
      <c r="D81" s="164">
        <f>IF(#REF!&lt;&gt;"",#REF!,IF(#REF!&lt;&gt;"",#REF!,""))</f>
      </c>
      <c r="E81" s="235"/>
      <c r="F81" s="236"/>
      <c r="G81" s="236"/>
      <c r="H81" s="237"/>
      <c r="I81" s="238"/>
      <c r="J81" s="239"/>
      <c r="K81" s="240"/>
      <c r="L81" s="241"/>
      <c r="M81" s="242"/>
      <c r="N81" s="167">
        <f>#REF!</f>
      </c>
      <c r="O81" s="167">
        <f>#REF!</f>
      </c>
      <c r="P81" s="260">
        <f>#REF!</f>
      </c>
      <c r="Q81" s="168">
        <f>P81*N81</f>
      </c>
      <c r="R81" s="425">
        <f>IFERROR(Q81/$Q$166,0)</f>
      </c>
      <c r="S81" s="371">
        <f ca="1">IF($AL$5&lt;=1,0,SUM(OFFSET('rincian '!#REF!,0,0,1,$AL$5-1)))</f>
      </c>
      <c r="T81" s="425">
        <f ca="1">IFERROR(S81/N81*R81,0)</f>
      </c>
      <c r="U81" s="372" cm="1">
        <f t="array" ref="U81">IFERROR(INDEX('rincian '!#REF!,$AL$5),0)</f>
      </c>
      <c r="V81" s="425">
        <f>IFERROR(U81/N81*R81,0)</f>
      </c>
      <c r="W81" s="244">
        <f ca="1">S81+U81</f>
      </c>
      <c r="X81" s="202">
        <f ca="1">T81+V81</f>
      </c>
      <c r="AL81" s="460"/>
      <c r="AM81" s="460"/>
      <c r="AN81" s="460"/>
      <c r="AO81" s="460"/>
      <c r="AP81" s="460"/>
      <c r="AQ81" s="460"/>
    </row>
    <row r="82" spans="2:43" s="105" customFormat="1" ht="27" customHeight="1">
      <c r="B82" s="370">
        <f>#REF!</f>
      </c>
      <c r="C82" s="232"/>
      <c r="D82" s="164">
        <f>IF(#REF!&lt;&gt;"",#REF!,IF(#REF!&lt;&gt;"",#REF!,""))</f>
      </c>
      <c r="E82" s="235"/>
      <c r="F82" s="236"/>
      <c r="G82" s="236"/>
      <c r="H82" s="237"/>
      <c r="I82" s="238"/>
      <c r="J82" s="239"/>
      <c r="K82" s="240"/>
      <c r="L82" s="241"/>
      <c r="M82" s="242"/>
      <c r="N82" s="167">
        <f>#REF!</f>
      </c>
      <c r="O82" s="167">
        <f>#REF!</f>
      </c>
      <c r="P82" s="260">
        <f>#REF!</f>
      </c>
      <c r="Q82" s="168">
        <f>P82*N82</f>
      </c>
      <c r="R82" s="425">
        <f>IFERROR(Q82/$Q$166,0)</f>
      </c>
      <c r="S82" s="371">
        <f ca="1">IF($AL$5&lt;=1,0,SUM(OFFSET('rincian '!#REF!,0,0,1,$AL$5-1)))</f>
      </c>
      <c r="T82" s="425">
        <f ca="1">IFERROR(S82/N82*R82,0)</f>
      </c>
      <c r="U82" s="372" cm="1">
        <f t="array" ref="U82">IFERROR(INDEX('rincian '!#REF!,$AL$5),0)</f>
      </c>
      <c r="V82" s="425">
        <f>IFERROR(U82/N82*R82,0)</f>
      </c>
      <c r="W82" s="244">
        <f ca="1">S82+U82</f>
      </c>
      <c r="X82" s="202">
        <f ca="1">T82+V82</f>
      </c>
      <c r="AL82" s="460"/>
      <c r="AM82" s="460"/>
      <c r="AN82" s="460"/>
      <c r="AO82" s="460"/>
      <c r="AP82" s="460"/>
      <c r="AQ82" s="460"/>
    </row>
    <row r="83" spans="2:43" s="105" customFormat="1" ht="27" customHeight="1">
      <c r="B83" s="401">
        <f>#REF!</f>
      </c>
      <c r="C83" s="373"/>
      <c r="D83" s="374">
        <f>IF(#REF!&lt;&gt;"",#REF!,IF(#REF!&lt;&gt;"",#REF!,""))</f>
      </c>
      <c r="E83" s="375"/>
      <c r="F83" s="376"/>
      <c r="G83" s="376"/>
      <c r="H83" s="377"/>
      <c r="I83" s="378"/>
      <c r="J83" s="379"/>
      <c r="K83" s="380"/>
      <c r="L83" s="381"/>
      <c r="M83" s="382"/>
      <c r="N83" s="167"/>
      <c r="O83" s="167"/>
      <c r="P83" s="260"/>
      <c r="Q83" s="168"/>
      <c r="R83" s="425"/>
      <c r="S83" s="371"/>
      <c r="T83" s="425"/>
      <c r="U83" s="372"/>
      <c r="V83" s="425"/>
      <c r="W83" s="244"/>
      <c r="X83" s="202"/>
      <c r="AL83" s="460"/>
      <c r="AM83" s="460"/>
      <c r="AN83" s="460"/>
      <c r="AO83" s="460"/>
      <c r="AP83" s="460"/>
      <c r="AQ83" s="460"/>
    </row>
    <row r="84" spans="2:43" s="105" customFormat="1" ht="27" customHeight="1">
      <c r="B84" s="370">
        <f>#REF!</f>
      </c>
      <c r="C84" s="232"/>
      <c r="D84" s="164">
        <f>IF(#REF!&lt;&gt;"",#REF!,IF(#REF!&lt;&gt;"",#REF!,""))</f>
      </c>
      <c r="E84" s="235"/>
      <c r="F84" s="236"/>
      <c r="G84" s="236"/>
      <c r="H84" s="237"/>
      <c r="I84" s="238"/>
      <c r="J84" s="239"/>
      <c r="K84" s="240"/>
      <c r="L84" s="241"/>
      <c r="M84" s="242"/>
      <c r="N84" s="167">
        <f>#REF!</f>
      </c>
      <c r="O84" s="167">
        <f>#REF!</f>
      </c>
      <c r="P84" s="260">
        <f>#REF!</f>
      </c>
      <c r="Q84" s="168">
        <f>P84*N84</f>
      </c>
      <c r="R84" s="425">
        <f>IFERROR(Q84/$Q$166,0)</f>
      </c>
      <c r="S84" s="371">
        <f ca="1">IF($AL$5&lt;=1,0,SUM(OFFSET('rincian '!#REF!,0,0,1,$AL$5-1)))</f>
      </c>
      <c r="T84" s="425">
        <f ca="1">IFERROR(S84/N84*R84,0)</f>
      </c>
      <c r="U84" s="372" cm="1">
        <f t="array" ref="U84">IFERROR(INDEX('rincian '!#REF!,$AL$5),0)</f>
      </c>
      <c r="V84" s="425">
        <f>IFERROR(U84/N84*R84,0)</f>
      </c>
      <c r="W84" s="244">
        <f t="shared" ref="W84:X86" ca="1" si="21">S84+U84</f>
      </c>
      <c r="X84" s="202">
        <f t="shared" ca="1" si="21"/>
      </c>
      <c r="AL84" s="460"/>
      <c r="AM84" s="460"/>
      <c r="AN84" s="460"/>
      <c r="AO84" s="460"/>
      <c r="AP84" s="460"/>
      <c r="AQ84" s="460"/>
    </row>
    <row r="85" spans="2:43" s="105" customFormat="1" ht="27" customHeight="1">
      <c r="B85" s="370">
        <f>#REF!</f>
      </c>
      <c r="C85" s="232"/>
      <c r="D85" s="164">
        <f>IF(#REF!&lt;&gt;"",#REF!,IF(#REF!&lt;&gt;"",#REF!,""))</f>
      </c>
      <c r="E85" s="235"/>
      <c r="F85" s="236"/>
      <c r="G85" s="236"/>
      <c r="H85" s="237"/>
      <c r="I85" s="238"/>
      <c r="J85" s="239"/>
      <c r="K85" s="240"/>
      <c r="L85" s="241"/>
      <c r="M85" s="242"/>
      <c r="N85" s="167">
        <f>#REF!</f>
      </c>
      <c r="O85" s="167">
        <f>#REF!</f>
      </c>
      <c r="P85" s="260">
        <f>#REF!</f>
      </c>
      <c r="Q85" s="168">
        <f>P85*N85</f>
      </c>
      <c r="R85" s="425">
        <f>IFERROR(Q85/$Q$166,0)</f>
      </c>
      <c r="S85" s="371">
        <f ca="1">IF($AL$5&lt;=1,0,SUM(OFFSET('rincian '!#REF!,0,0,1,$AL$5-1)))</f>
      </c>
      <c r="T85" s="425">
        <f ca="1">IFERROR(S85/N85*R85,0)</f>
      </c>
      <c r="U85" s="372" cm="1">
        <f t="array" ref="U85">IFERROR(INDEX('rincian '!#REF!,$AL$5),0)</f>
      </c>
      <c r="V85" s="425">
        <f>IFERROR(U85/N85*R85,0)</f>
      </c>
      <c r="W85" s="244">
        <f t="shared" ca="1" si="21"/>
      </c>
      <c r="X85" s="202">
        <f t="shared" ca="1" si="21"/>
      </c>
      <c r="AL85" s="460"/>
      <c r="AM85" s="460"/>
      <c r="AN85" s="460"/>
      <c r="AO85" s="460"/>
      <c r="AP85" s="460"/>
      <c r="AQ85" s="460"/>
    </row>
    <row r="86" spans="2:43" s="105" customFormat="1" ht="27" customHeight="1">
      <c r="B86" s="370">
        <f>#REF!</f>
      </c>
      <c r="C86" s="232"/>
      <c r="D86" s="164">
        <f>IF(#REF!&lt;&gt;"",#REF!,IF(#REF!&lt;&gt;"",#REF!,""))</f>
      </c>
      <c r="E86" s="235"/>
      <c r="F86" s="236"/>
      <c r="G86" s="236"/>
      <c r="H86" s="237"/>
      <c r="I86" s="238"/>
      <c r="J86" s="239"/>
      <c r="K86" s="240"/>
      <c r="L86" s="241"/>
      <c r="M86" s="242"/>
      <c r="N86" s="167">
        <f>#REF!</f>
      </c>
      <c r="O86" s="167">
        <f>#REF!</f>
      </c>
      <c r="P86" s="260">
        <f>#REF!</f>
      </c>
      <c r="Q86" s="168">
        <f>P86*N86</f>
      </c>
      <c r="R86" s="425">
        <f>IFERROR(Q86/$Q$166,0)</f>
      </c>
      <c r="S86" s="371">
        <f ca="1">IF($AL$5&lt;=1,0,SUM(OFFSET('rincian '!#REF!,0,0,1,$AL$5-1)))</f>
      </c>
      <c r="T86" s="425">
        <f ca="1">IFERROR(S86/N86*R86,0)</f>
      </c>
      <c r="U86" s="372" cm="1">
        <f t="array" ref="U86">IFERROR(INDEX('rincian '!#REF!,$AL$5),0)</f>
      </c>
      <c r="V86" s="425">
        <f>IFERROR(U86/N86*R86,0)</f>
      </c>
      <c r="W86" s="244">
        <f t="shared" ca="1" si="21"/>
      </c>
      <c r="X86" s="202">
        <f t="shared" ca="1" si="21"/>
      </c>
      <c r="AL86" s="460"/>
      <c r="AM86" s="460"/>
      <c r="AN86" s="460"/>
      <c r="AO86" s="460"/>
      <c r="AP86" s="460"/>
      <c r="AQ86" s="460"/>
    </row>
    <row r="87" spans="2:43" s="105" customFormat="1" ht="27" customHeight="1">
      <c r="B87" s="401">
        <f>#REF!</f>
      </c>
      <c r="C87" s="373"/>
      <c r="D87" s="374">
        <f>IF(#REF!&lt;&gt;"",#REF!,IF(#REF!&lt;&gt;"",#REF!,""))</f>
      </c>
      <c r="E87" s="375"/>
      <c r="F87" s="376"/>
      <c r="G87" s="376"/>
      <c r="H87" s="377"/>
      <c r="I87" s="378"/>
      <c r="J87" s="379"/>
      <c r="K87" s="380"/>
      <c r="L87" s="381"/>
      <c r="M87" s="382"/>
      <c r="N87" s="167"/>
      <c r="O87" s="167"/>
      <c r="P87" s="260"/>
      <c r="Q87" s="168"/>
      <c r="R87" s="425"/>
      <c r="S87" s="371"/>
      <c r="T87" s="425"/>
      <c r="U87" s="372"/>
      <c r="V87" s="425"/>
      <c r="W87" s="244"/>
      <c r="X87" s="202"/>
      <c r="AL87" s="460"/>
      <c r="AM87" s="460"/>
      <c r="AN87" s="460"/>
      <c r="AO87" s="460"/>
      <c r="AP87" s="460"/>
      <c r="AQ87" s="460"/>
    </row>
    <row r="88" spans="2:43" s="105" customFormat="1" ht="27" customHeight="1">
      <c r="B88" s="370">
        <f>#REF!</f>
      </c>
      <c r="C88" s="232"/>
      <c r="D88" s="164">
        <f>IF(#REF!&lt;&gt;"",#REF!,IF(#REF!&lt;&gt;"",#REF!,""))</f>
      </c>
      <c r="E88" s="235"/>
      <c r="F88" s="236"/>
      <c r="G88" s="236"/>
      <c r="H88" s="237"/>
      <c r="I88" s="238"/>
      <c r="J88" s="239"/>
      <c r="K88" s="240"/>
      <c r="L88" s="241"/>
      <c r="M88" s="242"/>
      <c r="N88" s="167">
        <f>#REF!</f>
      </c>
      <c r="O88" s="167">
        <f>#REF!</f>
      </c>
      <c r="P88" s="260">
        <f>#REF!</f>
      </c>
      <c r="Q88" s="168">
        <f>P88*N88</f>
      </c>
      <c r="R88" s="425">
        <f>IFERROR(Q88/$Q$166,0)</f>
      </c>
      <c r="S88" s="371">
        <f ca="1">IF($AL$5&lt;=1,0,SUM(OFFSET('rincian '!#REF!,0,0,1,$AL$5-1)))</f>
      </c>
      <c r="T88" s="425">
        <f ca="1">IFERROR(S88/N88*R88,0)</f>
      </c>
      <c r="U88" s="372" cm="1">
        <f t="array" ref="U88">IFERROR(INDEX('rincian '!#REF!,$AL$5),0)</f>
      </c>
      <c r="V88" s="425">
        <f>IFERROR(U88/N88*R88,0)</f>
      </c>
      <c r="W88" s="244">
        <f t="shared" ref="W88:X91" ca="1" si="22">S88+U88</f>
      </c>
      <c r="X88" s="202">
        <f t="shared" ca="1" si="22"/>
      </c>
      <c r="AL88" s="460"/>
      <c r="AM88" s="460"/>
      <c r="AN88" s="460"/>
      <c r="AO88" s="460"/>
      <c r="AP88" s="460"/>
      <c r="AQ88" s="460"/>
    </row>
    <row r="89" spans="2:43" s="105" customFormat="1" ht="27" customHeight="1">
      <c r="B89" s="370">
        <f>#REF!</f>
      </c>
      <c r="C89" s="232"/>
      <c r="D89" s="164">
        <f>IF(#REF!&lt;&gt;"",#REF!,IF(#REF!&lt;&gt;"",#REF!,""))</f>
      </c>
      <c r="E89" s="235"/>
      <c r="F89" s="236"/>
      <c r="G89" s="236"/>
      <c r="H89" s="237"/>
      <c r="I89" s="238"/>
      <c r="J89" s="239"/>
      <c r="K89" s="240"/>
      <c r="L89" s="241"/>
      <c r="M89" s="242"/>
      <c r="N89" s="167">
        <f>#REF!</f>
      </c>
      <c r="O89" s="167">
        <f>#REF!</f>
      </c>
      <c r="P89" s="260">
        <f>#REF!</f>
      </c>
      <c r="Q89" s="168">
        <f>P89*N89</f>
      </c>
      <c r="R89" s="425">
        <f>IFERROR(Q89/$Q$166,0)</f>
      </c>
      <c r="S89" s="371">
        <f ca="1">IF($AL$5&lt;=1,0,SUM(OFFSET('rincian '!#REF!,0,0,1,$AL$5-1)))</f>
      </c>
      <c r="T89" s="425">
        <f ca="1">IFERROR(S89/N89*R89,0)</f>
      </c>
      <c r="U89" s="372" cm="1">
        <f t="array" ref="U89">IFERROR(INDEX('rincian '!#REF!,$AL$5),0)</f>
      </c>
      <c r="V89" s="425">
        <f>IFERROR(U89/N89*R89,0)</f>
      </c>
      <c r="W89" s="244">
        <f t="shared" ca="1" si="22"/>
      </c>
      <c r="X89" s="202">
        <f t="shared" ca="1" si="22"/>
      </c>
      <c r="AL89" s="460"/>
      <c r="AM89" s="460"/>
      <c r="AN89" s="460"/>
      <c r="AO89" s="460"/>
      <c r="AP89" s="460"/>
      <c r="AQ89" s="460"/>
    </row>
    <row r="90" spans="2:43" s="105" customFormat="1" ht="27" customHeight="1">
      <c r="B90" s="370">
        <f>#REF!</f>
      </c>
      <c r="C90" s="232"/>
      <c r="D90" s="164">
        <f>IF(#REF!&lt;&gt;"",#REF!,IF(#REF!&lt;&gt;"",#REF!,""))</f>
      </c>
      <c r="E90" s="235"/>
      <c r="F90" s="236"/>
      <c r="G90" s="236"/>
      <c r="H90" s="237"/>
      <c r="I90" s="238"/>
      <c r="J90" s="239"/>
      <c r="K90" s="240"/>
      <c r="L90" s="241"/>
      <c r="M90" s="242"/>
      <c r="N90" s="167">
        <f>#REF!</f>
      </c>
      <c r="O90" s="167">
        <f>#REF!</f>
      </c>
      <c r="P90" s="260">
        <f>#REF!</f>
      </c>
      <c r="Q90" s="168">
        <f>P90*N90</f>
      </c>
      <c r="R90" s="425">
        <f>IFERROR(Q90/$Q$166,0)</f>
      </c>
      <c r="S90" s="371">
        <f ca="1">IF($AL$5&lt;=1,0,SUM(OFFSET('rincian '!#REF!,0,0,1,$AL$5-1)))</f>
      </c>
      <c r="T90" s="425">
        <f ca="1">IFERROR(S90/N90*R90,0)</f>
      </c>
      <c r="U90" s="372" cm="1">
        <f t="array" ref="U90">IFERROR(INDEX('rincian '!#REF!,$AL$5),0)</f>
      </c>
      <c r="V90" s="425">
        <f>IFERROR(U90/N90*R90,0)</f>
      </c>
      <c r="W90" s="244">
        <f t="shared" ca="1" si="22"/>
      </c>
      <c r="X90" s="202">
        <f t="shared" ca="1" si="22"/>
      </c>
      <c r="AL90" s="460"/>
      <c r="AM90" s="460"/>
      <c r="AN90" s="460"/>
      <c r="AO90" s="460"/>
      <c r="AP90" s="460"/>
      <c r="AQ90" s="460"/>
    </row>
    <row r="91" spans="2:43" s="105" customFormat="1" ht="27" customHeight="1">
      <c r="B91" s="370">
        <f>#REF!</f>
      </c>
      <c r="C91" s="232"/>
      <c r="D91" s="164">
        <f>IF(#REF!&lt;&gt;"",#REF!,IF(#REF!&lt;&gt;"",#REF!,""))</f>
      </c>
      <c r="E91" s="235"/>
      <c r="F91" s="236"/>
      <c r="G91" s="236"/>
      <c r="H91" s="237"/>
      <c r="I91" s="238"/>
      <c r="J91" s="239"/>
      <c r="K91" s="240"/>
      <c r="L91" s="241"/>
      <c r="M91" s="242"/>
      <c r="N91" s="167">
        <f>#REF!</f>
      </c>
      <c r="O91" s="167">
        <f>#REF!</f>
      </c>
      <c r="P91" s="260">
        <f>#REF!</f>
      </c>
      <c r="Q91" s="168">
        <f>P91*N91</f>
      </c>
      <c r="R91" s="425">
        <f>IFERROR(Q91/$Q$166,0)</f>
      </c>
      <c r="S91" s="371">
        <f ca="1">IF($AL$5&lt;=1,0,SUM(OFFSET('rincian '!#REF!,0,0,1,$AL$5-1)))</f>
      </c>
      <c r="T91" s="425">
        <f ca="1">IFERROR(S91/N91*R91,0)</f>
      </c>
      <c r="U91" s="372" cm="1">
        <f t="array" ref="U91">IFERROR(INDEX('rincian '!#REF!,$AL$5),0)</f>
      </c>
      <c r="V91" s="425">
        <f>IFERROR(U91/N91*R91,0)</f>
      </c>
      <c r="W91" s="244">
        <f t="shared" ca="1" si="22"/>
      </c>
      <c r="X91" s="202">
        <f t="shared" ca="1" si="22"/>
      </c>
      <c r="AL91" s="460"/>
      <c r="AM91" s="460"/>
      <c r="AN91" s="460"/>
      <c r="AO91" s="460"/>
      <c r="AP91" s="460"/>
      <c r="AQ91" s="460"/>
    </row>
    <row r="92" spans="2:43" s="105" customFormat="1" ht="27" customHeight="1">
      <c r="B92" s="401">
        <f>#REF!</f>
      </c>
      <c r="C92" s="373"/>
      <c r="D92" s="374">
        <f>IF(#REF!&lt;&gt;"",#REF!,IF(#REF!&lt;&gt;"",#REF!,""))</f>
      </c>
      <c r="E92" s="375"/>
      <c r="F92" s="376"/>
      <c r="G92" s="376"/>
      <c r="H92" s="377"/>
      <c r="I92" s="378"/>
      <c r="J92" s="379"/>
      <c r="K92" s="380"/>
      <c r="L92" s="381"/>
      <c r="M92" s="382"/>
      <c r="N92" s="167"/>
      <c r="O92" s="167"/>
      <c r="P92" s="260"/>
      <c r="Q92" s="168"/>
      <c r="R92" s="425"/>
      <c r="S92" s="371"/>
      <c r="T92" s="425"/>
      <c r="U92" s="372"/>
      <c r="V92" s="425"/>
      <c r="W92" s="244"/>
      <c r="X92" s="202"/>
      <c r="AL92" s="460"/>
      <c r="AM92" s="460"/>
      <c r="AN92" s="460"/>
      <c r="AO92" s="460"/>
      <c r="AP92" s="460"/>
      <c r="AQ92" s="460"/>
    </row>
    <row r="93" spans="2:43" s="105" customFormat="1" ht="27" customHeight="1">
      <c r="B93" s="370">
        <f>#REF!</f>
      </c>
      <c r="C93" s="232"/>
      <c r="D93" s="164">
        <f>IF(#REF!&lt;&gt;"",#REF!,IF(#REF!&lt;&gt;"",#REF!,""))</f>
      </c>
      <c r="E93" s="235"/>
      <c r="F93" s="236"/>
      <c r="G93" s="236"/>
      <c r="H93" s="237"/>
      <c r="I93" s="238"/>
      <c r="J93" s="239"/>
      <c r="K93" s="240"/>
      <c r="L93" s="241"/>
      <c r="M93" s="242"/>
      <c r="N93" s="167">
        <f>#REF!</f>
      </c>
      <c r="O93" s="167">
        <f>#REF!</f>
      </c>
      <c r="P93" s="260">
        <f>#REF!</f>
      </c>
      <c r="Q93" s="168">
        <f>P93*N93</f>
      </c>
      <c r="R93" s="425">
        <f>IFERROR(Q93/$Q$166,0)</f>
      </c>
      <c r="S93" s="371">
        <f ca="1">IF($AL$5&lt;=1,0,SUM(OFFSET('rincian '!#REF!,0,0,1,$AL$5-1)))</f>
      </c>
      <c r="T93" s="425">
        <f ca="1">IFERROR(S93/N93*R93,0)</f>
      </c>
      <c r="U93" s="372" cm="1">
        <f t="array" ref="U93">IFERROR(INDEX('rincian '!#REF!,$AL$5),0)</f>
      </c>
      <c r="V93" s="425">
        <f>IFERROR(U93/N93*R93,0)</f>
      </c>
      <c r="W93" s="244">
        <f ca="1">S93+U93</f>
      </c>
      <c r="X93" s="202">
        <f ca="1">T93+V93</f>
      </c>
      <c r="AL93" s="460"/>
      <c r="AM93" s="460"/>
      <c r="AN93" s="460"/>
      <c r="AO93" s="460"/>
      <c r="AP93" s="460"/>
      <c r="AQ93" s="460"/>
    </row>
    <row r="94" spans="2:43" s="105" customFormat="1" ht="27" customHeight="1">
      <c r="B94" s="401">
        <f>#REF!</f>
      </c>
      <c r="C94" s="373"/>
      <c r="D94" s="374">
        <f>IF(#REF!&lt;&gt;"",#REF!,IF(#REF!&lt;&gt;"",#REF!,""))</f>
      </c>
      <c r="E94" s="375"/>
      <c r="F94" s="376"/>
      <c r="G94" s="376"/>
      <c r="H94" s="377"/>
      <c r="I94" s="378"/>
      <c r="J94" s="379"/>
      <c r="K94" s="380"/>
      <c r="L94" s="381"/>
      <c r="M94" s="382"/>
      <c r="N94" s="167"/>
      <c r="O94" s="167"/>
      <c r="P94" s="260"/>
      <c r="Q94" s="168"/>
      <c r="R94" s="425"/>
      <c r="S94" s="371"/>
      <c r="T94" s="425"/>
      <c r="U94" s="372"/>
      <c r="V94" s="425"/>
      <c r="W94" s="244"/>
      <c r="X94" s="202"/>
      <c r="AL94" s="460"/>
      <c r="AM94" s="460"/>
      <c r="AN94" s="460"/>
      <c r="AO94" s="460"/>
      <c r="AP94" s="460"/>
      <c r="AQ94" s="460"/>
    </row>
    <row r="95" spans="2:43" s="105" customFormat="1" ht="27" customHeight="1">
      <c r="B95" s="370">
        <f>#REF!</f>
      </c>
      <c r="C95" s="232"/>
      <c r="D95" s="164">
        <f>IF(#REF!&lt;&gt;"",#REF!,IF(#REF!&lt;&gt;"",#REF!,""))</f>
      </c>
      <c r="E95" s="235"/>
      <c r="F95" s="236"/>
      <c r="G95" s="236"/>
      <c r="H95" s="237"/>
      <c r="I95" s="238"/>
      <c r="J95" s="239"/>
      <c r="K95" s="240"/>
      <c r="L95" s="241"/>
      <c r="M95" s="242"/>
      <c r="N95" s="167">
        <f>#REF!</f>
      </c>
      <c r="O95" s="167">
        <f>#REF!</f>
      </c>
      <c r="P95" s="260">
        <f>#REF!</f>
      </c>
      <c r="Q95" s="168">
        <f>P95*N95</f>
      </c>
      <c r="R95" s="425">
        <f>IFERROR(Q95/$Q$166,0)</f>
      </c>
      <c r="S95" s="371">
        <f ca="1">IF($AL$5&lt;=1,0,SUM(OFFSET('rincian '!#REF!,0,0,1,$AL$5-1)))</f>
      </c>
      <c r="T95" s="425">
        <f ca="1">IFERROR(S95/N95*R95,0)</f>
      </c>
      <c r="U95" s="372" cm="1">
        <f t="array" ref="U95">IFERROR(INDEX('rincian '!#REF!,$AL$5),0)</f>
      </c>
      <c r="V95" s="425">
        <f>IFERROR(U95/N95*R95,0)</f>
      </c>
      <c r="W95" s="244">
        <f t="shared" ref="W95:X98" ca="1" si="23">S95+U95</f>
      </c>
      <c r="X95" s="202">
        <f t="shared" ca="1" si="23"/>
      </c>
      <c r="AL95" s="460"/>
      <c r="AM95" s="460"/>
      <c r="AN95" s="460"/>
      <c r="AO95" s="460"/>
      <c r="AP95" s="460"/>
      <c r="AQ95" s="460"/>
    </row>
    <row r="96" spans="2:43" s="105" customFormat="1" ht="27" customHeight="1">
      <c r="B96" s="370">
        <f>#REF!</f>
      </c>
      <c r="C96" s="232"/>
      <c r="D96" s="164">
        <f>IF(#REF!&lt;&gt;"",#REF!,IF(#REF!&lt;&gt;"",#REF!,""))</f>
      </c>
      <c r="E96" s="235"/>
      <c r="F96" s="236"/>
      <c r="G96" s="236"/>
      <c r="H96" s="237"/>
      <c r="I96" s="238"/>
      <c r="J96" s="239"/>
      <c r="K96" s="240"/>
      <c r="L96" s="241"/>
      <c r="M96" s="242"/>
      <c r="N96" s="167">
        <f>#REF!</f>
      </c>
      <c r="O96" s="167">
        <f>#REF!</f>
      </c>
      <c r="P96" s="260">
        <f>#REF!</f>
      </c>
      <c r="Q96" s="168">
        <f>P96*N96</f>
      </c>
      <c r="R96" s="425">
        <f>IFERROR(Q96/$Q$166,0)</f>
      </c>
      <c r="S96" s="371">
        <f ca="1">IF($AL$5&lt;=1,0,SUM(OFFSET('rincian '!#REF!,0,0,1,$AL$5-1)))</f>
      </c>
      <c r="T96" s="425">
        <f ca="1">IFERROR(S96/N96*R96,0)</f>
      </c>
      <c r="U96" s="372" cm="1">
        <f t="array" ref="U96">IFERROR(INDEX('rincian '!#REF!,$AL$5),0)</f>
      </c>
      <c r="V96" s="425">
        <f>IFERROR(U96/N96*R96,0)</f>
      </c>
      <c r="W96" s="244">
        <f t="shared" ca="1" si="23"/>
      </c>
      <c r="X96" s="202">
        <f t="shared" ca="1" si="23"/>
      </c>
      <c r="AL96" s="460"/>
      <c r="AM96" s="460"/>
      <c r="AN96" s="460"/>
      <c r="AO96" s="460"/>
      <c r="AP96" s="460"/>
      <c r="AQ96" s="460"/>
    </row>
    <row r="97" spans="2:43" s="105" customFormat="1" ht="27" customHeight="1">
      <c r="B97" s="370">
        <f>#REF!</f>
      </c>
      <c r="C97" s="232"/>
      <c r="D97" s="164">
        <f>IF(#REF!&lt;&gt;"",#REF!,IF(#REF!&lt;&gt;"",#REF!,""))</f>
      </c>
      <c r="E97" s="235"/>
      <c r="F97" s="236"/>
      <c r="G97" s="236"/>
      <c r="H97" s="237"/>
      <c r="I97" s="238"/>
      <c r="J97" s="239"/>
      <c r="K97" s="240"/>
      <c r="L97" s="241"/>
      <c r="M97" s="242"/>
      <c r="N97" s="167">
        <f>#REF!</f>
      </c>
      <c r="O97" s="167">
        <f>#REF!</f>
      </c>
      <c r="P97" s="260">
        <f>#REF!</f>
      </c>
      <c r="Q97" s="168">
        <f>P97*N97</f>
      </c>
      <c r="R97" s="425">
        <f>IFERROR(Q97/$Q$166,0)</f>
      </c>
      <c r="S97" s="371">
        <f ca="1">IF($AL$5&lt;=1,0,SUM(OFFSET('rincian '!#REF!,0,0,1,$AL$5-1)))</f>
      </c>
      <c r="T97" s="425">
        <f ca="1">IFERROR(S97/N97*R97,0)</f>
      </c>
      <c r="U97" s="372" cm="1">
        <f t="array" ref="U97">IFERROR(INDEX('rincian '!#REF!,$AL$5),0)</f>
      </c>
      <c r="V97" s="425">
        <f>IFERROR(U97/N97*R97,0)</f>
      </c>
      <c r="W97" s="244">
        <f t="shared" ca="1" si="23"/>
      </c>
      <c r="X97" s="202">
        <f t="shared" ca="1" si="23"/>
      </c>
      <c r="AL97" s="460"/>
      <c r="AM97" s="460"/>
      <c r="AN97" s="460"/>
      <c r="AO97" s="460"/>
      <c r="AP97" s="460"/>
      <c r="AQ97" s="460"/>
    </row>
    <row r="98" spans="2:43" s="105" customFormat="1" ht="27" customHeight="1">
      <c r="B98" s="370">
        <f>#REF!</f>
      </c>
      <c r="C98" s="232"/>
      <c r="D98" s="164">
        <f>IF(#REF!&lt;&gt;"",#REF!,IF(#REF!&lt;&gt;"",#REF!,""))</f>
      </c>
      <c r="E98" s="235"/>
      <c r="F98" s="236"/>
      <c r="G98" s="236"/>
      <c r="H98" s="237"/>
      <c r="I98" s="238"/>
      <c r="J98" s="239"/>
      <c r="K98" s="240"/>
      <c r="L98" s="241"/>
      <c r="M98" s="242"/>
      <c r="N98" s="167">
        <f>#REF!</f>
      </c>
      <c r="O98" s="167">
        <f>#REF!</f>
      </c>
      <c r="P98" s="260">
        <f>#REF!</f>
      </c>
      <c r="Q98" s="168">
        <f>P98*N98</f>
      </c>
      <c r="R98" s="425">
        <f>IFERROR(Q98/$Q$166,0)</f>
      </c>
      <c r="S98" s="371">
        <f ca="1">IF($AL$5&lt;=1,0,SUM(OFFSET('rincian '!#REF!,0,0,1,$AL$5-1)))</f>
      </c>
      <c r="T98" s="425">
        <f ca="1">IFERROR(S98/N98*R98,0)</f>
      </c>
      <c r="U98" s="372" cm="1">
        <f t="array" ref="U98">IFERROR(INDEX('rincian '!#REF!,$AL$5),0)</f>
      </c>
      <c r="V98" s="425">
        <f>IFERROR(U98/N98*R98,0)</f>
      </c>
      <c r="W98" s="244">
        <f t="shared" ca="1" si="23"/>
      </c>
      <c r="X98" s="202">
        <f t="shared" ca="1" si="23"/>
      </c>
      <c r="AL98" s="460"/>
      <c r="AM98" s="460"/>
      <c r="AN98" s="460"/>
      <c r="AO98" s="460"/>
      <c r="AP98" s="460"/>
      <c r="AQ98" s="460"/>
    </row>
    <row r="99" spans="2:43" s="105" customFormat="1" ht="27" customHeight="1">
      <c r="B99" s="401">
        <f>#REF!</f>
      </c>
      <c r="C99" s="373"/>
      <c r="D99" s="374">
        <f>IF(#REF!&lt;&gt;"",#REF!,IF(#REF!&lt;&gt;"",#REF!,""))</f>
      </c>
      <c r="E99" s="375"/>
      <c r="F99" s="376"/>
      <c r="G99" s="376"/>
      <c r="H99" s="377"/>
      <c r="I99" s="378"/>
      <c r="J99" s="379"/>
      <c r="K99" s="380"/>
      <c r="L99" s="381"/>
      <c r="M99" s="382"/>
      <c r="N99" s="167"/>
      <c r="O99" s="167"/>
      <c r="P99" s="260"/>
      <c r="Q99" s="168"/>
      <c r="R99" s="425"/>
      <c r="S99" s="371"/>
      <c r="T99" s="425"/>
      <c r="U99" s="372"/>
      <c r="V99" s="425"/>
      <c r="W99" s="244"/>
      <c r="X99" s="202"/>
      <c r="AL99" s="460"/>
      <c r="AM99" s="460"/>
      <c r="AN99" s="460"/>
      <c r="AO99" s="460"/>
      <c r="AP99" s="460"/>
      <c r="AQ99" s="460"/>
    </row>
    <row r="100" spans="2:43" s="105" customFormat="1" ht="27" customHeight="1">
      <c r="B100" s="370">
        <f>#REF!</f>
      </c>
      <c r="C100" s="232"/>
      <c r="D100" s="164">
        <f>IF(#REF!&lt;&gt;"",#REF!,IF(#REF!&lt;&gt;"",#REF!,""))</f>
      </c>
      <c r="E100" s="235"/>
      <c r="F100" s="236"/>
      <c r="G100" s="236"/>
      <c r="H100" s="237"/>
      <c r="I100" s="238"/>
      <c r="J100" s="239"/>
      <c r="K100" s="240"/>
      <c r="L100" s="241"/>
      <c r="M100" s="242"/>
      <c r="N100" s="167"/>
      <c r="O100" s="167"/>
      <c r="P100" s="260"/>
      <c r="Q100" s="168"/>
      <c r="R100" s="425"/>
      <c r="S100" s="371"/>
      <c r="T100" s="425"/>
      <c r="U100" s="372"/>
      <c r="V100" s="425"/>
      <c r="W100" s="244"/>
      <c r="X100" s="202"/>
      <c r="AL100" s="460"/>
      <c r="AM100" s="460"/>
      <c r="AN100" s="460"/>
      <c r="AO100" s="460"/>
      <c r="AP100" s="460"/>
      <c r="AQ100" s="460"/>
    </row>
    <row r="101" spans="2:43" s="105" customFormat="1" ht="36" customHeight="1">
      <c r="B101" s="370">
        <f>#REF!</f>
      </c>
      <c r="C101" s="232"/>
      <c r="D101" s="704">
        <f>IF(#REF!&lt;&gt;"",#REF!,IF(#REF!&lt;&gt;"",#REF!,""))</f>
      </c>
      <c r="E101" s="704"/>
      <c r="F101" s="704"/>
      <c r="G101" s="704"/>
      <c r="H101" s="704"/>
      <c r="I101" s="704"/>
      <c r="J101" s="704"/>
      <c r="K101" s="704"/>
      <c r="L101" s="704"/>
      <c r="M101" s="705"/>
      <c r="N101" s="167">
        <f>#REF!</f>
      </c>
      <c r="O101" s="167">
        <f>#REF!</f>
      </c>
      <c r="P101" s="260">
        <f>#REF!</f>
      </c>
      <c r="Q101" s="168">
        <f>P101*N101</f>
      </c>
      <c r="R101" s="425">
        <f>IFERROR(Q101/$Q$166,0)</f>
      </c>
      <c r="S101" s="371">
        <f ca="1">IF($AL$5&lt;=1,0,SUM(OFFSET('rincian '!#REF!,0,0,1,$AL$5-1)))</f>
      </c>
      <c r="T101" s="425">
        <f ca="1">IFERROR(S101/N101*R101,0)</f>
      </c>
      <c r="U101" s="372" cm="1">
        <f t="array" ref="U101">IFERROR(INDEX('rincian '!#REF!,$AL$5),0)</f>
      </c>
      <c r="V101" s="425">
        <f>IFERROR(U101/N101*R101,0)</f>
      </c>
      <c r="W101" s="244">
        <f t="shared" ref="W101:X103" ca="1" si="24">S101+U101</f>
      </c>
      <c r="X101" s="202">
        <f t="shared" ca="1" si="24"/>
      </c>
      <c r="AL101" s="460"/>
      <c r="AM101" s="460"/>
      <c r="AN101" s="460"/>
      <c r="AO101" s="460"/>
      <c r="AP101" s="460"/>
      <c r="AQ101" s="460"/>
    </row>
    <row r="102" spans="2:43" s="105" customFormat="1" ht="27" customHeight="1">
      <c r="B102" s="370">
        <f>#REF!</f>
      </c>
      <c r="C102" s="232"/>
      <c r="D102" s="164">
        <f>IF(#REF!&lt;&gt;"",#REF!,IF(#REF!&lt;&gt;"",#REF!,""))</f>
      </c>
      <c r="E102" s="235"/>
      <c r="F102" s="236"/>
      <c r="G102" s="236"/>
      <c r="H102" s="237"/>
      <c r="I102" s="238"/>
      <c r="J102" s="239"/>
      <c r="K102" s="240"/>
      <c r="L102" s="241"/>
      <c r="M102" s="242"/>
      <c r="N102" s="167">
        <f>#REF!</f>
      </c>
      <c r="O102" s="167">
        <f>#REF!</f>
      </c>
      <c r="P102" s="260">
        <f>#REF!</f>
      </c>
      <c r="Q102" s="168">
        <f>P102*N102</f>
      </c>
      <c r="R102" s="425">
        <f>IFERROR(Q102/$Q$166,0)</f>
      </c>
      <c r="S102" s="371">
        <f ca="1">IF($AL$5&lt;=1,0,SUM(OFFSET('rincian '!#REF!,0,0,1,$AL$5-1)))</f>
      </c>
      <c r="T102" s="425">
        <f ca="1">IFERROR(S102/N102*R102,0)</f>
      </c>
      <c r="U102" s="372" cm="1">
        <f t="array" ref="U102">IFERROR(INDEX('rincian '!#REF!,$AL$5),0)</f>
      </c>
      <c r="V102" s="425">
        <f>IFERROR(U102/N102*R102,0)</f>
      </c>
      <c r="W102" s="244">
        <f t="shared" ca="1" si="24"/>
      </c>
      <c r="X102" s="202">
        <f t="shared" ca="1" si="24"/>
      </c>
      <c r="AL102" s="460"/>
      <c r="AM102" s="460"/>
      <c r="AN102" s="460"/>
      <c r="AO102" s="460"/>
      <c r="AP102" s="460"/>
      <c r="AQ102" s="460"/>
    </row>
    <row r="103" spans="2:43" s="105" customFormat="1" ht="27" customHeight="1">
      <c r="B103" s="370">
        <f>#REF!</f>
      </c>
      <c r="C103" s="232"/>
      <c r="D103" s="164">
        <f>IF(#REF!&lt;&gt;"",#REF!,IF(#REF!&lt;&gt;"",#REF!,""))</f>
      </c>
      <c r="E103" s="235"/>
      <c r="F103" s="236"/>
      <c r="G103" s="236"/>
      <c r="H103" s="237"/>
      <c r="I103" s="238"/>
      <c r="J103" s="239"/>
      <c r="K103" s="240"/>
      <c r="L103" s="241"/>
      <c r="M103" s="242"/>
      <c r="N103" s="167">
        <f>#REF!</f>
      </c>
      <c r="O103" s="167">
        <f>#REF!</f>
      </c>
      <c r="P103" s="260">
        <f>#REF!</f>
      </c>
      <c r="Q103" s="168">
        <f>P103*N103</f>
      </c>
      <c r="R103" s="425">
        <f>IFERROR(Q103/$Q$166,0)</f>
      </c>
      <c r="S103" s="371">
        <f ca="1">IF($AL$5&lt;=1,0,SUM(OFFSET('rincian '!#REF!,0,0,1,$AL$5-1)))</f>
      </c>
      <c r="T103" s="425">
        <f ca="1">IFERROR(S103/N103*R103,0)</f>
      </c>
      <c r="U103" s="372" cm="1">
        <f t="array" ref="U103">IFERROR(INDEX('rincian '!#REF!,$AL$5),0)</f>
      </c>
      <c r="V103" s="425">
        <f>IFERROR(U103/N103*R103,0)</f>
      </c>
      <c r="W103" s="244">
        <f t="shared" ca="1" si="24"/>
      </c>
      <c r="X103" s="202">
        <f t="shared" ca="1" si="24"/>
      </c>
      <c r="AL103" s="460"/>
      <c r="AM103" s="460"/>
      <c r="AN103" s="460"/>
      <c r="AO103" s="460"/>
      <c r="AP103" s="460"/>
      <c r="AQ103" s="460"/>
    </row>
    <row r="104" spans="2:43" s="105" customFormat="1" ht="27" customHeight="1">
      <c r="B104" s="370">
        <f>#REF!</f>
      </c>
      <c r="C104" s="232"/>
      <c r="D104" s="164">
        <f>IF(#REF!&lt;&gt;"",#REF!,IF(#REF!&lt;&gt;"",#REF!,""))</f>
      </c>
      <c r="E104" s="235"/>
      <c r="F104" s="236"/>
      <c r="G104" s="236"/>
      <c r="H104" s="237"/>
      <c r="I104" s="238"/>
      <c r="J104" s="239"/>
      <c r="K104" s="240"/>
      <c r="L104" s="241"/>
      <c r="M104" s="242"/>
      <c r="N104" s="167"/>
      <c r="O104" s="167"/>
      <c r="P104" s="260"/>
      <c r="Q104" s="168"/>
      <c r="R104" s="425"/>
      <c r="S104" s="371"/>
      <c r="T104" s="425"/>
      <c r="U104" s="372"/>
      <c r="V104" s="425"/>
      <c r="W104" s="244"/>
      <c r="X104" s="202"/>
      <c r="AL104" s="460"/>
      <c r="AM104" s="460"/>
      <c r="AN104" s="460"/>
      <c r="AO104" s="460"/>
      <c r="AP104" s="460"/>
      <c r="AQ104" s="460"/>
    </row>
    <row r="105" spans="2:43" s="105" customFormat="1" ht="27" customHeight="1">
      <c r="B105" s="370">
        <f>#REF!</f>
      </c>
      <c r="C105" s="232"/>
      <c r="D105" s="164">
        <f>IF(#REF!&lt;&gt;"",#REF!,IF(#REF!&lt;&gt;"",#REF!,""))</f>
      </c>
      <c r="E105" s="235"/>
      <c r="F105" s="236"/>
      <c r="G105" s="236"/>
      <c r="H105" s="237"/>
      <c r="I105" s="238"/>
      <c r="J105" s="239"/>
      <c r="K105" s="240"/>
      <c r="L105" s="241"/>
      <c r="M105" s="242"/>
      <c r="N105" s="167">
        <f>#REF!</f>
      </c>
      <c r="O105" s="167">
        <f>#REF!</f>
      </c>
      <c r="P105" s="260">
        <f>#REF!</f>
      </c>
      <c r="Q105" s="168">
        <f>P105*N105</f>
      </c>
      <c r="R105" s="425">
        <f>IFERROR(Q105/$Q$166,0)</f>
      </c>
      <c r="S105" s="371">
        <f ca="1">IF($AL$5&lt;=1,0,SUM(OFFSET('rincian '!#REF!,0,0,1,$AL$5-1)))</f>
      </c>
      <c r="T105" s="425">
        <f ca="1">IFERROR(S105/N105*R105,0)</f>
      </c>
      <c r="U105" s="372" cm="1">
        <f t="array" ref="U105">IFERROR(INDEX('rincian '!#REF!,$AL$5),0)</f>
      </c>
      <c r="V105" s="425">
        <f>IFERROR(U105/N105*R105,0)</f>
      </c>
      <c r="W105" s="244">
        <f ca="1">S105+U105</f>
      </c>
      <c r="X105" s="202">
        <f ca="1">T105+V105</f>
      </c>
      <c r="AL105" s="460"/>
      <c r="AM105" s="460"/>
      <c r="AN105" s="460"/>
      <c r="AO105" s="460"/>
      <c r="AP105" s="460"/>
      <c r="AQ105" s="460"/>
    </row>
    <row r="106" spans="2:43" s="105" customFormat="1" ht="27" customHeight="1">
      <c r="B106" s="370">
        <f>#REF!</f>
      </c>
      <c r="C106" s="232"/>
      <c r="D106" s="164">
        <f>IF(#REF!&lt;&gt;"",#REF!,IF(#REF!&lt;&gt;"",#REF!,""))</f>
      </c>
      <c r="E106" s="235"/>
      <c r="F106" s="236"/>
      <c r="G106" s="236"/>
      <c r="H106" s="237"/>
      <c r="I106" s="238"/>
      <c r="J106" s="239"/>
      <c r="K106" s="240"/>
      <c r="L106" s="241"/>
      <c r="M106" s="242"/>
      <c r="N106" s="167">
        <f>#REF!</f>
      </c>
      <c r="O106" s="167">
        <f>#REF!</f>
      </c>
      <c r="P106" s="260">
        <f>#REF!</f>
      </c>
      <c r="Q106" s="168">
        <f>P106*N106</f>
      </c>
      <c r="R106" s="425">
        <f>IFERROR(Q106/$Q$166,0)</f>
      </c>
      <c r="S106" s="371">
        <f ca="1">IF($AL$5&lt;=1,0,SUM(OFFSET('rincian '!#REF!,0,0,1,$AL$5-1)))</f>
      </c>
      <c r="T106" s="425">
        <f ca="1">IFERROR(S106/N106*R106,0)</f>
      </c>
      <c r="U106" s="372" cm="1">
        <f t="array" ref="U106">IFERROR(INDEX('rincian '!#REF!,$AL$5),0)</f>
      </c>
      <c r="V106" s="425">
        <f>IFERROR(U106/N106*R106,0)</f>
      </c>
      <c r="W106" s="244">
        <f ca="1">S106+U106</f>
      </c>
      <c r="X106" s="202">
        <f ca="1">T106+V106</f>
      </c>
      <c r="AL106" s="460"/>
      <c r="AM106" s="460"/>
      <c r="AN106" s="460"/>
      <c r="AO106" s="460"/>
      <c r="AP106" s="460"/>
      <c r="AQ106" s="460"/>
    </row>
    <row r="107" spans="2:43" s="105" customFormat="1" ht="27" customHeight="1">
      <c r="B107" s="401">
        <f>#REF!</f>
      </c>
      <c r="C107" s="373"/>
      <c r="D107" s="374">
        <f>IF(#REF!&lt;&gt;"",#REF!,IF(#REF!&lt;&gt;"",#REF!,""))</f>
      </c>
      <c r="E107" s="375"/>
      <c r="F107" s="376"/>
      <c r="G107" s="376"/>
      <c r="H107" s="377"/>
      <c r="I107" s="378"/>
      <c r="J107" s="379"/>
      <c r="K107" s="380"/>
      <c r="L107" s="381"/>
      <c r="M107" s="382"/>
      <c r="N107" s="167"/>
      <c r="O107" s="167"/>
      <c r="P107" s="260"/>
      <c r="Q107" s="168"/>
      <c r="R107" s="425"/>
      <c r="S107" s="371"/>
      <c r="T107" s="425"/>
      <c r="U107" s="372"/>
      <c r="V107" s="425"/>
      <c r="W107" s="244"/>
      <c r="X107" s="202"/>
      <c r="AL107" s="460"/>
      <c r="AM107" s="460"/>
      <c r="AN107" s="460"/>
      <c r="AO107" s="460"/>
      <c r="AP107" s="460"/>
      <c r="AQ107" s="460"/>
    </row>
    <row r="108" spans="2:43" s="105" customFormat="1" ht="27" customHeight="1">
      <c r="B108" s="370">
        <f>#REF!</f>
      </c>
      <c r="C108" s="232"/>
      <c r="D108" s="164">
        <f>IF(#REF!&lt;&gt;"",#REF!,IF(#REF!&lt;&gt;"",#REF!,""))</f>
      </c>
      <c r="E108" s="235"/>
      <c r="F108" s="236"/>
      <c r="G108" s="236"/>
      <c r="H108" s="237"/>
      <c r="I108" s="238"/>
      <c r="J108" s="239"/>
      <c r="K108" s="240"/>
      <c r="L108" s="241"/>
      <c r="M108" s="242"/>
      <c r="N108" s="167">
        <f>#REF!</f>
      </c>
      <c r="O108" s="167">
        <f>#REF!</f>
      </c>
      <c r="P108" s="260">
        <f>#REF!</f>
      </c>
      <c r="Q108" s="168">
        <f>P108*N108</f>
      </c>
      <c r="R108" s="425">
        <f>IFERROR(Q108/$Q$166,0)</f>
      </c>
      <c r="S108" s="371">
        <f ca="1">IF($AL$5&lt;=1,0,SUM(OFFSET('rincian '!#REF!,0,0,1,$AL$5-1)))</f>
      </c>
      <c r="T108" s="425">
        <f ca="1">IFERROR(S108/N108*R108,0)</f>
      </c>
      <c r="U108" s="372" cm="1">
        <f t="array" ref="U108">IFERROR(INDEX('rincian '!#REF!,$AL$5),0)</f>
      </c>
      <c r="V108" s="425">
        <f>IFERROR(U108/N108*R108,0)</f>
      </c>
      <c r="W108" s="244">
        <f ca="1">S108+U108</f>
      </c>
      <c r="X108" s="202">
        <f ca="1">T108+V108</f>
      </c>
      <c r="AL108" s="460"/>
      <c r="AM108" s="460"/>
      <c r="AN108" s="460"/>
      <c r="AO108" s="460"/>
      <c r="AP108" s="460"/>
      <c r="AQ108" s="460"/>
    </row>
    <row r="109" spans="2:43" s="105" customFormat="1" ht="27" customHeight="1">
      <c r="B109" s="370">
        <f>#REF!</f>
      </c>
      <c r="C109" s="232"/>
      <c r="D109" s="164">
        <f>IF(#REF!&lt;&gt;"",#REF!,IF(#REF!&lt;&gt;"",#REF!,""))</f>
      </c>
      <c r="E109" s="235"/>
      <c r="F109" s="236"/>
      <c r="G109" s="236"/>
      <c r="H109" s="237"/>
      <c r="I109" s="238"/>
      <c r="J109" s="239"/>
      <c r="K109" s="240"/>
      <c r="L109" s="241"/>
      <c r="M109" s="242"/>
      <c r="N109" s="167">
        <f>#REF!</f>
      </c>
      <c r="O109" s="167">
        <f>#REF!</f>
      </c>
      <c r="P109" s="260">
        <f>#REF!</f>
      </c>
      <c r="Q109" s="168">
        <f>P109*N109</f>
      </c>
      <c r="R109" s="425">
        <f>IFERROR(Q109/$Q$166,0)</f>
      </c>
      <c r="S109" s="371">
        <f ca="1">IF($AL$5&lt;=1,0,SUM(OFFSET('rincian '!#REF!,0,0,1,$AL$5-1)))</f>
      </c>
      <c r="T109" s="425">
        <f ca="1">IFERROR(S109/N109*R109,0)</f>
      </c>
      <c r="U109" s="372" cm="1">
        <f t="array" ref="U109">IFERROR(INDEX('rincian '!#REF!,$AL$5),0)</f>
      </c>
      <c r="V109" s="425">
        <f>IFERROR(U109/N109*R109,0)</f>
      </c>
      <c r="W109" s="244">
        <f ca="1">S109+U109</f>
      </c>
      <c r="X109" s="202">
        <f ca="1">T109+V109</f>
      </c>
      <c r="AL109" s="460"/>
      <c r="AM109" s="460"/>
      <c r="AN109" s="460"/>
      <c r="AO109" s="460"/>
      <c r="AP109" s="460"/>
      <c r="AQ109" s="460"/>
    </row>
    <row r="110" spans="2:43" s="105" customFormat="1" ht="27" customHeight="1">
      <c r="B110" s="401">
        <f>#REF!</f>
      </c>
      <c r="C110" s="373"/>
      <c r="D110" s="374">
        <f>IF(#REF!&lt;&gt;"",#REF!,IF(#REF!&lt;&gt;"",#REF!,""))</f>
      </c>
      <c r="E110" s="375"/>
      <c r="F110" s="376"/>
      <c r="G110" s="376"/>
      <c r="H110" s="377"/>
      <c r="I110" s="378"/>
      <c r="J110" s="379"/>
      <c r="K110" s="380"/>
      <c r="L110" s="381"/>
      <c r="M110" s="382"/>
      <c r="N110" s="167"/>
      <c r="O110" s="167"/>
      <c r="P110" s="260"/>
      <c r="Q110" s="168"/>
      <c r="R110" s="425"/>
      <c r="S110" s="371"/>
      <c r="T110" s="425"/>
      <c r="U110" s="372"/>
      <c r="V110" s="425"/>
      <c r="W110" s="244"/>
      <c r="X110" s="202"/>
      <c r="AL110" s="460"/>
      <c r="AM110" s="460"/>
      <c r="AN110" s="460"/>
      <c r="AO110" s="460"/>
      <c r="AP110" s="460"/>
      <c r="AQ110" s="460"/>
    </row>
    <row r="111" spans="2:43" s="105" customFormat="1" ht="27" customHeight="1">
      <c r="B111" s="370">
        <f>#REF!</f>
      </c>
      <c r="C111" s="232"/>
      <c r="D111" s="164">
        <f>IF(#REF!&lt;&gt;"",#REF!,IF(#REF!&lt;&gt;"",#REF!,""))</f>
      </c>
      <c r="E111" s="235"/>
      <c r="F111" s="236"/>
      <c r="G111" s="236"/>
      <c r="H111" s="237"/>
      <c r="I111" s="238"/>
      <c r="J111" s="239"/>
      <c r="K111" s="240"/>
      <c r="L111" s="241"/>
      <c r="M111" s="242"/>
      <c r="N111" s="167">
        <f>#REF!</f>
      </c>
      <c r="O111" s="167">
        <f>#REF!</f>
      </c>
      <c r="P111" s="260">
        <f>#REF!</f>
      </c>
      <c r="Q111" s="168">
        <f>P111*N111</f>
      </c>
      <c r="R111" s="425">
        <f>IFERROR(Q111/$Q$166,0)</f>
      </c>
      <c r="S111" s="371">
        <f ca="1">IF($AL$5&lt;=1,0,SUM(OFFSET('rincian '!#REF!,0,0,1,$AL$5-1)))</f>
      </c>
      <c r="T111" s="425">
        <f ca="1">IFERROR(S111/N111*R111,0)</f>
      </c>
      <c r="U111" s="372" cm="1">
        <f t="array" ref="U111">IFERROR(INDEX('rincian '!#REF!,$AL$5),0)</f>
      </c>
      <c r="V111" s="425">
        <f>IFERROR(U111/N111*R111,0)</f>
      </c>
      <c r="W111" s="244">
        <f t="shared" ref="W111:X114" ca="1" si="25">S111+U111</f>
      </c>
      <c r="X111" s="202">
        <f t="shared" ca="1" si="25"/>
      </c>
      <c r="AL111" s="460"/>
      <c r="AM111" s="460"/>
      <c r="AN111" s="460"/>
      <c r="AO111" s="460"/>
      <c r="AP111" s="460"/>
      <c r="AQ111" s="460"/>
    </row>
    <row r="112" spans="2:43" s="105" customFormat="1" ht="27" customHeight="1">
      <c r="B112" s="370">
        <f>#REF!</f>
      </c>
      <c r="C112" s="232"/>
      <c r="D112" s="164">
        <f>IF(#REF!&lt;&gt;"",#REF!,IF(#REF!&lt;&gt;"",#REF!,""))</f>
      </c>
      <c r="E112" s="235"/>
      <c r="F112" s="236"/>
      <c r="G112" s="236"/>
      <c r="H112" s="237"/>
      <c r="I112" s="238"/>
      <c r="J112" s="239"/>
      <c r="K112" s="240"/>
      <c r="L112" s="241"/>
      <c r="M112" s="242"/>
      <c r="N112" s="167">
        <f>#REF!</f>
      </c>
      <c r="O112" s="167">
        <f>#REF!</f>
      </c>
      <c r="P112" s="260">
        <f>#REF!</f>
      </c>
      <c r="Q112" s="168">
        <f>P112*N112</f>
      </c>
      <c r="R112" s="425">
        <f>IFERROR(Q112/$Q$166,0)</f>
      </c>
      <c r="S112" s="371">
        <f ca="1">IF($AL$5&lt;=1,0,SUM(OFFSET('rincian '!#REF!,0,0,1,$AL$5-1)))</f>
      </c>
      <c r="T112" s="425">
        <f ca="1">IFERROR(S112/N112*R112,0)</f>
      </c>
      <c r="U112" s="372" cm="1">
        <f t="array" ref="U112">IFERROR(INDEX('rincian '!#REF!,$AL$5),0)</f>
      </c>
      <c r="V112" s="425">
        <f>IFERROR(U112/N112*R112,0)</f>
      </c>
      <c r="W112" s="244">
        <f t="shared" ca="1" si="25"/>
      </c>
      <c r="X112" s="202">
        <f t="shared" ca="1" si="25"/>
      </c>
      <c r="AL112" s="460"/>
      <c r="AM112" s="460"/>
      <c r="AN112" s="460"/>
      <c r="AO112" s="460"/>
      <c r="AP112" s="460"/>
      <c r="AQ112" s="460"/>
    </row>
    <row r="113" spans="2:43" s="105" customFormat="1" ht="27" customHeight="1">
      <c r="B113" s="370">
        <f>#REF!</f>
      </c>
      <c r="C113" s="232"/>
      <c r="D113" s="164">
        <f>IF(#REF!&lt;&gt;"",#REF!,IF(#REF!&lt;&gt;"",#REF!,""))</f>
      </c>
      <c r="E113" s="235"/>
      <c r="F113" s="236"/>
      <c r="G113" s="236"/>
      <c r="H113" s="237"/>
      <c r="I113" s="238"/>
      <c r="J113" s="239"/>
      <c r="K113" s="240"/>
      <c r="L113" s="241"/>
      <c r="M113" s="242"/>
      <c r="N113" s="167">
        <f>#REF!</f>
      </c>
      <c r="O113" s="167">
        <f>#REF!</f>
      </c>
      <c r="P113" s="260">
        <f>#REF!</f>
      </c>
      <c r="Q113" s="168">
        <f>P113*N113</f>
      </c>
      <c r="R113" s="425">
        <f>IFERROR(Q113/$Q$166,0)</f>
      </c>
      <c r="S113" s="371">
        <f ca="1">IF($AL$5&lt;=1,0,SUM(OFFSET('rincian '!#REF!,0,0,1,$AL$5-1)))</f>
      </c>
      <c r="T113" s="425">
        <f ca="1">IFERROR(S113/N113*R113,0)</f>
      </c>
      <c r="U113" s="372" cm="1">
        <f t="array" ref="U113">IFERROR(INDEX('rincian '!#REF!,$AL$5),0)</f>
      </c>
      <c r="V113" s="425">
        <f>IFERROR(U113/N113*R113,0)</f>
      </c>
      <c r="W113" s="244">
        <f t="shared" ca="1" si="25"/>
      </c>
      <c r="X113" s="202">
        <f t="shared" ca="1" si="25"/>
      </c>
      <c r="AL113" s="460"/>
      <c r="AM113" s="460"/>
      <c r="AN113" s="460"/>
      <c r="AO113" s="460"/>
      <c r="AP113" s="460"/>
      <c r="AQ113" s="460"/>
    </row>
    <row r="114" spans="2:43" s="105" customFormat="1" ht="27" customHeight="1">
      <c r="B114" s="370">
        <f>#REF!</f>
      </c>
      <c r="C114" s="232"/>
      <c r="D114" s="164">
        <f>IF(#REF!&lt;&gt;"",#REF!,IF(#REF!&lt;&gt;"",#REF!,""))</f>
      </c>
      <c r="E114" s="235"/>
      <c r="F114" s="236"/>
      <c r="G114" s="236"/>
      <c r="H114" s="237"/>
      <c r="I114" s="238"/>
      <c r="J114" s="239"/>
      <c r="K114" s="240"/>
      <c r="L114" s="241"/>
      <c r="M114" s="242"/>
      <c r="N114" s="167">
        <f>#REF!</f>
      </c>
      <c r="O114" s="167">
        <f>#REF!</f>
      </c>
      <c r="P114" s="260">
        <f>#REF!</f>
      </c>
      <c r="Q114" s="168">
        <f>P114*N114</f>
      </c>
      <c r="R114" s="425">
        <f>IFERROR(Q114/$Q$166,0)</f>
      </c>
      <c r="S114" s="371">
        <f ca="1">IF($AL$5&lt;=1,0,SUM(OFFSET('rincian '!#REF!,0,0,1,$AL$5-1)))</f>
      </c>
      <c r="T114" s="425">
        <f ca="1">IFERROR(S114/N114*R114,0)</f>
      </c>
      <c r="U114" s="372" cm="1">
        <f t="array" ref="U114">IFERROR(INDEX('rincian '!#REF!,$AL$5),0)</f>
      </c>
      <c r="V114" s="425">
        <f>IFERROR(U114/N114*R114,0)</f>
      </c>
      <c r="W114" s="244">
        <f t="shared" ca="1" si="25"/>
      </c>
      <c r="X114" s="202">
        <f t="shared" ca="1" si="25"/>
      </c>
      <c r="AL114" s="460"/>
      <c r="AM114" s="460"/>
      <c r="AN114" s="460"/>
      <c r="AO114" s="460"/>
      <c r="AP114" s="460"/>
      <c r="AQ114" s="460"/>
    </row>
    <row r="115" spans="2:43" s="105" customFormat="1" ht="27" customHeight="1">
      <c r="B115" s="401">
        <f>#REF!</f>
      </c>
      <c r="C115" s="373"/>
      <c r="D115" s="374">
        <f>IF(#REF!&lt;&gt;"",#REF!,IF(#REF!&lt;&gt;"",#REF!,""))</f>
      </c>
      <c r="E115" s="375"/>
      <c r="F115" s="376"/>
      <c r="G115" s="376"/>
      <c r="H115" s="377"/>
      <c r="I115" s="378"/>
      <c r="J115" s="379"/>
      <c r="K115" s="380"/>
      <c r="L115" s="381"/>
      <c r="M115" s="382"/>
      <c r="N115" s="167"/>
      <c r="O115" s="167"/>
      <c r="P115" s="260"/>
      <c r="Q115" s="168"/>
      <c r="R115" s="425"/>
      <c r="S115" s="371"/>
      <c r="T115" s="425"/>
      <c r="U115" s="372"/>
      <c r="V115" s="425"/>
      <c r="W115" s="244"/>
      <c r="X115" s="202"/>
      <c r="AL115" s="460"/>
      <c r="AM115" s="460"/>
      <c r="AN115" s="460"/>
      <c r="AO115" s="460"/>
      <c r="AP115" s="460"/>
      <c r="AQ115" s="460"/>
    </row>
    <row r="116" spans="2:43" s="105" customFormat="1" ht="27" customHeight="1">
      <c r="B116" s="370">
        <f>#REF!</f>
      </c>
      <c r="C116" s="232"/>
      <c r="D116" s="164">
        <f>IF(#REF!&lt;&gt;"",#REF!,IF(#REF!&lt;&gt;"",#REF!,""))</f>
      </c>
      <c r="E116" s="235"/>
      <c r="F116" s="236"/>
      <c r="G116" s="236"/>
      <c r="H116" s="237"/>
      <c r="I116" s="238"/>
      <c r="J116" s="239"/>
      <c r="K116" s="240"/>
      <c r="L116" s="241"/>
      <c r="M116" s="242"/>
      <c r="N116" s="167">
        <f>#REF!</f>
      </c>
      <c r="O116" s="167">
        <f>#REF!</f>
      </c>
      <c r="P116" s="260">
        <f>#REF!</f>
      </c>
      <c r="Q116" s="168">
        <f>P116*N116</f>
      </c>
      <c r="R116" s="425">
        <f>IFERROR(Q116/$Q$166,0)</f>
      </c>
      <c r="S116" s="371">
        <f ca="1">IF($AL$5&lt;=1,0,SUM(OFFSET('rincian '!#REF!,0,0,1,$AL$5-1)))</f>
      </c>
      <c r="T116" s="425">
        <f ca="1">IFERROR(S116/N116*R116,0)</f>
      </c>
      <c r="U116" s="372" cm="1">
        <f t="array" ref="U116">IFERROR(INDEX('rincian '!#REF!,$AL$5),0)</f>
      </c>
      <c r="V116" s="425">
        <f>IFERROR(U116/N116*R116,0)</f>
      </c>
      <c r="W116" s="244">
        <f ca="1">S116+U116</f>
      </c>
      <c r="X116" s="202">
        <f ca="1">T116+V116</f>
      </c>
      <c r="AL116" s="460"/>
      <c r="AM116" s="460"/>
      <c r="AN116" s="460"/>
      <c r="AO116" s="460"/>
      <c r="AP116" s="460"/>
      <c r="AQ116" s="460"/>
    </row>
    <row r="117" spans="2:43" s="105" customFormat="1" ht="27" customHeight="1">
      <c r="B117" s="370">
        <f>#REF!</f>
      </c>
      <c r="C117" s="232"/>
      <c r="D117" s="164">
        <f>IF(#REF!&lt;&gt;"",#REF!,IF(#REF!&lt;&gt;"",#REF!,""))</f>
      </c>
      <c r="E117" s="235"/>
      <c r="F117" s="236"/>
      <c r="G117" s="236"/>
      <c r="H117" s="237"/>
      <c r="I117" s="238"/>
      <c r="J117" s="239"/>
      <c r="K117" s="240"/>
      <c r="L117" s="241"/>
      <c r="M117" s="242"/>
      <c r="N117" s="167">
        <f>#REF!</f>
      </c>
      <c r="O117" s="167">
        <f>#REF!</f>
      </c>
      <c r="P117" s="260">
        <f>#REF!</f>
      </c>
      <c r="Q117" s="168">
        <f>P117*N117</f>
      </c>
      <c r="R117" s="425">
        <f>IFERROR(Q117/$Q$166,0)</f>
      </c>
      <c r="S117" s="371">
        <f ca="1">IF($AL$5&lt;=1,0,SUM(OFFSET('rincian '!#REF!,0,0,1,$AL$5-1)))</f>
      </c>
      <c r="T117" s="425">
        <f ca="1">IFERROR(S117/N117*R117,0)</f>
      </c>
      <c r="U117" s="372" cm="1">
        <f t="array" ref="U117">IFERROR(INDEX('rincian '!#REF!,$AL$5),0)</f>
      </c>
      <c r="V117" s="425">
        <f>IFERROR(U117/N117*R117,0)</f>
      </c>
      <c r="W117" s="244">
        <f ca="1">S117+U117</f>
      </c>
      <c r="X117" s="202">
        <f ca="1">T117+V117</f>
      </c>
      <c r="AL117" s="460"/>
      <c r="AM117" s="460"/>
      <c r="AN117" s="460"/>
      <c r="AO117" s="460"/>
      <c r="AP117" s="460"/>
      <c r="AQ117" s="460"/>
    </row>
    <row r="118" spans="2:43" s="105" customFormat="1" ht="27" customHeight="1">
      <c r="B118" s="401">
        <f>#REF!</f>
      </c>
      <c r="C118" s="373"/>
      <c r="D118" s="374">
        <f>IF(#REF!&lt;&gt;"",#REF!,IF(#REF!&lt;&gt;"",#REF!,""))</f>
      </c>
      <c r="E118" s="375"/>
      <c r="F118" s="376"/>
      <c r="G118" s="376"/>
      <c r="H118" s="377"/>
      <c r="I118" s="378"/>
      <c r="J118" s="379"/>
      <c r="K118" s="380"/>
      <c r="L118" s="381"/>
      <c r="M118" s="382"/>
      <c r="N118" s="167"/>
      <c r="O118" s="167"/>
      <c r="P118" s="260"/>
      <c r="Q118" s="168"/>
      <c r="R118" s="425"/>
      <c r="S118" s="371"/>
      <c r="T118" s="425"/>
      <c r="U118" s="372"/>
      <c r="V118" s="425"/>
      <c r="W118" s="244"/>
      <c r="X118" s="202"/>
      <c r="AL118" s="460"/>
      <c r="AM118" s="460"/>
      <c r="AN118" s="460"/>
      <c r="AO118" s="460"/>
      <c r="AP118" s="460"/>
      <c r="AQ118" s="460"/>
    </row>
    <row r="119" spans="2:43" s="105" customFormat="1" ht="27" customHeight="1">
      <c r="B119" s="370">
        <f>#REF!</f>
      </c>
      <c r="C119" s="232"/>
      <c r="D119" s="164">
        <f>IF(#REF!&lt;&gt;"",#REF!,IF(#REF!&lt;&gt;"",#REF!,""))</f>
      </c>
      <c r="E119" s="235"/>
      <c r="F119" s="236"/>
      <c r="G119" s="236"/>
      <c r="H119" s="237"/>
      <c r="I119" s="238"/>
      <c r="J119" s="239"/>
      <c r="K119" s="240"/>
      <c r="L119" s="241"/>
      <c r="M119" s="242"/>
      <c r="N119" s="167">
        <f>#REF!</f>
      </c>
      <c r="O119" s="167">
        <f>#REF!</f>
      </c>
      <c r="P119" s="260">
        <f>#REF!</f>
      </c>
      <c r="Q119" s="168">
        <f>P119*N119</f>
      </c>
      <c r="R119" s="425">
        <f>IFERROR(Q119/$Q$166,0)</f>
      </c>
      <c r="S119" s="371">
        <f ca="1">IF($AL$5&lt;=1,0,SUM(OFFSET('rincian '!#REF!,0,0,1,$AL$5-1)))</f>
      </c>
      <c r="T119" s="425">
        <f ca="1">IFERROR(S119/N119*R119,0)</f>
      </c>
      <c r="U119" s="372" cm="1">
        <f t="array" ref="U119">IFERROR(INDEX('rincian '!#REF!,$AL$5),0)</f>
      </c>
      <c r="V119" s="425">
        <f>IFERROR(U119/N119*R119,0)</f>
      </c>
      <c r="W119" s="244">
        <f t="shared" ref="W119:X123" ca="1" si="26">S119+U119</f>
      </c>
      <c r="X119" s="202">
        <f t="shared" ca="1" si="26"/>
      </c>
      <c r="AL119" s="460"/>
      <c r="AM119" s="460"/>
      <c r="AN119" s="460"/>
      <c r="AO119" s="460"/>
      <c r="AP119" s="460"/>
      <c r="AQ119" s="460"/>
    </row>
    <row r="120" spans="2:43" s="105" customFormat="1" ht="27" customHeight="1">
      <c r="B120" s="370">
        <f>#REF!</f>
      </c>
      <c r="C120" s="232"/>
      <c r="D120" s="164">
        <f>IF(#REF!&lt;&gt;"",#REF!,IF(#REF!&lt;&gt;"",#REF!,""))</f>
      </c>
      <c r="E120" s="235"/>
      <c r="F120" s="236"/>
      <c r="G120" s="236"/>
      <c r="H120" s="237"/>
      <c r="I120" s="238"/>
      <c r="J120" s="239"/>
      <c r="K120" s="240"/>
      <c r="L120" s="241"/>
      <c r="M120" s="242"/>
      <c r="N120" s="167">
        <f>#REF!</f>
      </c>
      <c r="O120" s="167">
        <f>#REF!</f>
      </c>
      <c r="P120" s="260">
        <f>#REF!</f>
      </c>
      <c r="Q120" s="168">
        <f>P120*N120</f>
      </c>
      <c r="R120" s="425">
        <f>IFERROR(Q120/$Q$166,0)</f>
      </c>
      <c r="S120" s="371">
        <f ca="1">IF($AL$5&lt;=1,0,SUM(OFFSET('rincian '!#REF!,0,0,1,$AL$5-1)))</f>
      </c>
      <c r="T120" s="425">
        <f ca="1">IFERROR(S120/N120*R120,0)</f>
      </c>
      <c r="U120" s="372" cm="1">
        <f t="array" ref="U120">IFERROR(INDEX('rincian '!#REF!,$AL$5),0)</f>
      </c>
      <c r="V120" s="425">
        <f>IFERROR(U120/N120*R120,0)</f>
      </c>
      <c r="W120" s="244">
        <f t="shared" ca="1" si="26"/>
      </c>
      <c r="X120" s="202">
        <f t="shared" ca="1" si="26"/>
      </c>
      <c r="AL120" s="460"/>
      <c r="AM120" s="460"/>
      <c r="AN120" s="460"/>
      <c r="AO120" s="460"/>
      <c r="AP120" s="460"/>
      <c r="AQ120" s="460"/>
    </row>
    <row r="121" spans="2:43" s="105" customFormat="1" ht="27" customHeight="1">
      <c r="B121" s="370">
        <f>#REF!</f>
      </c>
      <c r="C121" s="232"/>
      <c r="D121" s="164">
        <f>IF(#REF!&lt;&gt;"",#REF!,IF(#REF!&lt;&gt;"",#REF!,""))</f>
      </c>
      <c r="E121" s="235"/>
      <c r="F121" s="236"/>
      <c r="G121" s="236"/>
      <c r="H121" s="237"/>
      <c r="I121" s="238"/>
      <c r="J121" s="239"/>
      <c r="K121" s="240"/>
      <c r="L121" s="241"/>
      <c r="M121" s="242"/>
      <c r="N121" s="167">
        <f>#REF!</f>
      </c>
      <c r="O121" s="167">
        <f>#REF!</f>
      </c>
      <c r="P121" s="260">
        <f>#REF!</f>
      </c>
      <c r="Q121" s="168">
        <f>P121*N121</f>
      </c>
      <c r="R121" s="425">
        <f>IFERROR(Q121/$Q$166,0)</f>
      </c>
      <c r="S121" s="371">
        <f ca="1">IF($AL$5&lt;=1,0,SUM(OFFSET('rincian '!#REF!,0,0,1,$AL$5-1)))</f>
      </c>
      <c r="T121" s="425">
        <f ca="1">IFERROR(S121/N121*R121,0)</f>
      </c>
      <c r="U121" s="372" cm="1">
        <f t="array" ref="U121">IFERROR(INDEX('rincian '!#REF!,$AL$5),0)</f>
      </c>
      <c r="V121" s="425">
        <f>IFERROR(U121/N121*R121,0)</f>
      </c>
      <c r="W121" s="244">
        <f t="shared" ca="1" si="26"/>
      </c>
      <c r="X121" s="202">
        <f t="shared" ca="1" si="26"/>
      </c>
      <c r="AL121" s="460"/>
      <c r="AM121" s="460"/>
      <c r="AN121" s="460"/>
      <c r="AO121" s="460"/>
      <c r="AP121" s="460"/>
      <c r="AQ121" s="460"/>
    </row>
    <row r="122" spans="2:43" s="105" customFormat="1" ht="27" customHeight="1">
      <c r="B122" s="370">
        <f>#REF!</f>
      </c>
      <c r="C122" s="232"/>
      <c r="D122" s="164">
        <f>IF(#REF!&lt;&gt;"",#REF!,IF(#REF!&lt;&gt;"",#REF!,""))</f>
      </c>
      <c r="E122" s="235"/>
      <c r="F122" s="236"/>
      <c r="G122" s="236"/>
      <c r="H122" s="237"/>
      <c r="I122" s="238"/>
      <c r="J122" s="239"/>
      <c r="K122" s="240"/>
      <c r="L122" s="241"/>
      <c r="M122" s="242"/>
      <c r="N122" s="167">
        <f>#REF!</f>
      </c>
      <c r="O122" s="167">
        <f>#REF!</f>
      </c>
      <c r="P122" s="260">
        <f>#REF!</f>
      </c>
      <c r="Q122" s="168">
        <f>P122*N122</f>
      </c>
      <c r="R122" s="425">
        <f>IFERROR(Q122/$Q$166,0)</f>
      </c>
      <c r="S122" s="371">
        <f ca="1">IF($AL$5&lt;=1,0,SUM(OFFSET('rincian '!#REF!,0,0,1,$AL$5-1)))</f>
      </c>
      <c r="T122" s="425">
        <f ca="1">IFERROR(S122/N122*R122,0)</f>
      </c>
      <c r="U122" s="372" cm="1">
        <f t="array" ref="U122">IFERROR(INDEX('rincian '!#REF!,$AL$5),0)</f>
      </c>
      <c r="V122" s="425">
        <f>IFERROR(U122/N122*R122,0)</f>
      </c>
      <c r="W122" s="244">
        <f t="shared" ca="1" si="26"/>
      </c>
      <c r="X122" s="202">
        <f t="shared" ca="1" si="26"/>
      </c>
      <c r="AL122" s="460"/>
      <c r="AM122" s="460"/>
      <c r="AN122" s="460"/>
      <c r="AO122" s="460"/>
      <c r="AP122" s="460"/>
      <c r="AQ122" s="460"/>
    </row>
    <row r="123" spans="2:43" s="105" customFormat="1" ht="27" customHeight="1">
      <c r="B123" s="370">
        <f>#REF!</f>
      </c>
      <c r="C123" s="232"/>
      <c r="D123" s="164">
        <f>IF(#REF!&lt;&gt;"",#REF!,IF(#REF!&lt;&gt;"",#REF!,""))</f>
      </c>
      <c r="E123" s="235"/>
      <c r="F123" s="236"/>
      <c r="G123" s="236"/>
      <c r="H123" s="237"/>
      <c r="I123" s="238"/>
      <c r="J123" s="239"/>
      <c r="K123" s="240"/>
      <c r="L123" s="241"/>
      <c r="M123" s="242"/>
      <c r="N123" s="167">
        <f>#REF!</f>
      </c>
      <c r="O123" s="167">
        <f>#REF!</f>
      </c>
      <c r="P123" s="260">
        <f>#REF!</f>
      </c>
      <c r="Q123" s="168">
        <f>P123*N123</f>
      </c>
      <c r="R123" s="425">
        <f>IFERROR(Q123/$Q$166,0)</f>
      </c>
      <c r="S123" s="371">
        <f ca="1">IF($AL$5&lt;=1,0,SUM(OFFSET('rincian '!#REF!,0,0,1,$AL$5-1)))</f>
      </c>
      <c r="T123" s="425">
        <f ca="1">IFERROR(S123/N123*R123,0)</f>
      </c>
      <c r="U123" s="372" cm="1">
        <f t="array" ref="U123">IFERROR(INDEX('rincian '!#REF!,$AL$5),0)</f>
      </c>
      <c r="V123" s="425">
        <f>IFERROR(U123/N123*R123,0)</f>
      </c>
      <c r="W123" s="244">
        <f t="shared" ca="1" si="26"/>
      </c>
      <c r="X123" s="202">
        <f t="shared" ca="1" si="26"/>
      </c>
      <c r="AL123" s="460"/>
      <c r="AM123" s="460"/>
      <c r="AN123" s="460"/>
      <c r="AO123" s="460"/>
      <c r="AP123" s="460"/>
      <c r="AQ123" s="460"/>
    </row>
    <row r="124" spans="2:43" s="105" customFormat="1" ht="27" customHeight="1">
      <c r="B124" s="401">
        <f>#REF!</f>
      </c>
      <c r="C124" s="373"/>
      <c r="D124" s="374">
        <f>IF(#REF!&lt;&gt;"",#REF!,IF(#REF!&lt;&gt;"",#REF!,""))</f>
      </c>
      <c r="E124" s="375"/>
      <c r="F124" s="376"/>
      <c r="G124" s="376"/>
      <c r="H124" s="377"/>
      <c r="I124" s="378"/>
      <c r="J124" s="379"/>
      <c r="K124" s="380"/>
      <c r="L124" s="381"/>
      <c r="M124" s="382"/>
      <c r="N124" s="167"/>
      <c r="O124" s="167"/>
      <c r="P124" s="260"/>
      <c r="Q124" s="168"/>
      <c r="R124" s="425"/>
      <c r="S124" s="371"/>
      <c r="T124" s="425"/>
      <c r="U124" s="372"/>
      <c r="V124" s="425"/>
      <c r="W124" s="244"/>
      <c r="X124" s="202"/>
      <c r="AL124" s="460"/>
      <c r="AM124" s="460"/>
      <c r="AN124" s="460"/>
      <c r="AO124" s="460"/>
      <c r="AP124" s="460"/>
      <c r="AQ124" s="460"/>
    </row>
    <row r="125" spans="2:43" s="105" customFormat="1" ht="27" customHeight="1">
      <c r="B125" s="370">
        <f>#REF!</f>
      </c>
      <c r="C125" s="232"/>
      <c r="D125" s="164">
        <f>IF(#REF!&lt;&gt;"",#REF!,IF(#REF!&lt;&gt;"",#REF!,""))</f>
      </c>
      <c r="E125" s="235"/>
      <c r="F125" s="236"/>
      <c r="G125" s="236"/>
      <c r="H125" s="237"/>
      <c r="I125" s="238"/>
      <c r="J125" s="239"/>
      <c r="K125" s="240"/>
      <c r="L125" s="241"/>
      <c r="M125" s="242"/>
      <c r="N125" s="167">
        <f>#REF!</f>
      </c>
      <c r="O125" s="167">
        <f>#REF!</f>
      </c>
      <c r="P125" s="260">
        <f>#REF!</f>
      </c>
      <c r="Q125" s="168">
        <f>P125*N125</f>
      </c>
      <c r="R125" s="425">
        <f>IFERROR(Q125/$Q$166,0)</f>
      </c>
      <c r="S125" s="371">
        <f ca="1">IF($AL$5&lt;=1,0,SUM(OFFSET('rincian '!#REF!,0,0,1,$AL$5-1)))</f>
      </c>
      <c r="T125" s="425">
        <f ca="1">IFERROR(S125/N125*R125,0)</f>
      </c>
      <c r="U125" s="372" cm="1">
        <f t="array" ref="U125">IFERROR(INDEX('rincian '!#REF!,$AL$5),0)</f>
      </c>
      <c r="V125" s="425">
        <f>IFERROR(U125/N125*R125,0)</f>
      </c>
      <c r="W125" s="244">
        <f ca="1">S125+U125</f>
      </c>
      <c r="X125" s="202">
        <f ca="1">T125+V125</f>
      </c>
      <c r="AL125" s="460"/>
      <c r="AM125" s="460"/>
      <c r="AN125" s="460"/>
      <c r="AO125" s="460"/>
      <c r="AP125" s="460"/>
      <c r="AQ125" s="460"/>
    </row>
    <row r="126" spans="2:43" s="105" customFormat="1" ht="27" customHeight="1">
      <c r="B126" s="370">
        <f>#REF!</f>
      </c>
      <c r="C126" s="232"/>
      <c r="D126" s="164">
        <f>IF(#REF!&lt;&gt;"",#REF!,IF(#REF!&lt;&gt;"",#REF!,""))</f>
      </c>
      <c r="E126" s="235"/>
      <c r="F126" s="236"/>
      <c r="G126" s="236"/>
      <c r="H126" s="237"/>
      <c r="I126" s="238"/>
      <c r="J126" s="239"/>
      <c r="K126" s="240"/>
      <c r="L126" s="241"/>
      <c r="M126" s="242"/>
      <c r="N126" s="167">
        <f>#REF!</f>
      </c>
      <c r="O126" s="167">
        <f>#REF!</f>
      </c>
      <c r="P126" s="260">
        <f>#REF!</f>
      </c>
      <c r="Q126" s="168">
        <f>P126*N126</f>
      </c>
      <c r="R126" s="425">
        <f>IFERROR(Q126/$Q$166,0)</f>
      </c>
      <c r="S126" s="371">
        <f ca="1">IF($AL$5&lt;=1,0,SUM(OFFSET('rincian '!#REF!,0,0,1,$AL$5-1)))</f>
      </c>
      <c r="T126" s="425">
        <f ca="1">IFERROR(S126/N126*R126,0)</f>
      </c>
      <c r="U126" s="372" cm="1">
        <f t="array" ref="U126">IFERROR(INDEX('rincian '!#REF!,$AL$5),0)</f>
      </c>
      <c r="V126" s="425">
        <f>IFERROR(U126/N126*R126,0)</f>
      </c>
      <c r="W126" s="244">
        <f ca="1">S126+U126</f>
      </c>
      <c r="X126" s="202">
        <f ca="1">T126+V126</f>
      </c>
      <c r="AL126" s="460"/>
      <c r="AM126" s="460"/>
      <c r="AN126" s="460"/>
      <c r="AO126" s="460"/>
      <c r="AP126" s="460"/>
      <c r="AQ126" s="460"/>
    </row>
    <row r="127" spans="2:43" s="105" customFormat="1" ht="27" customHeight="1">
      <c r="B127" s="401">
        <f>#REF!</f>
      </c>
      <c r="C127" s="373"/>
      <c r="D127" s="374">
        <f>IF(#REF!&lt;&gt;"",#REF!,IF(#REF!&lt;&gt;"",#REF!,""))</f>
      </c>
      <c r="E127" s="375"/>
      <c r="F127" s="376"/>
      <c r="G127" s="376"/>
      <c r="H127" s="377"/>
      <c r="I127" s="378"/>
      <c r="J127" s="379"/>
      <c r="K127" s="380"/>
      <c r="L127" s="381"/>
      <c r="M127" s="382"/>
      <c r="N127" s="167"/>
      <c r="O127" s="167"/>
      <c r="P127" s="260"/>
      <c r="Q127" s="168"/>
      <c r="R127" s="425"/>
      <c r="S127" s="371"/>
      <c r="T127" s="425"/>
      <c r="U127" s="372"/>
      <c r="V127" s="425"/>
      <c r="W127" s="244"/>
      <c r="X127" s="202"/>
      <c r="AL127" s="460"/>
      <c r="AM127" s="460"/>
      <c r="AN127" s="460"/>
      <c r="AO127" s="460"/>
      <c r="AP127" s="460"/>
      <c r="AQ127" s="460"/>
    </row>
    <row r="128" spans="2:43" s="105" customFormat="1" ht="27" customHeight="1">
      <c r="B128" s="370">
        <f>#REF!</f>
      </c>
      <c r="C128" s="232"/>
      <c r="D128" s="164">
        <f>IF(#REF!&lt;&gt;"",#REF!,IF(#REF!&lt;&gt;"",#REF!,""))</f>
      </c>
      <c r="E128" s="235"/>
      <c r="F128" s="236"/>
      <c r="G128" s="236"/>
      <c r="H128" s="237"/>
      <c r="I128" s="238"/>
      <c r="J128" s="239"/>
      <c r="K128" s="240"/>
      <c r="L128" s="241"/>
      <c r="M128" s="242"/>
      <c r="N128" s="167">
        <f>#REF!</f>
      </c>
      <c r="O128" s="167">
        <f>#REF!</f>
      </c>
      <c r="P128" s="260">
        <f>#REF!</f>
      </c>
      <c r="Q128" s="168">
        <f>P128*N128</f>
      </c>
      <c r="R128" s="425">
        <f>IFERROR(Q128/$Q$166,0)</f>
      </c>
      <c r="S128" s="371">
        <f ca="1">IF($AL$5&lt;=1,0,SUM(OFFSET('rincian '!#REF!,0,0,1,$AL$5-1)))</f>
      </c>
      <c r="T128" s="425">
        <f ca="1">IFERROR(S128/N128*R128,0)</f>
      </c>
      <c r="U128" s="372" cm="1">
        <f t="array" ref="U128">IFERROR(INDEX('rincian '!#REF!,$AL$5),0)</f>
      </c>
      <c r="V128" s="425">
        <f>IFERROR(U128/N128*R128,0)</f>
      </c>
      <c r="W128" s="244">
        <f t="shared" ref="W128:X130" ca="1" si="27">S128+U128</f>
      </c>
      <c r="X128" s="202">
        <f t="shared" ca="1" si="27"/>
      </c>
      <c r="AL128" s="460"/>
      <c r="AM128" s="460"/>
      <c r="AN128" s="460"/>
      <c r="AO128" s="460"/>
      <c r="AP128" s="460"/>
      <c r="AQ128" s="460"/>
    </row>
    <row r="129" spans="2:43" s="105" customFormat="1" ht="27" customHeight="1">
      <c r="B129" s="370">
        <f>#REF!</f>
      </c>
      <c r="C129" s="232"/>
      <c r="D129" s="164">
        <f>IF(#REF!&lt;&gt;"",#REF!,IF(#REF!&lt;&gt;"",#REF!,""))</f>
      </c>
      <c r="E129" s="235"/>
      <c r="F129" s="236"/>
      <c r="G129" s="236"/>
      <c r="H129" s="237"/>
      <c r="I129" s="238"/>
      <c r="J129" s="239"/>
      <c r="K129" s="240"/>
      <c r="L129" s="241"/>
      <c r="M129" s="242"/>
      <c r="N129" s="167">
        <f>#REF!</f>
      </c>
      <c r="O129" s="167">
        <f>#REF!</f>
      </c>
      <c r="P129" s="260">
        <f>#REF!</f>
      </c>
      <c r="Q129" s="168">
        <f>P129*N129</f>
      </c>
      <c r="R129" s="425">
        <f>IFERROR(Q129/$Q$166,0)</f>
      </c>
      <c r="S129" s="371">
        <f ca="1">IF($AL$5&lt;=1,0,SUM(OFFSET('rincian '!#REF!,0,0,1,$AL$5-1)))</f>
      </c>
      <c r="T129" s="425">
        <f ca="1">IFERROR(S129/N129*R129,0)</f>
      </c>
      <c r="U129" s="372" cm="1">
        <f t="array" ref="U129">IFERROR(INDEX('rincian '!#REF!,$AL$5),0)</f>
      </c>
      <c r="V129" s="425">
        <f>IFERROR(U129/N129*R129,0)</f>
      </c>
      <c r="W129" s="244">
        <f t="shared" ca="1" si="27"/>
      </c>
      <c r="X129" s="202">
        <f t="shared" ca="1" si="27"/>
      </c>
      <c r="AL129" s="460"/>
      <c r="AM129" s="460"/>
      <c r="AN129" s="460"/>
      <c r="AO129" s="460"/>
      <c r="AP129" s="460"/>
      <c r="AQ129" s="460"/>
    </row>
    <row r="130" spans="2:43" s="105" customFormat="1" ht="27" customHeight="1">
      <c r="B130" s="370">
        <f>#REF!</f>
      </c>
      <c r="C130" s="232"/>
      <c r="D130" s="164">
        <f>IF(#REF!&lt;&gt;"",#REF!,IF(#REF!&lt;&gt;"",#REF!,""))</f>
      </c>
      <c r="E130" s="235"/>
      <c r="F130" s="236"/>
      <c r="G130" s="236"/>
      <c r="H130" s="237"/>
      <c r="I130" s="238"/>
      <c r="J130" s="239"/>
      <c r="K130" s="240"/>
      <c r="L130" s="241"/>
      <c r="M130" s="242"/>
      <c r="N130" s="167">
        <f>#REF!</f>
      </c>
      <c r="O130" s="167">
        <f>#REF!</f>
      </c>
      <c r="P130" s="260">
        <f>#REF!</f>
      </c>
      <c r="Q130" s="168">
        <f>P130*N130</f>
      </c>
      <c r="R130" s="425">
        <f>IFERROR(Q130/$Q$166,0)</f>
      </c>
      <c r="S130" s="371">
        <f ca="1">IF($AL$5&lt;=1,0,SUM(OFFSET('rincian '!#REF!,0,0,1,$AL$5-1)))</f>
      </c>
      <c r="T130" s="425">
        <f ca="1">IFERROR(S130/N130*R130,0)</f>
      </c>
      <c r="U130" s="372" cm="1">
        <f t="array" ref="U130">IFERROR(INDEX('rincian '!#REF!,$AL$5),0)</f>
      </c>
      <c r="V130" s="425">
        <f>IFERROR(U130/N130*R130,0)</f>
      </c>
      <c r="W130" s="244">
        <f t="shared" ca="1" si="27"/>
      </c>
      <c r="X130" s="202">
        <f t="shared" ca="1" si="27"/>
      </c>
      <c r="AL130" s="460"/>
      <c r="AM130" s="460"/>
      <c r="AN130" s="460"/>
      <c r="AO130" s="460"/>
      <c r="AP130" s="460"/>
      <c r="AQ130" s="460"/>
    </row>
    <row r="131" spans="2:43" s="105" customFormat="1" ht="27" customHeight="1">
      <c r="B131" s="401">
        <f>#REF!</f>
      </c>
      <c r="C131" s="373"/>
      <c r="D131" s="374">
        <f>IF(#REF!&lt;&gt;"",#REF!,IF(#REF!&lt;&gt;"",#REF!,""))</f>
      </c>
      <c r="E131" s="375"/>
      <c r="F131" s="376"/>
      <c r="G131" s="376"/>
      <c r="H131" s="377"/>
      <c r="I131" s="378"/>
      <c r="J131" s="379"/>
      <c r="K131" s="380"/>
      <c r="L131" s="381"/>
      <c r="M131" s="382"/>
      <c r="N131" s="167"/>
      <c r="O131" s="167"/>
      <c r="P131" s="260"/>
      <c r="Q131" s="168"/>
      <c r="R131" s="425"/>
      <c r="S131" s="371"/>
      <c r="T131" s="425"/>
      <c r="U131" s="372"/>
      <c r="V131" s="425"/>
      <c r="W131" s="244"/>
      <c r="X131" s="202"/>
      <c r="AL131" s="460"/>
      <c r="AM131" s="460"/>
      <c r="AN131" s="460"/>
      <c r="AO131" s="460"/>
      <c r="AP131" s="460"/>
      <c r="AQ131" s="460"/>
    </row>
    <row r="132" spans="2:43" s="105" customFormat="1" ht="27" customHeight="1">
      <c r="B132" s="370">
        <f>#REF!</f>
      </c>
      <c r="C132" s="232"/>
      <c r="D132" s="164">
        <f>IF(#REF!&lt;&gt;"",#REF!,IF(#REF!&lt;&gt;"",#REF!,""))</f>
      </c>
      <c r="E132" s="235"/>
      <c r="F132" s="236"/>
      <c r="G132" s="236"/>
      <c r="H132" s="237"/>
      <c r="I132" s="238"/>
      <c r="J132" s="239"/>
      <c r="K132" s="240"/>
      <c r="L132" s="241"/>
      <c r="M132" s="242"/>
      <c r="N132" s="167">
        <f>#REF!</f>
      </c>
      <c r="O132" s="167">
        <f>#REF!</f>
      </c>
      <c r="P132" s="260">
        <f>#REF!</f>
      </c>
      <c r="Q132" s="168">
        <f>P132*N132</f>
      </c>
      <c r="R132" s="425">
        <f>IFERROR(Q132/$Q$166,0)</f>
      </c>
      <c r="S132" s="371">
        <f ca="1">IF($AL$5&lt;=1,0,SUM(OFFSET('rincian '!#REF!,0,0,1,$AL$5-1)))</f>
      </c>
      <c r="T132" s="425">
        <f ca="1">IFERROR(S132/N132*R132,0)</f>
      </c>
      <c r="U132" s="372" cm="1">
        <f t="array" ref="U132">IFERROR(INDEX('rincian '!#REF!,$AL$5),0)</f>
      </c>
      <c r="V132" s="425">
        <f>IFERROR(U132/N132*R132,0)</f>
      </c>
      <c r="W132" s="244">
        <f ca="1">S132+U132</f>
      </c>
      <c r="X132" s="202">
        <f ca="1">T132+V132</f>
      </c>
      <c r="AL132" s="460"/>
      <c r="AM132" s="460"/>
      <c r="AN132" s="460"/>
      <c r="AO132" s="460"/>
      <c r="AP132" s="460"/>
      <c r="AQ132" s="460"/>
    </row>
    <row r="133" spans="2:43" s="105" customFormat="1" ht="27" customHeight="1">
      <c r="B133" s="370">
        <f>#REF!</f>
      </c>
      <c r="C133" s="232"/>
      <c r="D133" s="164">
        <f>IF(#REF!&lt;&gt;"",#REF!,IF(#REF!&lt;&gt;"",#REF!,""))</f>
      </c>
      <c r="E133" s="235"/>
      <c r="F133" s="236"/>
      <c r="G133" s="236"/>
      <c r="H133" s="237"/>
      <c r="I133" s="238"/>
      <c r="J133" s="239"/>
      <c r="K133" s="240"/>
      <c r="L133" s="241"/>
      <c r="M133" s="242"/>
      <c r="N133" s="167">
        <f>#REF!</f>
      </c>
      <c r="O133" s="167">
        <f>#REF!</f>
      </c>
      <c r="P133" s="260">
        <f>#REF!</f>
      </c>
      <c r="Q133" s="168">
        <f>P133*N133</f>
      </c>
      <c r="R133" s="425">
        <f>IFERROR(Q133/$Q$166,0)</f>
      </c>
      <c r="S133" s="371">
        <f ca="1">IF($AL$5&lt;=1,0,SUM(OFFSET('rincian '!#REF!,0,0,1,$AL$5-1)))</f>
      </c>
      <c r="T133" s="425">
        <f ca="1">IFERROR(S133/N133*R133,0)</f>
      </c>
      <c r="U133" s="372" cm="1">
        <f t="array" ref="U133">IFERROR(INDEX('rincian '!#REF!,$AL$5),0)</f>
      </c>
      <c r="V133" s="425">
        <f>IFERROR(U133/N133*R133,0)</f>
      </c>
      <c r="W133" s="244">
        <f ca="1">S133+U133</f>
      </c>
      <c r="X133" s="202">
        <f ca="1">T133+V133</f>
      </c>
      <c r="AL133" s="460"/>
      <c r="AM133" s="460"/>
      <c r="AN133" s="460"/>
      <c r="AO133" s="460"/>
      <c r="AP133" s="460"/>
      <c r="AQ133" s="460"/>
    </row>
    <row r="134" spans="2:43" s="105" customFormat="1" ht="27" customHeight="1">
      <c r="B134" s="401">
        <f>#REF!</f>
      </c>
      <c r="C134" s="373"/>
      <c r="D134" s="374">
        <f>IF(#REF!&lt;&gt;"",#REF!,IF(#REF!&lt;&gt;"",#REF!,""))</f>
      </c>
      <c r="E134" s="375"/>
      <c r="F134" s="376"/>
      <c r="G134" s="376"/>
      <c r="H134" s="377"/>
      <c r="I134" s="378"/>
      <c r="J134" s="379"/>
      <c r="K134" s="380"/>
      <c r="L134" s="381"/>
      <c r="M134" s="382"/>
      <c r="N134" s="167"/>
      <c r="O134" s="167"/>
      <c r="P134" s="260"/>
      <c r="Q134" s="168"/>
      <c r="R134" s="425"/>
      <c r="S134" s="371"/>
      <c r="T134" s="425"/>
      <c r="U134" s="372"/>
      <c r="V134" s="425"/>
      <c r="W134" s="244"/>
      <c r="X134" s="202"/>
      <c r="AL134" s="460"/>
      <c r="AM134" s="460"/>
      <c r="AN134" s="460"/>
      <c r="AO134" s="460"/>
      <c r="AP134" s="460"/>
      <c r="AQ134" s="460"/>
    </row>
    <row r="135" spans="2:43" s="105" customFormat="1" ht="27" customHeight="1">
      <c r="B135" s="370">
        <f>#REF!</f>
      </c>
      <c r="C135" s="232"/>
      <c r="D135" s="164">
        <f>IF(#REF!&lt;&gt;"",#REF!,IF(#REF!&lt;&gt;"",#REF!,""))</f>
      </c>
      <c r="E135" s="235"/>
      <c r="F135" s="236"/>
      <c r="G135" s="236"/>
      <c r="H135" s="237"/>
      <c r="I135" s="238"/>
      <c r="J135" s="239"/>
      <c r="K135" s="240"/>
      <c r="L135" s="241"/>
      <c r="M135" s="242"/>
      <c r="N135" s="167">
        <f>#REF!</f>
      </c>
      <c r="O135" s="167">
        <f>#REF!</f>
      </c>
      <c r="P135" s="260">
        <f>#REF!</f>
      </c>
      <c r="Q135" s="168">
        <f>P135*N135</f>
      </c>
      <c r="R135" s="425">
        <f>IFERROR(Q135/$Q$166,0)</f>
      </c>
      <c r="S135" s="371">
        <f ca="1">IF($AL$5&lt;=1,0,SUM(OFFSET('rincian '!#REF!,0,0,1,$AL$5-1)))</f>
      </c>
      <c r="T135" s="425">
        <f ca="1">IFERROR(S135/N135*R135,0)</f>
      </c>
      <c r="U135" s="372" cm="1">
        <f t="array" ref="U135">IFERROR(INDEX('rincian '!#REF!,$AL$5),0)</f>
      </c>
      <c r="V135" s="425">
        <f>IFERROR(U135/N135*R135,0)</f>
      </c>
      <c r="W135" s="244">
        <f t="shared" ref="W135:X137" ca="1" si="28">S135+U135</f>
      </c>
      <c r="X135" s="202">
        <f t="shared" ca="1" si="28"/>
      </c>
      <c r="AL135" s="460"/>
      <c r="AM135" s="460"/>
      <c r="AN135" s="460"/>
      <c r="AO135" s="460"/>
      <c r="AP135" s="460"/>
      <c r="AQ135" s="460"/>
    </row>
    <row r="136" spans="2:43" s="105" customFormat="1" ht="27" customHeight="1">
      <c r="B136" s="370">
        <f>#REF!</f>
      </c>
      <c r="C136" s="232"/>
      <c r="D136" s="164">
        <f>IF(#REF!&lt;&gt;"",#REF!,IF(#REF!&lt;&gt;"",#REF!,""))</f>
      </c>
      <c r="E136" s="235"/>
      <c r="F136" s="236"/>
      <c r="G136" s="236"/>
      <c r="H136" s="237"/>
      <c r="I136" s="238"/>
      <c r="J136" s="239"/>
      <c r="K136" s="240"/>
      <c r="L136" s="241"/>
      <c r="M136" s="242"/>
      <c r="N136" s="167">
        <f>#REF!</f>
      </c>
      <c r="O136" s="167">
        <f>#REF!</f>
      </c>
      <c r="P136" s="260">
        <f>#REF!</f>
      </c>
      <c r="Q136" s="168">
        <f>P136*N136</f>
      </c>
      <c r="R136" s="425">
        <f>IFERROR(Q136/$Q$166,0)</f>
      </c>
      <c r="S136" s="371">
        <f ca="1">IF($AL$5&lt;=1,0,SUM(OFFSET('rincian '!#REF!,0,0,1,$AL$5-1)))</f>
      </c>
      <c r="T136" s="425">
        <f ca="1">IFERROR(S136/N136*R136,0)</f>
      </c>
      <c r="U136" s="372" cm="1">
        <f t="array" ref="U136">IFERROR(INDEX('rincian '!#REF!,$AL$5),0)</f>
      </c>
      <c r="V136" s="425">
        <f>IFERROR(U136/N136*R136,0)</f>
      </c>
      <c r="W136" s="244">
        <f t="shared" ca="1" si="28"/>
      </c>
      <c r="X136" s="202">
        <f t="shared" ca="1" si="28"/>
      </c>
      <c r="AL136" s="460"/>
      <c r="AM136" s="460"/>
      <c r="AN136" s="460"/>
      <c r="AO136" s="460"/>
      <c r="AP136" s="460"/>
      <c r="AQ136" s="460"/>
    </row>
    <row r="137" spans="2:43" s="105" customFormat="1" ht="27" customHeight="1">
      <c r="B137" s="370">
        <f>#REF!</f>
      </c>
      <c r="C137" s="232"/>
      <c r="D137" s="164">
        <f>IF(#REF!&lt;&gt;"",#REF!,IF(#REF!&lt;&gt;"",#REF!,""))</f>
      </c>
      <c r="E137" s="235"/>
      <c r="F137" s="236"/>
      <c r="G137" s="236"/>
      <c r="H137" s="237"/>
      <c r="I137" s="238"/>
      <c r="J137" s="239"/>
      <c r="K137" s="240"/>
      <c r="L137" s="241"/>
      <c r="M137" s="242"/>
      <c r="N137" s="167">
        <f>#REF!</f>
      </c>
      <c r="O137" s="167">
        <f>#REF!</f>
      </c>
      <c r="P137" s="260">
        <f>#REF!</f>
      </c>
      <c r="Q137" s="168">
        <f>P137*N137</f>
      </c>
      <c r="R137" s="425">
        <f>IFERROR(Q137/$Q$166,0)</f>
      </c>
      <c r="S137" s="371">
        <f ca="1">IF($AL$5&lt;=1,0,SUM(OFFSET('rincian '!#REF!,0,0,1,$AL$5-1)))</f>
      </c>
      <c r="T137" s="425">
        <f ca="1">IFERROR(S137/N137*R137,0)</f>
      </c>
      <c r="U137" s="372" cm="1">
        <f t="array" ref="U137">IFERROR(INDEX('rincian '!#REF!,$AL$5),0)</f>
      </c>
      <c r="V137" s="425">
        <f>IFERROR(U137/N137*R137,0)</f>
      </c>
      <c r="W137" s="244">
        <f t="shared" ca="1" si="28"/>
      </c>
      <c r="X137" s="202">
        <f t="shared" ca="1" si="28"/>
      </c>
      <c r="AL137" s="460"/>
      <c r="AM137" s="460"/>
      <c r="AN137" s="460"/>
      <c r="AO137" s="460"/>
      <c r="AP137" s="460"/>
      <c r="AQ137" s="460"/>
    </row>
    <row r="138" spans="2:43" s="105" customFormat="1" ht="27" customHeight="1">
      <c r="B138" s="402">
        <f>#REF!</f>
      </c>
      <c r="C138" s="384"/>
      <c r="D138" s="385">
        <f>IF(#REF!&lt;&gt;"",#REF!,IF(#REF!&lt;&gt;"",#REF!,""))</f>
      </c>
      <c r="E138" s="386"/>
      <c r="F138" s="387"/>
      <c r="G138" s="387"/>
      <c r="H138" s="388"/>
      <c r="I138" s="389"/>
      <c r="J138" s="390"/>
      <c r="K138" s="391"/>
      <c r="L138" s="392"/>
      <c r="M138" s="393"/>
      <c r="N138" s="394"/>
      <c r="O138" s="394"/>
      <c r="P138" s="395"/>
      <c r="Q138" s="396"/>
      <c r="R138" s="426"/>
      <c r="S138" s="403"/>
      <c r="T138" s="426"/>
      <c r="U138" s="403"/>
      <c r="V138" s="426"/>
      <c r="W138" s="399"/>
      <c r="X138" s="400"/>
      <c r="AL138" s="460"/>
      <c r="AM138" s="460"/>
      <c r="AN138" s="460"/>
      <c r="AO138" s="460"/>
      <c r="AP138" s="460"/>
      <c r="AQ138" s="460"/>
    </row>
    <row r="139" spans="2:43" s="105" customFormat="1" ht="27" customHeight="1">
      <c r="B139" s="401">
        <f>#REF!</f>
      </c>
      <c r="C139" s="373"/>
      <c r="D139" s="374">
        <f>IF(#REF!&lt;&gt;"",#REF!,IF(#REF!&lt;&gt;"",#REF!,""))</f>
      </c>
      <c r="E139" s="375"/>
      <c r="F139" s="376"/>
      <c r="G139" s="376"/>
      <c r="H139" s="377"/>
      <c r="I139" s="378"/>
      <c r="J139" s="379"/>
      <c r="K139" s="380"/>
      <c r="L139" s="381"/>
      <c r="M139" s="382"/>
      <c r="N139" s="167"/>
      <c r="O139" s="167"/>
      <c r="P139" s="260"/>
      <c r="Q139" s="168"/>
      <c r="R139" s="425"/>
      <c r="S139" s="371"/>
      <c r="T139" s="425"/>
      <c r="U139" s="372"/>
      <c r="V139" s="425"/>
      <c r="W139" s="244"/>
      <c r="X139" s="202"/>
      <c r="AL139" s="460"/>
      <c r="AM139" s="460"/>
      <c r="AN139" s="460"/>
      <c r="AO139" s="460"/>
      <c r="AP139" s="460"/>
      <c r="AQ139" s="460"/>
    </row>
    <row r="140" spans="2:43" s="105" customFormat="1" ht="27" customHeight="1">
      <c r="B140" s="370">
        <f>#REF!</f>
      </c>
      <c r="C140" s="232"/>
      <c r="D140" s="164">
        <f>IF(#REF!&lt;&gt;"",#REF!,IF(#REF!&lt;&gt;"",#REF!,""))</f>
      </c>
      <c r="E140" s="235"/>
      <c r="F140" s="236"/>
      <c r="G140" s="236"/>
      <c r="H140" s="237"/>
      <c r="I140" s="238"/>
      <c r="J140" s="239"/>
      <c r="K140" s="240"/>
      <c r="L140" s="241"/>
      <c r="M140" s="242"/>
      <c r="N140" s="167">
        <f>#REF!</f>
      </c>
      <c r="O140" s="167">
        <f>#REF!</f>
      </c>
      <c r="P140" s="260">
        <f>#REF!</f>
      </c>
      <c r="Q140" s="168">
        <f>P140*N140</f>
      </c>
      <c r="R140" s="425">
        <f>IFERROR(Q140/$Q$166,0)</f>
      </c>
      <c r="S140" s="371">
        <f ca="1">IF($AL$5&lt;=1,0,SUM(OFFSET('rincian '!#REF!,0,0,1,$AL$5-1)))</f>
      </c>
      <c r="T140" s="425">
        <f ca="1">IFERROR(S140/N140*R140,0)</f>
      </c>
      <c r="U140" s="372" cm="1">
        <f t="array" ref="U140">IFERROR(INDEX('rincian '!#REF!,$AL$5),0)</f>
      </c>
      <c r="V140" s="425">
        <f>IFERROR(U140/N140*R140,0)</f>
      </c>
      <c r="W140" s="244">
        <f t="shared" ref="W140:X143" ca="1" si="29">S140+U140</f>
      </c>
      <c r="X140" s="202">
        <f t="shared" ca="1" si="29"/>
      </c>
      <c r="AL140" s="460"/>
      <c r="AM140" s="460"/>
      <c r="AN140" s="460"/>
      <c r="AO140" s="460"/>
      <c r="AP140" s="460"/>
      <c r="AQ140" s="460"/>
    </row>
    <row r="141" spans="2:43" s="105" customFormat="1" ht="27" customHeight="1">
      <c r="B141" s="370">
        <f>#REF!</f>
      </c>
      <c r="C141" s="232"/>
      <c r="D141" s="164">
        <f>IF(#REF!&lt;&gt;"",#REF!,IF(#REF!&lt;&gt;"",#REF!,""))</f>
      </c>
      <c r="E141" s="235"/>
      <c r="F141" s="236"/>
      <c r="G141" s="236"/>
      <c r="H141" s="237"/>
      <c r="I141" s="238"/>
      <c r="J141" s="239"/>
      <c r="K141" s="240"/>
      <c r="L141" s="241"/>
      <c r="M141" s="242"/>
      <c r="N141" s="167">
        <f>#REF!</f>
      </c>
      <c r="O141" s="167">
        <f>#REF!</f>
      </c>
      <c r="P141" s="260">
        <f>#REF!</f>
      </c>
      <c r="Q141" s="168">
        <f>P141*N141</f>
      </c>
      <c r="R141" s="425">
        <f>IFERROR(Q141/$Q$166,0)</f>
      </c>
      <c r="S141" s="371">
        <f ca="1">IF($AL$5&lt;=1,0,SUM(OFFSET('rincian '!#REF!,0,0,1,$AL$5-1)))</f>
      </c>
      <c r="T141" s="425">
        <f ca="1">IFERROR(S141/N141*R141,0)</f>
      </c>
      <c r="U141" s="372" cm="1">
        <f t="array" ref="U141">IFERROR(INDEX('rincian '!#REF!,$AL$5),0)</f>
      </c>
      <c r="V141" s="425">
        <f>IFERROR(U141/N141*R141,0)</f>
      </c>
      <c r="W141" s="244">
        <f t="shared" ca="1" si="29"/>
      </c>
      <c r="X141" s="202">
        <f t="shared" ca="1" si="29"/>
      </c>
      <c r="AL141" s="460"/>
      <c r="AM141" s="460"/>
      <c r="AN141" s="460"/>
      <c r="AO141" s="460"/>
      <c r="AP141" s="460"/>
      <c r="AQ141" s="460"/>
    </row>
    <row r="142" spans="2:43" s="105" customFormat="1" ht="27" customHeight="1">
      <c r="B142" s="370">
        <f>#REF!</f>
      </c>
      <c r="C142" s="232"/>
      <c r="D142" s="164">
        <f>IF(#REF!&lt;&gt;"",#REF!,IF(#REF!&lt;&gt;"",#REF!,""))</f>
      </c>
      <c r="E142" s="235"/>
      <c r="F142" s="236"/>
      <c r="G142" s="236"/>
      <c r="H142" s="237"/>
      <c r="I142" s="238"/>
      <c r="J142" s="239"/>
      <c r="K142" s="240"/>
      <c r="L142" s="241"/>
      <c r="M142" s="242"/>
      <c r="N142" s="167">
        <f>#REF!</f>
      </c>
      <c r="O142" s="167">
        <f>#REF!</f>
      </c>
      <c r="P142" s="260">
        <f>#REF!</f>
      </c>
      <c r="Q142" s="168">
        <f>P142*N142</f>
      </c>
      <c r="R142" s="425">
        <f>IFERROR(Q142/$Q$166,0)</f>
      </c>
      <c r="S142" s="371">
        <f ca="1">IF($AL$5&lt;=1,0,SUM(OFFSET('rincian '!#REF!,0,0,1,$AL$5-1)))</f>
      </c>
      <c r="T142" s="425">
        <f ca="1">IFERROR(S142/N142*R142,0)</f>
      </c>
      <c r="U142" s="372" cm="1">
        <f t="array" ref="U142">IFERROR(INDEX('rincian '!#REF!,$AL$5),0)</f>
      </c>
      <c r="V142" s="425">
        <f>IFERROR(U142/N142*R142,0)</f>
      </c>
      <c r="W142" s="244">
        <f t="shared" ca="1" si="29"/>
      </c>
      <c r="X142" s="202">
        <f t="shared" ca="1" si="29"/>
      </c>
      <c r="AL142" s="460"/>
      <c r="AM142" s="460"/>
      <c r="AN142" s="460"/>
      <c r="AO142" s="460"/>
      <c r="AP142" s="460"/>
      <c r="AQ142" s="460"/>
    </row>
    <row r="143" spans="2:43" s="105" customFormat="1" ht="27" customHeight="1">
      <c r="B143" s="370">
        <f>#REF!</f>
      </c>
      <c r="C143" s="232"/>
      <c r="D143" s="164">
        <f>IF(#REF!&lt;&gt;"",#REF!,IF(#REF!&lt;&gt;"",#REF!,""))</f>
      </c>
      <c r="E143" s="235"/>
      <c r="F143" s="236"/>
      <c r="G143" s="236"/>
      <c r="H143" s="237"/>
      <c r="I143" s="238"/>
      <c r="J143" s="239"/>
      <c r="K143" s="240"/>
      <c r="L143" s="241"/>
      <c r="M143" s="242"/>
      <c r="N143" s="167">
        <f>#REF!</f>
      </c>
      <c r="O143" s="167">
        <f>#REF!</f>
      </c>
      <c r="P143" s="260">
        <f>#REF!</f>
      </c>
      <c r="Q143" s="168">
        <f>P143*N143</f>
      </c>
      <c r="R143" s="425">
        <f>IFERROR(Q143/$Q$166,0)</f>
      </c>
      <c r="S143" s="371">
        <f ca="1">IF($AL$5&lt;=1,0,SUM(OFFSET('rincian '!#REF!,0,0,1,$AL$5-1)))</f>
      </c>
      <c r="T143" s="425">
        <f ca="1">IFERROR(S143/N143*R143,0)</f>
      </c>
      <c r="U143" s="372" cm="1">
        <f t="array" ref="U143">IFERROR(INDEX('rincian '!#REF!,$AL$5),0)</f>
      </c>
      <c r="V143" s="425">
        <f>IFERROR(U143/N143*R143,0)</f>
      </c>
      <c r="W143" s="244">
        <f t="shared" ca="1" si="29"/>
      </c>
      <c r="X143" s="202">
        <f t="shared" ca="1" si="29"/>
      </c>
      <c r="AL143" s="460"/>
      <c r="AM143" s="460"/>
      <c r="AN143" s="460"/>
      <c r="AO143" s="460"/>
      <c r="AP143" s="460"/>
      <c r="AQ143" s="460"/>
    </row>
    <row r="144" spans="2:43" s="105" customFormat="1" ht="27" customHeight="1">
      <c r="B144" s="370">
        <f>#REF!</f>
      </c>
      <c r="C144" s="232"/>
      <c r="D144" s="164">
        <f>IF(#REF!&lt;&gt;"",#REF!,IF(#REF!&lt;&gt;"",#REF!,""))</f>
      </c>
      <c r="E144" s="235"/>
      <c r="F144" s="236"/>
      <c r="G144" s="236"/>
      <c r="H144" s="237"/>
      <c r="I144" s="238"/>
      <c r="J144" s="239"/>
      <c r="K144" s="240"/>
      <c r="L144" s="241"/>
      <c r="M144" s="242"/>
      <c r="N144" s="167"/>
      <c r="O144" s="167"/>
      <c r="P144" s="260"/>
      <c r="Q144" s="168"/>
      <c r="R144" s="425"/>
      <c r="S144" s="371"/>
      <c r="T144" s="425"/>
      <c r="U144" s="372"/>
      <c r="V144" s="425"/>
      <c r="W144" s="244"/>
      <c r="X144" s="202"/>
      <c r="AL144" s="460"/>
      <c r="AM144" s="460"/>
      <c r="AN144" s="460"/>
      <c r="AO144" s="460"/>
      <c r="AP144" s="460"/>
      <c r="AQ144" s="460"/>
    </row>
    <row r="145" spans="2:43" s="105" customFormat="1" ht="27" customHeight="1">
      <c r="B145" s="370">
        <f>#REF!</f>
      </c>
      <c r="C145" s="232"/>
      <c r="D145" s="164">
        <f>IF(#REF!&lt;&gt;"",#REF!,IF(#REF!&lt;&gt;"",#REF!,""))</f>
      </c>
      <c r="E145" s="235"/>
      <c r="F145" s="236"/>
      <c r="G145" s="236"/>
      <c r="H145" s="237"/>
      <c r="I145" s="238"/>
      <c r="J145" s="239"/>
      <c r="K145" s="240"/>
      <c r="L145" s="241"/>
      <c r="M145" s="242"/>
      <c r="N145" s="167"/>
      <c r="O145" s="167"/>
      <c r="P145" s="260"/>
      <c r="Q145" s="168"/>
      <c r="R145" s="425"/>
      <c r="S145" s="371"/>
      <c r="T145" s="425"/>
      <c r="U145" s="372"/>
      <c r="V145" s="425"/>
      <c r="W145" s="244"/>
      <c r="X145" s="202"/>
      <c r="AL145" s="460"/>
      <c r="AM145" s="460"/>
      <c r="AN145" s="460"/>
      <c r="AO145" s="460"/>
      <c r="AP145" s="460"/>
      <c r="AQ145" s="460"/>
    </row>
    <row r="146" spans="2:43" s="105" customFormat="1" ht="21" customHeight="1">
      <c r="B146" s="370">
        <f>#REF!</f>
      </c>
      <c r="C146" s="232"/>
      <c r="D146" s="704">
        <f>IF(#REF!&lt;&gt;"",#REF!,IF(#REF!&lt;&gt;"",#REF!,""))</f>
      </c>
      <c r="E146" s="704"/>
      <c r="F146" s="704"/>
      <c r="G146" s="704"/>
      <c r="H146" s="704"/>
      <c r="I146" s="704"/>
      <c r="J146" s="704"/>
      <c r="K146" s="704"/>
      <c r="L146" s="704"/>
      <c r="M146" s="705"/>
      <c r="N146" s="167"/>
      <c r="O146" s="167"/>
      <c r="P146" s="260"/>
      <c r="Q146" s="168"/>
      <c r="R146" s="425"/>
      <c r="S146" s="371"/>
      <c r="T146" s="425"/>
      <c r="U146" s="372"/>
      <c r="V146" s="425"/>
      <c r="W146" s="244"/>
      <c r="X146" s="202"/>
      <c r="AL146" s="460"/>
      <c r="AM146" s="460"/>
      <c r="AN146" s="460"/>
      <c r="AO146" s="460"/>
      <c r="AP146" s="460"/>
      <c r="AQ146" s="460"/>
    </row>
    <row r="147" spans="2:43" s="105" customFormat="1" ht="27" customHeight="1">
      <c r="B147" s="370">
        <f>#REF!</f>
      </c>
      <c r="C147" s="232"/>
      <c r="D147" s="164">
        <f>IF(#REF!&lt;&gt;"",#REF!,IF(#REF!&lt;&gt;"",#REF!,""))</f>
      </c>
      <c r="E147" s="235"/>
      <c r="F147" s="236"/>
      <c r="G147" s="236"/>
      <c r="H147" s="237"/>
      <c r="I147" s="238"/>
      <c r="J147" s="239"/>
      <c r="K147" s="240"/>
      <c r="L147" s="241"/>
      <c r="M147" s="242"/>
      <c r="N147" s="167">
        <f>#REF!</f>
      </c>
      <c r="O147" s="167">
        <f>#REF!</f>
      </c>
      <c r="P147" s="260">
        <f>#REF!</f>
      </c>
      <c r="Q147" s="168">
        <f>P147*N147</f>
      </c>
      <c r="R147" s="425">
        <f>IFERROR(Q147/$Q$166,0)</f>
      </c>
      <c r="S147" s="371">
        <f ca="1">IF($AL$5&lt;=1,0,SUM(OFFSET('rincian '!#REF!,0,0,1,$AL$5-1)))</f>
      </c>
      <c r="T147" s="425">
        <f ca="1">IFERROR(S147/N147*R147,0)</f>
      </c>
      <c r="U147" s="372" cm="1">
        <f t="array" ref="U147">IFERROR(INDEX('rincian '!#REF!,$AL$5),0)</f>
      </c>
      <c r="V147" s="425">
        <f>IFERROR(U147/N147*R147,0)</f>
      </c>
      <c r="W147" s="244">
        <f ca="1">S147+U147</f>
      </c>
      <c r="X147" s="202">
        <f ca="1">T147+V147</f>
      </c>
      <c r="AL147" s="460"/>
      <c r="AM147" s="460"/>
      <c r="AN147" s="460"/>
      <c r="AO147" s="460"/>
      <c r="AP147" s="460"/>
      <c r="AQ147" s="460"/>
    </row>
    <row r="148" spans="2:43" s="105" customFormat="1" ht="27" customHeight="1">
      <c r="B148" s="370">
        <f>#REF!</f>
      </c>
      <c r="C148" s="232"/>
      <c r="D148" s="164">
        <f>IF(#REF!&lt;&gt;"",#REF!,IF(#REF!&lt;&gt;"",#REF!,""))</f>
      </c>
      <c r="E148" s="235"/>
      <c r="F148" s="236"/>
      <c r="G148" s="236"/>
      <c r="H148" s="237"/>
      <c r="I148" s="238"/>
      <c r="J148" s="239"/>
      <c r="K148" s="240"/>
      <c r="L148" s="241"/>
      <c r="M148" s="242"/>
      <c r="N148" s="167"/>
      <c r="O148" s="167"/>
      <c r="P148" s="260"/>
      <c r="Q148" s="168"/>
      <c r="R148" s="425"/>
      <c r="S148" s="371"/>
      <c r="T148" s="425"/>
      <c r="U148" s="372"/>
      <c r="V148" s="425"/>
      <c r="W148" s="244"/>
      <c r="X148" s="202"/>
      <c r="AL148" s="460"/>
      <c r="AM148" s="460"/>
      <c r="AN148" s="460"/>
      <c r="AO148" s="460"/>
      <c r="AP148" s="460"/>
      <c r="AQ148" s="460"/>
    </row>
    <row r="149" spans="2:43" s="105" customFormat="1" ht="27" customHeight="1">
      <c r="B149" s="370">
        <f>#REF!</f>
      </c>
      <c r="C149" s="232"/>
      <c r="D149" s="164">
        <f>IF(#REF!&lt;&gt;"",#REF!,IF(#REF!&lt;&gt;"",#REF!,""))</f>
      </c>
      <c r="E149" s="235"/>
      <c r="F149" s="236"/>
      <c r="G149" s="236"/>
      <c r="H149" s="237"/>
      <c r="I149" s="238"/>
      <c r="J149" s="239"/>
      <c r="K149" s="240"/>
      <c r="L149" s="241"/>
      <c r="M149" s="242"/>
      <c r="N149" s="167"/>
      <c r="O149" s="167"/>
      <c r="P149" s="260"/>
      <c r="Q149" s="168"/>
      <c r="R149" s="425"/>
      <c r="S149" s="371"/>
      <c r="T149" s="425"/>
      <c r="U149" s="372"/>
      <c r="V149" s="425"/>
      <c r="W149" s="244"/>
      <c r="X149" s="202"/>
      <c r="AL149" s="460"/>
      <c r="AM149" s="460"/>
      <c r="AN149" s="460"/>
      <c r="AO149" s="460"/>
      <c r="AP149" s="460"/>
      <c r="AQ149" s="460"/>
    </row>
    <row r="150" spans="2:43" s="105" customFormat="1" ht="27" customHeight="1">
      <c r="B150" s="370">
        <f>#REF!</f>
      </c>
      <c r="C150" s="232"/>
      <c r="D150" s="164">
        <f>IF(#REF!&lt;&gt;"",#REF!,IF(#REF!&lt;&gt;"",#REF!,""))</f>
      </c>
      <c r="E150" s="235"/>
      <c r="F150" s="236"/>
      <c r="G150" s="236"/>
      <c r="H150" s="237"/>
      <c r="I150" s="238"/>
      <c r="J150" s="239"/>
      <c r="K150" s="240"/>
      <c r="L150" s="241"/>
      <c r="M150" s="242"/>
      <c r="N150" s="167"/>
      <c r="O150" s="167"/>
      <c r="P150" s="260"/>
      <c r="Q150" s="168"/>
      <c r="R150" s="425"/>
      <c r="S150" s="371"/>
      <c r="T150" s="425"/>
      <c r="U150" s="372"/>
      <c r="V150" s="425"/>
      <c r="W150" s="244"/>
      <c r="X150" s="202"/>
      <c r="AL150" s="460"/>
      <c r="AM150" s="460"/>
      <c r="AN150" s="460"/>
      <c r="AO150" s="460"/>
      <c r="AP150" s="460"/>
      <c r="AQ150" s="460"/>
    </row>
    <row r="151" spans="2:43" s="105" customFormat="1" ht="27" customHeight="1">
      <c r="B151" s="370">
        <f>#REF!</f>
      </c>
      <c r="C151" s="232"/>
      <c r="D151" s="164">
        <f>IF(#REF!&lt;&gt;"",#REF!,IF(#REF!&lt;&gt;"",#REF!,""))</f>
      </c>
      <c r="E151" s="235"/>
      <c r="F151" s="236"/>
      <c r="G151" s="236"/>
      <c r="H151" s="237"/>
      <c r="I151" s="238"/>
      <c r="J151" s="239"/>
      <c r="K151" s="240"/>
      <c r="L151" s="241"/>
      <c r="M151" s="242"/>
      <c r="N151" s="167"/>
      <c r="O151" s="167"/>
      <c r="P151" s="260"/>
      <c r="Q151" s="168"/>
      <c r="R151" s="425"/>
      <c r="S151" s="371"/>
      <c r="T151" s="425"/>
      <c r="U151" s="372"/>
      <c r="V151" s="425"/>
      <c r="W151" s="244"/>
      <c r="X151" s="202"/>
      <c r="AL151" s="460"/>
      <c r="AM151" s="460"/>
      <c r="AN151" s="460"/>
      <c r="AO151" s="460"/>
      <c r="AP151" s="460"/>
      <c r="AQ151" s="460"/>
    </row>
    <row r="152" spans="2:43" s="105" customFormat="1" ht="27" customHeight="1">
      <c r="B152" s="370">
        <f>#REF!</f>
      </c>
      <c r="C152" s="232"/>
      <c r="D152" s="164">
        <f>IF(#REF!&lt;&gt;"",#REF!,IF(#REF!&lt;&gt;"",#REF!,""))</f>
      </c>
      <c r="E152" s="235"/>
      <c r="F152" s="236"/>
      <c r="G152" s="236"/>
      <c r="H152" s="237"/>
      <c r="I152" s="238"/>
      <c r="J152" s="239"/>
      <c r="K152" s="240"/>
      <c r="L152" s="241"/>
      <c r="M152" s="242"/>
      <c r="N152" s="167">
        <f>#REF!</f>
      </c>
      <c r="O152" s="167">
        <f>#REF!</f>
      </c>
      <c r="P152" s="260">
        <f>#REF!</f>
      </c>
      <c r="Q152" s="168">
        <f>P152*N152</f>
      </c>
      <c r="R152" s="425">
        <f>IFERROR(Q152/$Q$166,0)</f>
      </c>
      <c r="S152" s="371">
        <f ca="1">IF($AL$5&lt;=1,0,SUM(OFFSET('rincian '!#REF!,0,0,1,$AL$5-1)))</f>
      </c>
      <c r="T152" s="425">
        <f ca="1">IFERROR(S152/N152*R152,0)</f>
      </c>
      <c r="U152" s="372" cm="1">
        <f t="array" ref="U152">IFERROR(INDEX('rincian '!#REF!,$AL$5),0)</f>
      </c>
      <c r="V152" s="425">
        <f>IFERROR(U152/N152*R152,0)</f>
      </c>
      <c r="W152" s="244">
        <f ca="1">S152+U152</f>
      </c>
      <c r="X152" s="202">
        <f ca="1">T152+V152</f>
      </c>
      <c r="AL152" s="460"/>
      <c r="AM152" s="460"/>
      <c r="AN152" s="460"/>
      <c r="AO152" s="460"/>
      <c r="AP152" s="460"/>
      <c r="AQ152" s="460"/>
    </row>
    <row r="153" spans="2:43" s="105" customFormat="1" ht="27" customHeight="1">
      <c r="B153" s="401">
        <f>#REF!</f>
      </c>
      <c r="C153" s="373"/>
      <c r="D153" s="374">
        <f>IF(#REF!&lt;&gt;"",#REF!,IF(#REF!&lt;&gt;"",#REF!,""))</f>
      </c>
      <c r="E153" s="375"/>
      <c r="F153" s="376"/>
      <c r="G153" s="376"/>
      <c r="H153" s="377"/>
      <c r="I153" s="378"/>
      <c r="J153" s="379"/>
      <c r="K153" s="380"/>
      <c r="L153" s="381"/>
      <c r="M153" s="382"/>
      <c r="N153" s="167"/>
      <c r="O153" s="167"/>
      <c r="P153" s="260"/>
      <c r="Q153" s="168"/>
      <c r="R153" s="425"/>
      <c r="S153" s="371"/>
      <c r="T153" s="425"/>
      <c r="U153" s="372"/>
      <c r="V153" s="425"/>
      <c r="W153" s="244"/>
      <c r="X153" s="202"/>
      <c r="AL153" s="460"/>
      <c r="AM153" s="460"/>
      <c r="AN153" s="460"/>
      <c r="AO153" s="460"/>
      <c r="AP153" s="460"/>
      <c r="AQ153" s="460"/>
    </row>
    <row r="154" spans="2:43" s="105" customFormat="1" ht="27" customHeight="1">
      <c r="B154" s="370">
        <f>#REF!</f>
      </c>
      <c r="C154" s="232"/>
      <c r="D154" s="164">
        <f>IF(#REF!&lt;&gt;"",#REF!,IF(#REF!&lt;&gt;"",#REF!,""))</f>
      </c>
      <c r="E154" s="235"/>
      <c r="F154" s="236"/>
      <c r="G154" s="236"/>
      <c r="H154" s="237"/>
      <c r="I154" s="238"/>
      <c r="J154" s="239"/>
      <c r="K154" s="240"/>
      <c r="L154" s="241"/>
      <c r="M154" s="242"/>
      <c r="N154" s="167">
        <f>#REF!</f>
      </c>
      <c r="O154" s="167">
        <f>#REF!</f>
      </c>
      <c r="P154" s="260">
        <f>#REF!</f>
      </c>
      <c r="Q154" s="168">
        <f>P154*N154</f>
      </c>
      <c r="R154" s="425">
        <f>IFERROR(Q154/$Q$166,0)</f>
      </c>
      <c r="S154" s="371">
        <f ca="1">IF($AL$5&lt;=1,0,SUM(OFFSET('rincian '!#REF!,0,0,1,$AL$5-1)))</f>
      </c>
      <c r="T154" s="425">
        <f ca="1">IFERROR(S154/N154*R154,0)</f>
      </c>
      <c r="U154" s="372" cm="1">
        <f t="array" ref="U154">IFERROR(INDEX('rincian '!#REF!,$AL$5),0)</f>
      </c>
      <c r="V154" s="425">
        <f>IFERROR(U154/N154*R154,0)</f>
      </c>
      <c r="W154" s="244">
        <f ca="1">S154+U154</f>
      </c>
      <c r="X154" s="202">
        <f ca="1">T154+V154</f>
      </c>
      <c r="AL154" s="460"/>
      <c r="AM154" s="460"/>
      <c r="AN154" s="460"/>
      <c r="AO154" s="460"/>
      <c r="AP154" s="460"/>
      <c r="AQ154" s="460"/>
    </row>
    <row r="155" spans="2:43" s="105" customFormat="1" ht="27" customHeight="1">
      <c r="B155" s="370">
        <f>#REF!</f>
      </c>
      <c r="C155" s="232"/>
      <c r="D155" s="164">
        <f>IF(#REF!&lt;&gt;"",#REF!,IF(#REF!&lt;&gt;"",#REF!,""))</f>
      </c>
      <c r="E155" s="235"/>
      <c r="F155" s="236"/>
      <c r="G155" s="236"/>
      <c r="H155" s="237"/>
      <c r="I155" s="238"/>
      <c r="J155" s="239"/>
      <c r="K155" s="240"/>
      <c r="L155" s="241"/>
      <c r="M155" s="242"/>
      <c r="N155" s="167">
        <f>#REF!</f>
      </c>
      <c r="O155" s="167">
        <f>#REF!</f>
      </c>
      <c r="P155" s="260">
        <f>#REF!</f>
      </c>
      <c r="Q155" s="168">
        <f>P155*N155</f>
      </c>
      <c r="R155" s="425">
        <f>IFERROR(Q155/$Q$166,0)</f>
      </c>
      <c r="S155" s="371">
        <f ca="1">IF($AL$5&lt;=1,0,SUM(OFFSET('rincian '!#REF!,0,0,1,$AL$5-1)))</f>
      </c>
      <c r="T155" s="425">
        <f ca="1">IFERROR(S155/N155*R155,0)</f>
      </c>
      <c r="U155" s="372" cm="1">
        <f t="array" ref="U155">IFERROR(INDEX('rincian '!#REF!,$AL$5),0)</f>
      </c>
      <c r="V155" s="425">
        <f>IFERROR(U155/N155*R155,0)</f>
      </c>
      <c r="W155" s="244">
        <f ca="1">S155+U155</f>
      </c>
      <c r="X155" s="202">
        <f ca="1">T155+V155</f>
      </c>
      <c r="AL155" s="460"/>
      <c r="AM155" s="460"/>
      <c r="AN155" s="460"/>
      <c r="AO155" s="460"/>
      <c r="AP155" s="460"/>
      <c r="AQ155" s="460"/>
    </row>
    <row r="156" spans="2:43" s="105" customFormat="1" ht="27" customHeight="1">
      <c r="B156" s="370">
        <f>#REF!</f>
      </c>
      <c r="C156" s="232"/>
      <c r="D156" s="164">
        <f>IF(#REF!&lt;&gt;"",#REF!,IF(#REF!&lt;&gt;"",#REF!,""))</f>
      </c>
      <c r="E156" s="235"/>
      <c r="F156" s="236"/>
      <c r="G156" s="236"/>
      <c r="H156" s="237"/>
      <c r="I156" s="238"/>
      <c r="J156" s="239"/>
      <c r="K156" s="240"/>
      <c r="L156" s="241"/>
      <c r="M156" s="242"/>
      <c r="N156" s="167"/>
      <c r="O156" s="167"/>
      <c r="P156" s="260"/>
      <c r="Q156" s="168"/>
      <c r="R156" s="425"/>
      <c r="S156" s="371"/>
      <c r="T156" s="425"/>
      <c r="U156" s="372"/>
      <c r="V156" s="425"/>
      <c r="W156" s="244"/>
      <c r="X156" s="202"/>
      <c r="AL156" s="460"/>
      <c r="AM156" s="460"/>
      <c r="AN156" s="460"/>
      <c r="AO156" s="460"/>
      <c r="AP156" s="460"/>
      <c r="AQ156" s="460"/>
    </row>
    <row r="157" spans="2:43" s="105" customFormat="1" ht="27" customHeight="1">
      <c r="B157" s="370">
        <f>#REF!</f>
      </c>
      <c r="C157" s="232"/>
      <c r="D157" s="164">
        <f>IF(#REF!&lt;&gt;"",#REF!,IF(#REF!&lt;&gt;"",#REF!,""))</f>
      </c>
      <c r="E157" s="235"/>
      <c r="F157" s="236"/>
      <c r="G157" s="236"/>
      <c r="H157" s="237"/>
      <c r="I157" s="238"/>
      <c r="J157" s="239"/>
      <c r="K157" s="240"/>
      <c r="L157" s="241"/>
      <c r="M157" s="242"/>
      <c r="N157" s="167"/>
      <c r="O157" s="167"/>
      <c r="P157" s="260"/>
      <c r="Q157" s="168"/>
      <c r="R157" s="425"/>
      <c r="S157" s="371"/>
      <c r="T157" s="425"/>
      <c r="U157" s="372"/>
      <c r="V157" s="425"/>
      <c r="W157" s="244"/>
      <c r="X157" s="202"/>
      <c r="AL157" s="460"/>
      <c r="AM157" s="460"/>
      <c r="AN157" s="460"/>
      <c r="AO157" s="460"/>
      <c r="AP157" s="460"/>
      <c r="AQ157" s="460"/>
    </row>
    <row r="158" spans="2:43" s="105" customFormat="1" ht="27" customHeight="1">
      <c r="B158" s="370">
        <f>#REF!</f>
      </c>
      <c r="C158" s="232"/>
      <c r="D158" s="164">
        <f>IF(#REF!&lt;&gt;"",#REF!,IF(#REF!&lt;&gt;"",#REF!,""))</f>
      </c>
      <c r="E158" s="235"/>
      <c r="F158" s="236"/>
      <c r="G158" s="236"/>
      <c r="H158" s="237"/>
      <c r="I158" s="238"/>
      <c r="J158" s="239"/>
      <c r="K158" s="240"/>
      <c r="L158" s="241"/>
      <c r="M158" s="242"/>
      <c r="N158" s="167"/>
      <c r="O158" s="167"/>
      <c r="P158" s="260"/>
      <c r="Q158" s="168"/>
      <c r="R158" s="425"/>
      <c r="S158" s="371"/>
      <c r="T158" s="425"/>
      <c r="U158" s="372"/>
      <c r="V158" s="425"/>
      <c r="W158" s="244"/>
      <c r="X158" s="202"/>
      <c r="AL158" s="460"/>
      <c r="AM158" s="460"/>
      <c r="AN158" s="460"/>
      <c r="AO158" s="460"/>
      <c r="AP158" s="460"/>
      <c r="AQ158" s="460"/>
    </row>
    <row r="159" spans="2:43" s="105" customFormat="1" ht="27" customHeight="1">
      <c r="B159" s="370">
        <f>#REF!</f>
      </c>
      <c r="C159" s="232"/>
      <c r="D159" s="164">
        <f>IF(#REF!&lt;&gt;"",#REF!,IF(#REF!&lt;&gt;"",#REF!,""))</f>
      </c>
      <c r="E159" s="235"/>
      <c r="F159" s="236"/>
      <c r="G159" s="236"/>
      <c r="H159" s="237"/>
      <c r="I159" s="238"/>
      <c r="J159" s="239"/>
      <c r="K159" s="240"/>
      <c r="L159" s="241"/>
      <c r="M159" s="242"/>
      <c r="N159" s="167">
        <f>#REF!</f>
      </c>
      <c r="O159" s="167">
        <f>#REF!</f>
      </c>
      <c r="P159" s="260">
        <f>#REF!</f>
      </c>
      <c r="Q159" s="168">
        <f>P159*N159</f>
      </c>
      <c r="R159" s="425">
        <f>IFERROR(Q159/$Q$166,0)</f>
      </c>
      <c r="S159" s="371">
        <f ca="1">IF($AL$5&lt;=1,0,SUM(OFFSET('rincian '!#REF!,0,0,1,$AL$5-1)))</f>
      </c>
      <c r="T159" s="425">
        <f ca="1">IFERROR(S159/N159*R159,0)</f>
      </c>
      <c r="U159" s="372" cm="1">
        <f t="array" ref="U159">IFERROR(INDEX('rincian '!#REF!,$AL$5),0)</f>
      </c>
      <c r="V159" s="425">
        <f>IFERROR(U159/N159*R159,0)</f>
      </c>
      <c r="W159" s="244">
        <f ca="1">S159+U159</f>
      </c>
      <c r="X159" s="202">
        <f ca="1">T159+V159</f>
      </c>
      <c r="AL159" s="460"/>
      <c r="AM159" s="460"/>
      <c r="AN159" s="460"/>
      <c r="AO159" s="460"/>
      <c r="AP159" s="460"/>
      <c r="AQ159" s="460"/>
    </row>
    <row r="160" spans="2:43" s="105" customFormat="1" ht="27" customHeight="1">
      <c r="B160" s="370">
        <f>#REF!</f>
      </c>
      <c r="C160" s="232"/>
      <c r="D160" s="164">
        <f>IF(#REF!&lt;&gt;"",#REF!,IF(#REF!&lt;&gt;"",#REF!,""))</f>
      </c>
      <c r="E160" s="235"/>
      <c r="F160" s="236"/>
      <c r="G160" s="236"/>
      <c r="H160" s="237"/>
      <c r="I160" s="238"/>
      <c r="J160" s="239"/>
      <c r="K160" s="240"/>
      <c r="L160" s="241"/>
      <c r="M160" s="242"/>
      <c r="N160" s="167"/>
      <c r="O160" s="167"/>
      <c r="P160" s="260"/>
      <c r="Q160" s="168"/>
      <c r="R160" s="425"/>
      <c r="S160" s="371"/>
      <c r="T160" s="425"/>
      <c r="U160" s="372"/>
      <c r="V160" s="425"/>
      <c r="W160" s="244"/>
      <c r="X160" s="202"/>
      <c r="AL160" s="460"/>
      <c r="AM160" s="460"/>
      <c r="AN160" s="460"/>
      <c r="AO160" s="460"/>
      <c r="AP160" s="460"/>
      <c r="AQ160" s="460"/>
    </row>
    <row r="161" spans="2:43" s="105" customFormat="1" ht="27" customHeight="1">
      <c r="B161" s="370">
        <f>#REF!</f>
      </c>
      <c r="C161" s="232"/>
      <c r="D161" s="164">
        <f>IF(#REF!&lt;&gt;"",#REF!,IF(#REF!&lt;&gt;"",#REF!,""))</f>
      </c>
      <c r="E161" s="235"/>
      <c r="F161" s="236"/>
      <c r="G161" s="236"/>
      <c r="H161" s="237"/>
      <c r="I161" s="238"/>
      <c r="J161" s="239"/>
      <c r="K161" s="240"/>
      <c r="L161" s="241"/>
      <c r="M161" s="242"/>
      <c r="N161" s="167"/>
      <c r="O161" s="167"/>
      <c r="P161" s="260"/>
      <c r="Q161" s="168"/>
      <c r="R161" s="425"/>
      <c r="S161" s="371"/>
      <c r="T161" s="425"/>
      <c r="U161" s="372"/>
      <c r="V161" s="425"/>
      <c r="W161" s="244"/>
      <c r="X161" s="202"/>
      <c r="AL161" s="460"/>
      <c r="AM161" s="460"/>
      <c r="AN161" s="460"/>
      <c r="AO161" s="460"/>
      <c r="AP161" s="460"/>
      <c r="AQ161" s="460"/>
    </row>
    <row r="162" spans="2:43" s="105" customFormat="1" ht="27" customHeight="1">
      <c r="B162" s="370">
        <f>#REF!</f>
      </c>
      <c r="C162" s="232"/>
      <c r="D162" s="164">
        <f>IF(#REF!&lt;&gt;"",#REF!,IF(#REF!&lt;&gt;"",#REF!,""))</f>
      </c>
      <c r="E162" s="235"/>
      <c r="F162" s="236"/>
      <c r="G162" s="236"/>
      <c r="H162" s="237"/>
      <c r="I162" s="238"/>
      <c r="J162" s="239"/>
      <c r="K162" s="240"/>
      <c r="L162" s="241"/>
      <c r="M162" s="242"/>
      <c r="N162" s="167">
        <f>#REF!</f>
      </c>
      <c r="O162" s="167">
        <f>#REF!</f>
      </c>
      <c r="P162" s="260">
        <f>#REF!</f>
      </c>
      <c r="Q162" s="168">
        <f>P162*N162</f>
      </c>
      <c r="R162" s="425">
        <f>IFERROR(Q162/$Q$166,0)</f>
      </c>
      <c r="S162" s="371">
        <f ca="1">IF($AL$5&lt;=1,0,SUM(OFFSET('rincian '!#REF!,0,0,1,$AL$5-1)))</f>
      </c>
      <c r="T162" s="425">
        <f ca="1">IFERROR(S162/N162*R162,0)</f>
      </c>
      <c r="U162" s="372" cm="1">
        <f t="array" ref="U162">IFERROR(INDEX('rincian '!#REF!,$AL$5),0)</f>
      </c>
      <c r="V162" s="425">
        <f>IFERROR(U162/N162*R162,0)</f>
      </c>
      <c r="W162" s="244">
        <f t="shared" ref="W162:X164" ca="1" si="30">S162+U162</f>
      </c>
      <c r="X162" s="202">
        <f t="shared" ca="1" si="30"/>
      </c>
      <c r="AL162" s="460"/>
      <c r="AM162" s="460"/>
      <c r="AN162" s="460"/>
      <c r="AO162" s="460"/>
      <c r="AP162" s="460"/>
      <c r="AQ162" s="460"/>
    </row>
    <row r="163" spans="2:43" s="105" customFormat="1" ht="27" customHeight="1">
      <c r="B163" s="370">
        <f>#REF!</f>
      </c>
      <c r="C163" s="232"/>
      <c r="D163" s="164">
        <f>IF(#REF!&lt;&gt;"",#REF!,IF(#REF!&lt;&gt;"",#REF!,""))</f>
      </c>
      <c r="E163" s="235"/>
      <c r="F163" s="236"/>
      <c r="G163" s="236"/>
      <c r="H163" s="237"/>
      <c r="I163" s="238"/>
      <c r="J163" s="239"/>
      <c r="K163" s="240"/>
      <c r="L163" s="241"/>
      <c r="M163" s="242"/>
      <c r="N163" s="167">
        <f>#REF!</f>
      </c>
      <c r="O163" s="167">
        <f>#REF!</f>
      </c>
      <c r="P163" s="260">
        <f>#REF!</f>
      </c>
      <c r="Q163" s="168">
        <f>P163*N163</f>
      </c>
      <c r="R163" s="425">
        <f>IFERROR(Q163/$Q$166,0)</f>
      </c>
      <c r="S163" s="371">
        <f ca="1">IF($AL$5&lt;=1,0,SUM(OFFSET('rincian '!#REF!,0,0,1,$AL$5-1)))</f>
      </c>
      <c r="T163" s="425">
        <f ca="1">IFERROR(S163/N163*R163,0)</f>
      </c>
      <c r="U163" s="372" cm="1">
        <f t="array" ref="U163">IFERROR(INDEX('rincian '!#REF!,$AL$5),0)</f>
      </c>
      <c r="V163" s="425">
        <f>IFERROR(U163/N163*R163,0)</f>
      </c>
      <c r="W163" s="244">
        <f t="shared" ca="1" si="30"/>
      </c>
      <c r="X163" s="202">
        <f t="shared" ca="1" si="30"/>
      </c>
      <c r="AL163" s="460"/>
      <c r="AM163" s="460"/>
      <c r="AN163" s="460"/>
      <c r="AO163" s="460"/>
      <c r="AP163" s="460"/>
      <c r="AQ163" s="460"/>
    </row>
    <row r="164" spans="2:43" s="105" customFormat="1" ht="27" customHeight="1">
      <c r="B164" s="370">
        <f>#REF!</f>
      </c>
      <c r="C164" s="232"/>
      <c r="D164" s="164">
        <f>IF(#REF!&lt;&gt;"",#REF!,IF(#REF!&lt;&gt;"",#REF!,""))</f>
      </c>
      <c r="E164" s="235"/>
      <c r="F164" s="236"/>
      <c r="G164" s="236"/>
      <c r="H164" s="237"/>
      <c r="I164" s="238"/>
      <c r="J164" s="239"/>
      <c r="K164" s="240"/>
      <c r="L164" s="241"/>
      <c r="M164" s="242"/>
      <c r="N164" s="167">
        <f>#REF!</f>
      </c>
      <c r="O164" s="167">
        <f>#REF!</f>
      </c>
      <c r="P164" s="260">
        <f>#REF!</f>
      </c>
      <c r="Q164" s="168">
        <f>P164*N164</f>
      </c>
      <c r="R164" s="425">
        <f>IFERROR(Q164/$Q$166,0)</f>
      </c>
      <c r="S164" s="371">
        <f ca="1">IF($AL$5&lt;=1,0,SUM(OFFSET('rincian '!#REF!,0,0,1,$AL$5-1)))</f>
      </c>
      <c r="T164" s="425">
        <f ca="1">IFERROR(S164/N164*R164,0)</f>
      </c>
      <c r="U164" s="372" cm="1">
        <f t="array" ref="U164">IFERROR(INDEX('rincian '!#REF!,$AL$5),0)</f>
      </c>
      <c r="V164" s="425">
        <f>IFERROR(U164/N164*R164,0)</f>
      </c>
      <c r="W164" s="244">
        <f t="shared" ca="1" si="30"/>
      </c>
      <c r="X164" s="202">
        <f t="shared" ca="1" si="30"/>
      </c>
      <c r="AL164" s="460"/>
      <c r="AM164" s="460"/>
      <c r="AN164" s="460"/>
      <c r="AO164" s="460"/>
      <c r="AP164" s="460"/>
      <c r="AQ164" s="460"/>
    </row>
    <row r="165" spans="2:43" s="105" customFormat="1" ht="25.2" customHeight="1">
      <c r="B165" s="140"/>
      <c r="C165" s="200"/>
      <c r="D165" s="196"/>
      <c r="E165" s="141"/>
      <c r="F165" s="141"/>
      <c r="G165" s="141"/>
      <c r="H165" s="141"/>
      <c r="I165" s="142"/>
      <c r="J165" s="143"/>
      <c r="K165" s="144"/>
      <c r="L165" s="145"/>
      <c r="M165" s="145"/>
      <c r="N165" s="167"/>
      <c r="O165" s="132"/>
      <c r="P165" s="133"/>
      <c r="Q165" s="168"/>
      <c r="R165" s="427"/>
      <c r="S165" s="146"/>
      <c r="T165" s="427"/>
      <c r="U165" s="146"/>
      <c r="V165" s="427"/>
      <c r="W165" s="170"/>
      <c r="X165" s="171"/>
    </row>
    <row r="166" spans="2:43" ht="25.2" customHeight="1" thickBot="1">
      <c r="B166" s="147"/>
      <c r="C166" s="148" t="s">
        <v>123</v>
      </c>
      <c r="D166" s="149"/>
      <c r="E166" s="150"/>
      <c r="F166" s="150"/>
      <c r="G166" s="150"/>
      <c r="H166" s="150"/>
      <c r="I166" s="150"/>
      <c r="J166" s="151"/>
      <c r="K166" s="152"/>
      <c r="L166" s="153"/>
      <c r="M166" s="154"/>
      <c r="N166" s="155"/>
      <c r="O166" s="151"/>
      <c r="P166" s="156"/>
      <c r="Q166" s="169">
        <f>SUM(Q12:Q165)</f>
      </c>
      <c r="R166" s="428">
        <f>SUM(R12:R165)</f>
      </c>
      <c r="S166" s="197"/>
      <c r="T166" s="428">
        <f ca="1">SUM(T12:T165)</f>
      </c>
      <c r="U166" s="198"/>
      <c r="V166" s="428">
        <f>SUM(V12:V165)</f>
      </c>
      <c r="W166" s="197"/>
      <c r="X166" s="199">
        <f ca="1">SUM(X12:X165)</f>
      </c>
      <c r="Z166" s="666" cm="1">
        <f t="array" aca="1" ref="Z166" ca="1">IF(SUMPRODUCT(--(W12:W165&gt;IFERROR(N12:N165*1,0)))&gt;0,"DITOLAK: ada item dengan progres s/d periode ini MELEBIHI volume kontrak",IF(ROUND(X166,6)&gt;1,"DITOLAK: bobot s/d periode ini "&amp;TEXT(X166,"0.00%")&amp;" sudah melebihi 100%",IF(ROUND(X166,6)=1,"PROGRES SUDAH 100% - VOLUME KONTRAK HABIS, penambahan progres ditolak","SISA BOBOT BELUM DITAGIH: "&amp;TEXT(1-X166,"0.00%"))))</f>
      </c>
      <c r="AA166" s="665"/>
      <c r="AB166" s="665"/>
      <c r="AC166" s="665"/>
      <c r="AD166" s="665"/>
      <c r="AE166" s="665"/>
      <c r="AF166" s="665"/>
      <c r="AG166" s="665"/>
      <c r="AH166" s="665"/>
    </row>
    <row r="167" spans="2:43" ht="25.2" customHeight="1">
      <c r="B167" s="157"/>
      <c r="C167" s="158"/>
      <c r="D167" s="159"/>
      <c r="E167" s="158"/>
      <c r="F167" s="158"/>
      <c r="G167" s="158"/>
      <c r="H167" s="158"/>
      <c r="I167" s="158"/>
      <c r="J167" s="160"/>
      <c r="K167" s="158"/>
      <c r="L167" s="158"/>
      <c r="M167" s="158"/>
      <c r="N167" s="161"/>
      <c r="O167" s="160"/>
      <c r="P167" s="161"/>
      <c r="Q167" s="161"/>
      <c r="R167" s="162"/>
      <c r="S167" s="120"/>
      <c r="T167" s="120"/>
      <c r="U167" s="120"/>
      <c r="V167" s="120"/>
      <c r="W167" s="120"/>
      <c r="X167" s="120"/>
      <c r="Z167" s="665"/>
      <c r="AA167" s="665"/>
      <c r="AB167" s="665"/>
      <c r="AC167" s="665"/>
      <c r="AD167" s="665"/>
      <c r="AE167" s="665"/>
      <c r="AF167" s="665"/>
      <c r="AG167" s="665"/>
      <c r="AH167" s="665"/>
    </row>
    <row r="168" spans="2:43" ht="25.2" customHeight="1">
      <c r="B168" s="157"/>
      <c r="C168" s="158"/>
      <c r="D168" s="159"/>
      <c r="E168" s="158"/>
      <c r="F168" s="158"/>
      <c r="G168" s="158"/>
      <c r="H168" s="158"/>
      <c r="I168" s="158"/>
      <c r="J168" s="160"/>
      <c r="K168" s="158"/>
      <c r="L168" s="158"/>
      <c r="M168" s="158"/>
      <c r="N168" s="163"/>
      <c r="O168" s="160"/>
      <c r="P168" s="161"/>
      <c r="Q168" s="161"/>
      <c r="R168" s="120"/>
      <c r="S168" s="120"/>
      <c r="T168" s="120"/>
      <c r="U168" s="120"/>
      <c r="V168" s="172"/>
      <c r="W168" s="203">
        <f>DATA!$B$36&amp;", "&amp;'BAPP 3'!W2</f>
      </c>
      <c r="X168" s="172"/>
    </row>
    <row r="169" spans="2:43" ht="25.2" customHeight="1">
      <c r="B169" s="658" t="s">
        <v>166</v>
      </c>
      <c r="C169" s="658"/>
      <c r="D169" s="658"/>
      <c r="E169" s="658"/>
      <c r="F169" s="658"/>
      <c r="G169" s="658"/>
      <c r="H169" s="658"/>
      <c r="I169" s="173"/>
      <c r="J169" s="173"/>
      <c r="K169" s="173"/>
      <c r="L169" s="173"/>
      <c r="M169" s="173"/>
      <c r="N169" s="658" t="s">
        <v>167</v>
      </c>
      <c r="O169" s="658"/>
      <c r="P169" s="658"/>
      <c r="Q169" s="658"/>
      <c r="R169" s="658"/>
      <c r="S169" s="658"/>
      <c r="T169" s="658"/>
      <c r="U169" s="120"/>
      <c r="V169" s="658" t="s">
        <v>168</v>
      </c>
      <c r="W169" s="658"/>
      <c r="X169" s="658"/>
    </row>
    <row r="170" spans="2:43" ht="25.2" hidden="1" customHeight="1">
      <c r="B170" s="658">
        <f>DATA!$B$107</f>
      </c>
      <c r="C170" s="658"/>
      <c r="D170" s="658"/>
      <c r="E170" s="658"/>
      <c r="F170" s="658"/>
      <c r="G170" s="658"/>
      <c r="H170" s="658"/>
      <c r="I170" s="173"/>
      <c r="J170" s="173"/>
      <c r="K170" s="173"/>
      <c r="L170" s="173"/>
      <c r="M170" s="173"/>
      <c r="N170" s="658">
        <f>B170</f>
      </c>
      <c r="O170" s="658"/>
      <c r="P170" s="658"/>
      <c r="Q170" s="161"/>
      <c r="R170" s="655">
        <f>N170</f>
      </c>
      <c r="S170" s="655"/>
      <c r="T170" s="655"/>
      <c r="U170" s="120"/>
      <c r="V170" s="655" t="s">
        <v>169</v>
      </c>
      <c r="W170" s="655"/>
      <c r="X170" s="655"/>
    </row>
    <row r="171" spans="2:43" ht="25.2" hidden="1" customHeight="1">
      <c r="B171" s="658">
        <f>DATA!$B$108</f>
      </c>
      <c r="C171" s="658"/>
      <c r="D171" s="658"/>
      <c r="E171" s="658"/>
      <c r="F171" s="658"/>
      <c r="G171" s="658"/>
      <c r="H171" s="658"/>
      <c r="I171" s="173"/>
      <c r="J171" s="173"/>
      <c r="K171" s="173"/>
      <c r="L171" s="173"/>
      <c r="M171" s="173"/>
      <c r="N171" s="658">
        <f>$B$171</f>
      </c>
      <c r="O171" s="658"/>
      <c r="P171" s="658"/>
      <c r="Q171" s="161"/>
      <c r="R171" s="655">
        <f>$B$171</f>
      </c>
      <c r="S171" s="655"/>
      <c r="T171" s="655"/>
      <c r="U171" s="120"/>
      <c r="V171" s="655"/>
      <c r="W171" s="655"/>
      <c r="X171" s="655"/>
    </row>
    <row r="172" spans="2:43" ht="25.2" customHeight="1">
      <c r="B172" s="157"/>
      <c r="C172" s="158"/>
      <c r="D172" s="159"/>
      <c r="E172" s="158"/>
      <c r="F172" s="158"/>
      <c r="G172" s="158"/>
      <c r="H172" s="158"/>
      <c r="I172" s="158"/>
      <c r="J172" s="158"/>
      <c r="K172" s="158"/>
      <c r="L172" s="158"/>
      <c r="M172" s="158"/>
      <c r="N172" s="161"/>
      <c r="O172" s="158"/>
      <c r="P172" s="161"/>
      <c r="Q172" s="161"/>
      <c r="R172" s="120"/>
      <c r="S172" s="120"/>
      <c r="T172" s="120"/>
      <c r="U172" s="120"/>
      <c r="V172" s="120"/>
      <c r="W172" s="120"/>
      <c r="X172" s="120"/>
    </row>
    <row r="173" spans="2:43" ht="25.2" customHeight="1">
      <c r="B173" s="157"/>
      <c r="C173" s="158"/>
      <c r="D173" s="159"/>
      <c r="E173" s="158"/>
      <c r="F173" s="158"/>
      <c r="G173" s="158"/>
      <c r="H173" s="158"/>
      <c r="I173" s="158"/>
      <c r="J173" s="158"/>
      <c r="K173" s="158"/>
      <c r="L173" s="158"/>
      <c r="M173" s="158"/>
      <c r="N173" s="161"/>
      <c r="O173" s="158"/>
      <c r="P173" s="161"/>
      <c r="Q173" s="161"/>
      <c r="R173" s="120"/>
      <c r="S173" s="120"/>
      <c r="T173" s="120"/>
      <c r="U173" s="120"/>
      <c r="V173" s="120"/>
      <c r="W173" s="120"/>
      <c r="X173" s="120"/>
    </row>
    <row r="174" spans="2:43" ht="25.2" customHeight="1">
      <c r="B174" s="157"/>
      <c r="C174" s="158"/>
      <c r="D174" s="159"/>
      <c r="E174" s="158"/>
      <c r="F174" s="158"/>
      <c r="G174" s="158"/>
      <c r="H174" s="158"/>
      <c r="I174" s="158"/>
      <c r="J174" s="158"/>
      <c r="K174" s="158"/>
      <c r="L174" s="158"/>
      <c r="M174" s="158"/>
      <c r="N174" s="161"/>
      <c r="O174" s="158"/>
      <c r="P174" s="161"/>
      <c r="Q174" s="161"/>
      <c r="R174" s="120"/>
      <c r="S174" s="120"/>
      <c r="T174" s="120"/>
      <c r="U174" s="120"/>
      <c r="V174" s="120"/>
      <c r="W174" s="120"/>
      <c r="X174" s="120"/>
    </row>
    <row r="175" spans="2:43" ht="25.2" customHeight="1">
      <c r="B175" s="157"/>
      <c r="C175" s="158"/>
      <c r="D175" s="159"/>
      <c r="E175" s="158"/>
      <c r="F175" s="158"/>
      <c r="G175" s="158"/>
      <c r="H175" s="158"/>
      <c r="I175" s="158"/>
      <c r="J175" s="158"/>
      <c r="K175" s="158"/>
      <c r="L175" s="158"/>
      <c r="M175" s="158"/>
      <c r="N175" s="161"/>
      <c r="O175" s="158"/>
      <c r="P175" s="161"/>
      <c r="Q175" s="161"/>
      <c r="R175" s="120"/>
      <c r="S175" s="120"/>
      <c r="T175" s="120"/>
      <c r="U175" s="120"/>
      <c r="V175" s="120"/>
      <c r="W175" s="120"/>
      <c r="X175" s="120"/>
    </row>
    <row r="176" spans="2:43" ht="25.2" customHeight="1">
      <c r="B176" s="157"/>
      <c r="C176" s="158"/>
      <c r="D176" s="159"/>
      <c r="E176" s="158"/>
      <c r="F176" s="158"/>
      <c r="G176" s="158"/>
      <c r="H176" s="158"/>
      <c r="I176" s="158"/>
      <c r="J176" s="158"/>
      <c r="K176" s="158"/>
      <c r="L176" s="158"/>
      <c r="M176" s="158"/>
      <c r="N176" s="161"/>
      <c r="O176" s="158"/>
      <c r="P176" s="161"/>
      <c r="Q176" s="161"/>
      <c r="R176" s="120"/>
      <c r="S176" s="120"/>
      <c r="T176" s="120"/>
      <c r="U176" s="120"/>
      <c r="V176" s="120"/>
      <c r="W176" s="120"/>
      <c r="X176" s="120"/>
    </row>
    <row r="177" spans="2:24" ht="25.2" customHeight="1">
      <c r="B177" s="157"/>
      <c r="C177" s="158"/>
      <c r="D177" s="159"/>
      <c r="E177" s="158"/>
      <c r="F177" s="158"/>
      <c r="G177" s="158"/>
      <c r="H177" s="158"/>
      <c r="I177" s="158"/>
      <c r="J177" s="158"/>
      <c r="K177" s="158"/>
      <c r="L177" s="158"/>
      <c r="M177" s="158"/>
      <c r="N177" s="161"/>
      <c r="O177" s="158"/>
      <c r="P177" s="161"/>
      <c r="Q177" s="161"/>
      <c r="R177" s="120"/>
      <c r="S177" s="120"/>
      <c r="T177" s="120"/>
      <c r="U177" s="120"/>
      <c r="V177" s="120"/>
      <c r="W177" s="120"/>
      <c r="X177" s="120"/>
    </row>
    <row r="178" spans="2:24" ht="25.2" customHeight="1">
      <c r="B178" s="659">
        <f>DATA!$B$109</f>
      </c>
      <c r="C178" s="660"/>
      <c r="D178" s="660"/>
      <c r="E178" s="660"/>
      <c r="F178" s="660"/>
      <c r="G178" s="660"/>
      <c r="H178" s="660"/>
      <c r="I178" s="174"/>
      <c r="J178" s="174"/>
      <c r="K178" s="174"/>
      <c r="L178" s="174"/>
      <c r="M178" s="174"/>
      <c r="N178" s="659">
        <f>DATA!$B$111</f>
      </c>
      <c r="O178" s="660"/>
      <c r="P178" s="660"/>
      <c r="Q178" s="218"/>
      <c r="R178" s="664">
        <f>DATA!$B$113</f>
      </c>
      <c r="S178" s="665"/>
      <c r="T178" s="665"/>
      <c r="U178" s="665"/>
      <c r="V178" s="663">
        <f>#REF!</f>
      </c>
      <c r="W178" s="663"/>
      <c r="X178" s="663"/>
    </row>
    <row r="179" spans="2:24" ht="25.2" customHeight="1">
      <c r="B179" s="658">
        <f>DATA!$B$110</f>
      </c>
      <c r="C179" s="658"/>
      <c r="D179" s="658"/>
      <c r="E179" s="658"/>
      <c r="F179" s="658"/>
      <c r="G179" s="658"/>
      <c r="H179" s="658"/>
      <c r="I179" s="173"/>
      <c r="J179" s="173"/>
      <c r="K179" s="173"/>
      <c r="L179" s="173"/>
      <c r="M179" s="173"/>
      <c r="N179" s="658">
        <f>DATA!$B$112</f>
      </c>
      <c r="O179" s="658"/>
      <c r="P179" s="658"/>
      <c r="Q179" s="219"/>
      <c r="R179" s="710">
        <f>DATA!$B$114</f>
      </c>
      <c r="S179" s="665"/>
      <c r="T179" s="665"/>
      <c r="U179" s="665"/>
      <c r="V179" s="709">
        <f>#REF!</f>
      </c>
      <c r="W179" s="709"/>
      <c r="X179" s="709"/>
    </row>
    <row r="182" spans="2:24" ht="25.2" customHeight="1">
      <c r="P182" s="166"/>
    </row>
    <row r="183" spans="2:24" ht="25.2" customHeight="1">
      <c r="J183" s="165" t="s">
        <v>170</v>
      </c>
      <c r="O183" s="165"/>
      <c r="P183" s="165"/>
    </row>
    <row r="184" spans="2:24" ht="25.2" customHeight="1">
      <c r="J184" s="165">
        <f>DATA!$B$62</f>
      </c>
      <c r="O184" s="165"/>
    </row>
    <row r="185" spans="2:24" ht="25.2" customHeight="1">
      <c r="J185" s="165">
        <f>DATA!$B$108</f>
      </c>
      <c r="O185" s="165"/>
    </row>
  </sheetData>
  <mergeCells count="53">
    <mergeCell ref="B179:H179"/>
    <mergeCell ref="N179:P179"/>
    <mergeCell ref="V179:X179"/>
    <mergeCell ref="B171:H171"/>
    <mergeCell ref="N171:P171"/>
    <mergeCell ref="R171:T171"/>
    <mergeCell ref="V171:X171"/>
    <mergeCell ref="B178:H178"/>
    <mergeCell ref="N178:P178"/>
    <mergeCell ref="V178:X178"/>
    <mergeCell ref="R178:U178"/>
    <mergeCell ref="R179:U179"/>
    <mergeCell ref="B169:H169"/>
    <mergeCell ref="V169:X169"/>
    <mergeCell ref="B170:H170"/>
    <mergeCell ref="N170:P170"/>
    <mergeCell ref="R170:T170"/>
    <mergeCell ref="V170:X170"/>
    <mergeCell ref="D40:M40"/>
    <mergeCell ref="D58:M58"/>
    <mergeCell ref="D59:M59"/>
    <mergeCell ref="D60:M60"/>
    <mergeCell ref="D101:M101"/>
    <mergeCell ref="X8:X9"/>
    <mergeCell ref="C11:I11"/>
    <mergeCell ref="D15:M15"/>
    <mergeCell ref="D16:M16"/>
    <mergeCell ref="D17:M17"/>
    <mergeCell ref="P7:P9"/>
    <mergeCell ref="Q7:Q9"/>
    <mergeCell ref="S7:T7"/>
    <mergeCell ref="U7:V7"/>
    <mergeCell ref="W7:X7"/>
    <mergeCell ref="R8:R9"/>
    <mergeCell ref="S8:S9"/>
    <mergeCell ref="T8:T9"/>
    <mergeCell ref="U8:U9"/>
    <mergeCell ref="Z166:AH166"/>
    <mergeCell ref="Z167:AH167"/>
    <mergeCell ref="N169:T169"/>
    <mergeCell ref="V8:V9"/>
    <mergeCell ref="B2:X2"/>
    <mergeCell ref="B3:X3"/>
    <mergeCell ref="B4:X4"/>
    <mergeCell ref="B5:X5"/>
    <mergeCell ref="B7:B9"/>
    <mergeCell ref="C7:I9"/>
    <mergeCell ref="J7:J9"/>
    <mergeCell ref="K7:M8"/>
    <mergeCell ref="N7:N9"/>
    <mergeCell ref="O7:O9"/>
    <mergeCell ref="D146:M146"/>
    <mergeCell ref="W8:W9"/>
  </mergeCells>
  <conditionalFormatting sqref="Z166:AH167">
    <cfRule type="containsText" dxfId="18" priority="1" operator="containsText" text="DITOLAK">
      <formula>NOT(ISERROR(SEARCH("DITOLAK",Z166)))</formula>
    </cfRule>
    <cfRule type="containsText" dxfId="17" priority="2" operator="containsText" text="HABIS">
      <formula>NOT(ISERROR(SEARCH("HABIS",Z166)))</formula>
    </cfRule>
    <cfRule type="containsText" dxfId="16" priority="3" operator="containsText" text="SISA">
      <formula>NOT(ISERROR(SEARCH("SISA",Z166)))</formula>
    </cfRule>
  </conditionalFormatting>
  <printOptions horizontalCentered="1"/>
  <pageMargins left="0.18" right="0.14000000000000001" top="0.39370078740157499" bottom="0.39370078740157499" header="0.31496062992126" footer="0.31496062992126"/>
  <pageSetup paperSize="9" scale="39" fitToHeight="0" orientation="landscape" r:id="rId1"/>
  <rowBreaks count="3" manualBreakCount="3">
    <brk id="50" min="1" max="23" man="1"/>
    <brk id="100" min="1" max="23" man="1"/>
    <brk id="147" min="1" max="23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F327-C9C6-4D78-AB7D-D88F6DA483FA}">
  <sheetPr>
    <tabColor rgb="FF0070C0"/>
  </sheetPr>
  <dimension ref="B2:AQ185"/>
  <sheetViews>
    <sheetView view="pageBreakPreview" topLeftCell="A159" zoomScale="40" zoomScaleNormal="60" zoomScaleSheetLayoutView="40" workbookViewId="0">
      <selection activeCell="B3" sqref="B3:K3"/>
    </sheetView>
  </sheetViews>
  <sheetFormatPr defaultColWidth="4.1796875" defaultRowHeight="25.2" customHeight="1"/>
  <cols>
    <col min="1" max="1" width="5.453125" style="101" customWidth="1"/>
    <col min="2" max="2" width="5.54296875" style="106" customWidth="1"/>
    <col min="3" max="3" width="3.453125" style="107" customWidth="1"/>
    <col min="4" max="4" width="3.81640625" style="108" customWidth="1"/>
    <col min="5" max="5" width="5.1796875" style="107" customWidth="1"/>
    <col min="6" max="6" width="3.81640625" style="107" customWidth="1"/>
    <col min="7" max="7" width="3.08984375" style="107" customWidth="1"/>
    <col min="8" max="8" width="23" style="107" customWidth="1"/>
    <col min="9" max="9" width="29.1796875" style="107" customWidth="1"/>
    <col min="10" max="10" width="6.1796875" style="109" hidden="1" customWidth="1"/>
    <col min="11" max="11" width="12.81640625" style="109" hidden="1" customWidth="1"/>
    <col min="12" max="12" width="17" style="110" hidden="1" customWidth="1"/>
    <col min="13" max="13" width="22.1796875" style="110" hidden="1" customWidth="1"/>
    <col min="14" max="14" width="13.81640625" style="102" customWidth="1"/>
    <col min="15" max="15" width="14.54296875" style="109" bestFit="1" customWidth="1"/>
    <col min="16" max="16" width="24.81640625" style="111" customWidth="1"/>
    <col min="17" max="17" width="26.81640625" style="111" customWidth="1"/>
    <col min="18" max="18" width="14.81640625" style="102" bestFit="1" customWidth="1"/>
    <col min="19" max="21" width="13.453125" style="102" customWidth="1"/>
    <col min="22" max="22" width="14.453125" style="102" customWidth="1"/>
    <col min="23" max="23" width="13.453125" style="102" customWidth="1"/>
    <col min="24" max="24" width="14.81640625" style="102" bestFit="1" customWidth="1"/>
    <col min="25" max="25" width="9" style="101" customWidth="1"/>
    <col min="26" max="27" width="7.08984375" style="101" customWidth="1"/>
    <col min="28" max="28" width="14.453125" style="101" bestFit="1" customWidth="1"/>
    <col min="29" max="29" width="17.81640625" style="101" bestFit="1" customWidth="1"/>
    <col min="30" max="30" width="15.1796875" style="101" bestFit="1" customWidth="1"/>
    <col min="31" max="31" width="17.81640625" style="101" bestFit="1" customWidth="1"/>
    <col min="32" max="32" width="9.81640625" style="101" bestFit="1" customWidth="1"/>
    <col min="33" max="35" width="7.08984375" style="101" customWidth="1"/>
    <col min="36" max="36" width="15.1796875" style="101" bestFit="1" customWidth="1"/>
    <col min="37" max="37" width="7.08984375" style="101" customWidth="1"/>
    <col min="38" max="43" width="10.36328125" style="101" customWidth="1"/>
    <col min="44" max="128" width="7.08984375" style="101" customWidth="1"/>
    <col min="129" max="129" width="5.453125" style="101" customWidth="1"/>
    <col min="130" max="130" width="6.1796875" style="101" customWidth="1"/>
    <col min="131" max="131" width="4.81640625" style="101" customWidth="1"/>
    <col min="132" max="132" width="6" style="101" customWidth="1"/>
    <col min="133" max="16384" width="4.1796875" style="101"/>
  </cols>
  <sheetData>
    <row r="2" spans="2:43" ht="25.2" customHeight="1"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7"/>
      <c r="U2" s="667"/>
      <c r="V2" s="667"/>
      <c r="W2" s="667"/>
      <c r="X2" s="667"/>
    </row>
    <row r="3" spans="2:43" ht="25.2" customHeight="1">
      <c r="B3" s="668" t="s">
        <v>137</v>
      </c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  <c r="N3" s="668"/>
      <c r="O3" s="668"/>
      <c r="P3" s="668"/>
      <c r="Q3" s="668"/>
      <c r="R3" s="668"/>
      <c r="S3" s="668"/>
      <c r="T3" s="668"/>
      <c r="U3" s="668"/>
      <c r="V3" s="668"/>
      <c r="W3" s="668"/>
      <c r="X3" s="668"/>
    </row>
    <row r="4" spans="2:43" ht="25.2" customHeight="1">
      <c r="B4" s="668">
        <f>UPPER(""&amp;#REF!)</f>
      </c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  <c r="N4" s="668"/>
      <c r="O4" s="668"/>
      <c r="P4" s="668"/>
      <c r="Q4" s="668"/>
      <c r="R4" s="668"/>
      <c r="S4" s="668"/>
      <c r="T4" s="668"/>
      <c r="U4" s="668"/>
      <c r="V4" s="668"/>
      <c r="W4" s="668"/>
      <c r="X4" s="668"/>
      <c r="AC4" s="251"/>
      <c r="AI4" s="247"/>
      <c r="AJ4" s="248"/>
      <c r="AL4" s="466" t="s">
        <v>51</v>
      </c>
    </row>
    <row r="5" spans="2:43" ht="25.2" customHeight="1">
      <c r="B5" s="668" t="s">
        <v>138</v>
      </c>
      <c r="C5" s="668"/>
      <c r="D5" s="668"/>
      <c r="E5" s="668"/>
      <c r="F5" s="668"/>
      <c r="G5" s="668"/>
      <c r="H5" s="668"/>
      <c r="I5" s="668"/>
      <c r="J5" s="668"/>
      <c r="K5" s="668"/>
      <c r="L5" s="668"/>
      <c r="M5" s="668"/>
      <c r="N5" s="668"/>
      <c r="O5" s="668"/>
      <c r="P5" s="668"/>
      <c r="Q5" s="668"/>
      <c r="R5" s="668"/>
      <c r="S5" s="668"/>
      <c r="T5" s="668"/>
      <c r="U5" s="668"/>
      <c r="V5" s="668"/>
      <c r="W5" s="668"/>
      <c r="X5" s="668"/>
      <c r="AC5" s="251"/>
      <c r="AG5" s="247"/>
      <c r="AI5" s="247"/>
      <c r="AJ5" s="249"/>
      <c r="AL5" s="467">
        <v>4</v>
      </c>
    </row>
    <row r="6" spans="2:43" ht="15" customHeight="1" thickBot="1">
      <c r="B6" s="112"/>
      <c r="C6" s="113"/>
      <c r="D6" s="114"/>
      <c r="E6" s="113"/>
      <c r="F6" s="113"/>
      <c r="G6" s="113"/>
      <c r="H6" s="113"/>
      <c r="I6" s="113"/>
      <c r="J6" s="115"/>
      <c r="K6" s="116"/>
      <c r="L6" s="117"/>
      <c r="M6" s="117"/>
      <c r="N6" s="118"/>
      <c r="O6" s="115"/>
      <c r="P6" s="119"/>
      <c r="Q6" s="119"/>
      <c r="R6" s="120"/>
      <c r="S6" s="120"/>
      <c r="T6" s="120"/>
      <c r="U6" s="120"/>
      <c r="V6" s="120"/>
      <c r="W6" s="120"/>
      <c r="X6" s="120"/>
    </row>
    <row r="7" spans="2:43" s="103" customFormat="1" ht="25.2" customHeight="1">
      <c r="B7" s="669" t="s">
        <v>139</v>
      </c>
      <c r="C7" s="672" t="s">
        <v>140</v>
      </c>
      <c r="D7" s="673"/>
      <c r="E7" s="673"/>
      <c r="F7" s="673"/>
      <c r="G7" s="673"/>
      <c r="H7" s="673"/>
      <c r="I7" s="674"/>
      <c r="J7" s="681" t="s">
        <v>141</v>
      </c>
      <c r="K7" s="684" t="s">
        <v>142</v>
      </c>
      <c r="L7" s="685"/>
      <c r="M7" s="686"/>
      <c r="N7" s="690" t="s">
        <v>143</v>
      </c>
      <c r="O7" s="681" t="s">
        <v>141</v>
      </c>
      <c r="P7" s="693" t="s">
        <v>144</v>
      </c>
      <c r="Q7" s="693" t="s">
        <v>145</v>
      </c>
      <c r="R7" s="121" t="s">
        <v>146</v>
      </c>
      <c r="S7" s="696" t="s">
        <v>147</v>
      </c>
      <c r="T7" s="696"/>
      <c r="U7" s="696" t="s">
        <v>148</v>
      </c>
      <c r="V7" s="696"/>
      <c r="W7" s="696" t="s">
        <v>149</v>
      </c>
      <c r="X7" s="697"/>
      <c r="AJ7" s="250"/>
      <c r="AL7" s="457" t="s">
        <v>171</v>
      </c>
    </row>
    <row r="8" spans="2:43" s="103" customFormat="1" ht="25.2" customHeight="1">
      <c r="B8" s="670"/>
      <c r="C8" s="675"/>
      <c r="D8" s="676"/>
      <c r="E8" s="676"/>
      <c r="F8" s="676"/>
      <c r="G8" s="676"/>
      <c r="H8" s="676"/>
      <c r="I8" s="677"/>
      <c r="J8" s="682"/>
      <c r="K8" s="687"/>
      <c r="L8" s="688"/>
      <c r="M8" s="689"/>
      <c r="N8" s="691"/>
      <c r="O8" s="682"/>
      <c r="P8" s="694"/>
      <c r="Q8" s="694"/>
      <c r="R8" s="698" t="s">
        <v>152</v>
      </c>
      <c r="S8" s="661" t="s">
        <v>153</v>
      </c>
      <c r="T8" s="661" t="s">
        <v>146</v>
      </c>
      <c r="U8" s="661" t="s">
        <v>153</v>
      </c>
      <c r="V8" s="661" t="s">
        <v>146</v>
      </c>
      <c r="W8" s="661" t="s">
        <v>153</v>
      </c>
      <c r="X8" s="656" t="s">
        <v>146</v>
      </c>
    </row>
    <row r="9" spans="2:43" s="103" customFormat="1" ht="32.25" customHeight="1" thickBot="1">
      <c r="B9" s="671"/>
      <c r="C9" s="678"/>
      <c r="D9" s="679"/>
      <c r="E9" s="679"/>
      <c r="F9" s="679"/>
      <c r="G9" s="679"/>
      <c r="H9" s="679"/>
      <c r="I9" s="680"/>
      <c r="J9" s="683"/>
      <c r="K9" s="122" t="s">
        <v>143</v>
      </c>
      <c r="L9" s="122" t="s">
        <v>154</v>
      </c>
      <c r="M9" s="122" t="s">
        <v>155</v>
      </c>
      <c r="N9" s="692"/>
      <c r="O9" s="683"/>
      <c r="P9" s="695"/>
      <c r="Q9" s="695"/>
      <c r="R9" s="662"/>
      <c r="S9" s="662"/>
      <c r="T9" s="662"/>
      <c r="U9" s="662"/>
      <c r="V9" s="662"/>
      <c r="W9" s="662"/>
      <c r="X9" s="657"/>
      <c r="AL9" s="458" t="s">
        <v>156</v>
      </c>
      <c r="AM9" s="458" t="s">
        <v>157</v>
      </c>
      <c r="AN9" s="458" t="s">
        <v>158</v>
      </c>
      <c r="AO9" s="458" t="s">
        <v>159</v>
      </c>
      <c r="AP9" s="458" t="s">
        <v>160</v>
      </c>
      <c r="AQ9" s="458" t="s">
        <v>161</v>
      </c>
    </row>
    <row r="10" spans="2:43" s="104" customFormat="1" ht="25.2" customHeight="1">
      <c r="B10" s="123"/>
      <c r="C10" s="124"/>
      <c r="D10" s="125"/>
      <c r="E10" s="126"/>
      <c r="F10" s="126"/>
      <c r="G10" s="126"/>
      <c r="H10" s="126"/>
      <c r="I10" s="126"/>
      <c r="J10" s="127"/>
      <c r="K10" s="127"/>
      <c r="L10" s="128"/>
      <c r="M10" s="127"/>
      <c r="N10" s="129"/>
      <c r="O10" s="127"/>
      <c r="P10" s="130"/>
      <c r="Q10" s="130"/>
      <c r="R10" s="129"/>
      <c r="S10" s="129"/>
      <c r="T10" s="129"/>
      <c r="U10" s="129"/>
      <c r="V10" s="129"/>
      <c r="W10" s="129"/>
      <c r="X10" s="131"/>
      <c r="AL10" s="459"/>
      <c r="AM10" s="459"/>
      <c r="AN10" s="459"/>
      <c r="AO10" s="459"/>
      <c r="AP10" s="459"/>
      <c r="AQ10" s="459"/>
    </row>
    <row r="11" spans="2:43" s="105" customFormat="1" ht="64.8" customHeight="1">
      <c r="B11" s="123"/>
      <c r="C11" s="706">
        <f>DATA!$B$6</f>
      </c>
      <c r="D11" s="707"/>
      <c r="E11" s="707"/>
      <c r="F11" s="707"/>
      <c r="G11" s="707"/>
      <c r="H11" s="707"/>
      <c r="I11" s="708"/>
      <c r="J11" s="136"/>
      <c r="K11" s="137"/>
      <c r="L11" s="138"/>
      <c r="M11" s="139"/>
      <c r="N11" s="167"/>
      <c r="O11" s="167"/>
      <c r="P11" s="134"/>
      <c r="Q11" s="167"/>
      <c r="R11" s="201"/>
      <c r="S11" s="135"/>
      <c r="T11" s="201"/>
      <c r="U11" s="213"/>
      <c r="V11" s="201"/>
      <c r="W11" s="170"/>
      <c r="X11" s="202"/>
      <c r="AC11" s="105" t="s">
        <v>165</v>
      </c>
      <c r="AL11" s="460"/>
      <c r="AM11" s="460"/>
      <c r="AN11" s="460"/>
      <c r="AO11" s="460"/>
      <c r="AP11" s="460"/>
      <c r="AQ11" s="460"/>
    </row>
    <row r="12" spans="2:43" s="105" customFormat="1" ht="27" customHeight="1">
      <c r="B12" s="383">
        <f>#REF!</f>
      </c>
      <c r="C12" s="384"/>
      <c r="D12" s="385">
        <f>IF(#REF!&lt;&gt;"",#REF!,IF(#REF!&lt;&gt;"",#REF!,""))</f>
      </c>
      <c r="E12" s="386"/>
      <c r="F12" s="387"/>
      <c r="G12" s="387"/>
      <c r="H12" s="388"/>
      <c r="I12" s="389"/>
      <c r="J12" s="390"/>
      <c r="K12" s="391"/>
      <c r="L12" s="392"/>
      <c r="M12" s="393"/>
      <c r="N12" s="394"/>
      <c r="O12" s="394"/>
      <c r="P12" s="395"/>
      <c r="Q12" s="396"/>
      <c r="R12" s="397"/>
      <c r="S12" s="398"/>
      <c r="T12" s="397"/>
      <c r="U12" s="398"/>
      <c r="V12" s="397"/>
      <c r="W12" s="399"/>
      <c r="X12" s="400"/>
      <c r="AL12" s="460"/>
      <c r="AM12" s="460"/>
      <c r="AN12" s="460"/>
      <c r="AO12" s="460"/>
      <c r="AP12" s="460"/>
      <c r="AQ12" s="460"/>
    </row>
    <row r="13" spans="2:43" s="105" customFormat="1" ht="27" customHeight="1">
      <c r="B13" s="123">
        <f>#REF!</f>
      </c>
      <c r="C13" s="373"/>
      <c r="D13" s="374">
        <f>IF(#REF!&lt;&gt;"",#REF!,IF(#REF!&lt;&gt;"",#REF!,""))</f>
      </c>
      <c r="E13" s="375"/>
      <c r="F13" s="376"/>
      <c r="G13" s="376"/>
      <c r="H13" s="377"/>
      <c r="I13" s="378"/>
      <c r="J13" s="379"/>
      <c r="K13" s="380"/>
      <c r="L13" s="381"/>
      <c r="M13" s="382"/>
      <c r="N13" s="167"/>
      <c r="O13" s="167"/>
      <c r="P13" s="260"/>
      <c r="Q13" s="168"/>
      <c r="R13" s="201"/>
      <c r="S13" s="135"/>
      <c r="T13" s="201"/>
      <c r="U13" s="213"/>
      <c r="V13" s="201"/>
      <c r="W13" s="244"/>
      <c r="X13" s="202"/>
      <c r="AL13" s="460"/>
      <c r="AM13" s="460"/>
      <c r="AN13" s="460"/>
      <c r="AO13" s="460"/>
      <c r="AP13" s="460"/>
      <c r="AQ13" s="460"/>
    </row>
    <row r="14" spans="2:43" s="105" customFormat="1" ht="27" customHeight="1">
      <c r="B14" s="243">
        <f>#REF!</f>
      </c>
      <c r="C14" s="232"/>
      <c r="D14" s="164">
        <f>IF(#REF!&lt;&gt;"",#REF!,IF(#REF!&lt;&gt;"",#REF!,""))</f>
      </c>
      <c r="E14" s="235"/>
      <c r="F14" s="236"/>
      <c r="G14" s="236"/>
      <c r="H14" s="237"/>
      <c r="I14" s="238"/>
      <c r="J14" s="239"/>
      <c r="K14" s="240"/>
      <c r="L14" s="241"/>
      <c r="M14" s="242"/>
      <c r="N14" s="167">
        <f>#REF!</f>
      </c>
      <c r="O14" s="167">
        <f>#REF!</f>
      </c>
      <c r="P14" s="260">
        <f>#REF!</f>
      </c>
      <c r="Q14" s="168">
        <f>P14*N14</f>
      </c>
      <c r="R14" s="425">
        <f>IFERROR(Q14/$Q$166,0)</f>
      </c>
      <c r="S14" s="135">
        <f ca="1">IF($AL$5&lt;=1,0,SUM(OFFSET('rincian '!#REF!,0,0,1,$AL$5-1)))</f>
      </c>
      <c r="T14" s="425">
        <f ca="1">IFERROR(S14/N14*R14,0)</f>
      </c>
      <c r="U14" s="213" cm="1">
        <f t="array" ref="U14">IFERROR(INDEX('rincian '!#REF!,$AL$5),0)</f>
      </c>
      <c r="V14" s="425">
        <f>IFERROR(U14/N14*R14,0)</f>
      </c>
      <c r="W14" s="244">
        <f t="shared" ref="W14:X17" ca="1" si="0">S14+U14</f>
      </c>
      <c r="X14" s="202">
        <f t="shared" ca="1" si="0"/>
      </c>
      <c r="AL14" s="460"/>
      <c r="AM14" s="460"/>
      <c r="AN14" s="460"/>
      <c r="AO14" s="460"/>
      <c r="AP14" s="460"/>
      <c r="AQ14" s="460"/>
    </row>
    <row r="15" spans="2:43" s="105" customFormat="1" ht="40.049999999999997" customHeight="1">
      <c r="B15" s="243">
        <f>#REF!</f>
      </c>
      <c r="C15" s="232"/>
      <c r="D15" s="704">
        <f>IF(#REF!&lt;&gt;"",#REF!,IF(#REF!&lt;&gt;"",#REF!,""))</f>
      </c>
      <c r="E15" s="704"/>
      <c r="F15" s="704"/>
      <c r="G15" s="704"/>
      <c r="H15" s="704"/>
      <c r="I15" s="704"/>
      <c r="J15" s="704"/>
      <c r="K15" s="704"/>
      <c r="L15" s="704"/>
      <c r="M15" s="705"/>
      <c r="N15" s="167">
        <f>#REF!</f>
      </c>
      <c r="O15" s="167">
        <f>#REF!</f>
      </c>
      <c r="P15" s="260">
        <f>#REF!</f>
      </c>
      <c r="Q15" s="168">
        <f>P15*N15</f>
      </c>
      <c r="R15" s="425">
        <f>IFERROR(Q15/$Q$166,0)</f>
      </c>
      <c r="S15" s="135">
        <f ca="1">IF($AL$5&lt;=1,0,SUM(OFFSET('rincian '!$AL15,0,0,1,$AL$5-1)))</f>
      </c>
      <c r="T15" s="425">
        <f ca="1">IFERROR(S15/N15*R15,0)</f>
      </c>
      <c r="U15" s="213" cm="1">
        <f t="array" ref="U15">IFERROR(INDEX('rincian '!$AL15:$AQ15,$AL$5),0)</f>
      </c>
      <c r="V15" s="425">
        <f>IFERROR(U15/N15*R15,0)</f>
      </c>
      <c r="W15" s="244">
        <f t="shared" ca="1" si="0"/>
      </c>
      <c r="X15" s="202">
        <f t="shared" ca="1" si="0"/>
      </c>
      <c r="AL15" s="460"/>
      <c r="AM15" s="460"/>
      <c r="AN15" s="460"/>
      <c r="AO15" s="460"/>
      <c r="AP15" s="460"/>
      <c r="AQ15" s="460"/>
    </row>
    <row r="16" spans="2:43" s="105" customFormat="1" ht="40.049999999999997" customHeight="1">
      <c r="B16" s="243">
        <f>#REF!</f>
      </c>
      <c r="C16" s="232"/>
      <c r="D16" s="704">
        <f>IF(#REF!&lt;&gt;"",#REF!,IF(#REF!&lt;&gt;"",#REF!,""))</f>
      </c>
      <c r="E16" s="704"/>
      <c r="F16" s="704"/>
      <c r="G16" s="704"/>
      <c r="H16" s="704"/>
      <c r="I16" s="704"/>
      <c r="J16" s="704"/>
      <c r="K16" s="704"/>
      <c r="L16" s="704"/>
      <c r="M16" s="705"/>
      <c r="N16" s="167">
        <f>#REF!</f>
      </c>
      <c r="O16" s="167">
        <f>#REF!</f>
      </c>
      <c r="P16" s="260">
        <f>#REF!</f>
      </c>
      <c r="Q16" s="168">
        <f>P16*N16</f>
      </c>
      <c r="R16" s="425">
        <f>IFERROR(Q16/$Q$166,0)</f>
      </c>
      <c r="S16" s="135">
        <f ca="1">IF($AL$5&lt;=1,0,SUM(OFFSET('rincian '!$AL16,0,0,1,$AL$5-1)))</f>
      </c>
      <c r="T16" s="425">
        <f ca="1">IFERROR(S16/N16*R16,0)</f>
      </c>
      <c r="U16" s="213" cm="1">
        <f t="array" ref="U16">IFERROR(INDEX('rincian '!$AL16:$AQ16,$AL$5),0)</f>
      </c>
      <c r="V16" s="425">
        <f>IFERROR(U16/N16*R16,0)</f>
      </c>
      <c r="W16" s="244">
        <f t="shared" ca="1" si="0"/>
      </c>
      <c r="X16" s="202">
        <f t="shared" ca="1" si="0"/>
      </c>
      <c r="AL16" s="460"/>
      <c r="AM16" s="460"/>
      <c r="AN16" s="460"/>
      <c r="AO16" s="460"/>
      <c r="AP16" s="460"/>
      <c r="AQ16" s="460"/>
    </row>
    <row r="17" spans="2:43" s="105" customFormat="1" ht="40.049999999999997" customHeight="1">
      <c r="B17" s="243">
        <f>#REF!</f>
      </c>
      <c r="C17" s="232"/>
      <c r="D17" s="704">
        <f>IF(#REF!&lt;&gt;"",#REF!,IF(#REF!&lt;&gt;"",#REF!,""))</f>
      </c>
      <c r="E17" s="704"/>
      <c r="F17" s="704"/>
      <c r="G17" s="704"/>
      <c r="H17" s="704"/>
      <c r="I17" s="704"/>
      <c r="J17" s="704"/>
      <c r="K17" s="704"/>
      <c r="L17" s="704"/>
      <c r="M17" s="705"/>
      <c r="N17" s="167">
        <f>#REF!</f>
      </c>
      <c r="O17" s="167">
        <f>#REF!</f>
      </c>
      <c r="P17" s="260">
        <f>#REF!</f>
      </c>
      <c r="Q17" s="168">
        <f>P17*N17</f>
      </c>
      <c r="R17" s="425">
        <f>IFERROR(Q17/$Q$166,0)</f>
      </c>
      <c r="S17" s="135">
        <f ca="1">IF($AL$5&lt;=1,0,SUM(OFFSET('rincian '!$AL17,0,0,1,$AL$5-1)))</f>
      </c>
      <c r="T17" s="425">
        <f ca="1">IFERROR(S17/N17*R17,0)</f>
      </c>
      <c r="U17" s="213" cm="1">
        <f t="array" ref="U17">IFERROR(INDEX('rincian '!$AL17:$AQ17,$AL$5),0)</f>
      </c>
      <c r="V17" s="425">
        <f>IFERROR(U17/N17*R17,0)</f>
      </c>
      <c r="W17" s="244">
        <f t="shared" ca="1" si="0"/>
      </c>
      <c r="X17" s="202">
        <f t="shared" ca="1" si="0"/>
      </c>
      <c r="AL17" s="460"/>
      <c r="AM17" s="460"/>
      <c r="AN17" s="460"/>
      <c r="AO17" s="460"/>
      <c r="AP17" s="460"/>
      <c r="AQ17" s="460"/>
    </row>
    <row r="18" spans="2:43" s="105" customFormat="1" ht="27" customHeight="1">
      <c r="B18" s="123">
        <f>#REF!</f>
      </c>
      <c r="C18" s="373"/>
      <c r="D18" s="374">
        <f>IF(#REF!&lt;&gt;"",#REF!,IF(#REF!&lt;&gt;"",#REF!,""))</f>
      </c>
      <c r="E18" s="375"/>
      <c r="F18" s="376"/>
      <c r="G18" s="376"/>
      <c r="H18" s="377"/>
      <c r="I18" s="378"/>
      <c r="J18" s="379"/>
      <c r="K18" s="380"/>
      <c r="L18" s="381"/>
      <c r="M18" s="382"/>
      <c r="N18" s="167"/>
      <c r="O18" s="167"/>
      <c r="P18" s="260"/>
      <c r="Q18" s="168"/>
      <c r="R18" s="425"/>
      <c r="S18" s="135"/>
      <c r="T18" s="425"/>
      <c r="U18" s="213"/>
      <c r="V18" s="425"/>
      <c r="W18" s="244"/>
      <c r="X18" s="202"/>
      <c r="AL18" s="460"/>
      <c r="AM18" s="460"/>
      <c r="AN18" s="460"/>
      <c r="AO18" s="460"/>
      <c r="AP18" s="460"/>
      <c r="AQ18" s="460"/>
    </row>
    <row r="19" spans="2:43" s="105" customFormat="1" ht="27" customHeight="1">
      <c r="B19" s="370">
        <f>#REF!</f>
      </c>
      <c r="C19" s="232"/>
      <c r="D19" s="164">
        <f>IF(#REF!&lt;&gt;"",#REF!,IF(#REF!&lt;&gt;"",#REF!,""))</f>
      </c>
      <c r="E19" s="235"/>
      <c r="F19" s="236"/>
      <c r="G19" s="236"/>
      <c r="H19" s="237"/>
      <c r="I19" s="238"/>
      <c r="J19" s="239"/>
      <c r="K19" s="240"/>
      <c r="L19" s="241"/>
      <c r="M19" s="242"/>
      <c r="N19" s="167">
        <f>#REF!</f>
      </c>
      <c r="O19" s="167">
        <f>#REF!</f>
      </c>
      <c r="P19" s="260">
        <f>#REF!</f>
      </c>
      <c r="Q19" s="168">
        <f t="shared" ref="Q19:Q24" si="1">P19*N19</f>
      </c>
      <c r="R19" s="425">
        <f t="shared" ref="R19:R24" si="2">IFERROR(Q19/$Q$166,0)</f>
      </c>
      <c r="S19" s="371">
        <f ca="1">IF($AL$5&lt;=1,0,SUM(OFFSET('rincian '!$AL19,0,0,1,$AL$5-1)))</f>
      </c>
      <c r="T19" s="425">
        <f t="shared" ref="T19:T24" ca="1" si="3">IFERROR(S19/N19*R19,0)</f>
      </c>
      <c r="U19" s="372" cm="1">
        <f t="array" ref="U19">IFERROR(INDEX('rincian '!$AL19:$AQ19,$AL$5),0)</f>
      </c>
      <c r="V19" s="425">
        <f>IFERROR(U19/N19*R19,0)</f>
      </c>
      <c r="W19" s="244">
        <f t="shared" ref="W19:X24" ca="1" si="4">S19+U19</f>
      </c>
      <c r="X19" s="202">
        <f t="shared" ca="1" si="4"/>
      </c>
      <c r="AL19" s="460"/>
      <c r="AM19" s="460"/>
      <c r="AN19" s="460"/>
      <c r="AO19" s="460"/>
      <c r="AP19" s="460"/>
      <c r="AQ19" s="460"/>
    </row>
    <row r="20" spans="2:43" s="105" customFormat="1" ht="27" customHeight="1">
      <c r="B20" s="370">
        <f>#REF!</f>
      </c>
      <c r="C20" s="232"/>
      <c r="D20" s="164">
        <f>IF(#REF!&lt;&gt;"",#REF!,IF(#REF!&lt;&gt;"",#REF!,""))</f>
      </c>
      <c r="E20" s="235"/>
      <c r="F20" s="236"/>
      <c r="G20" s="236"/>
      <c r="H20" s="237"/>
      <c r="I20" s="238"/>
      <c r="J20" s="239"/>
      <c r="K20" s="240"/>
      <c r="L20" s="241"/>
      <c r="M20" s="242"/>
      <c r="N20" s="167">
        <f>#REF!</f>
      </c>
      <c r="O20" s="167">
        <f>#REF!</f>
      </c>
      <c r="P20" s="260">
        <f>#REF!</f>
      </c>
      <c r="Q20" s="168">
        <f t="shared" si="1"/>
      </c>
      <c r="R20" s="425">
        <f t="shared" si="2"/>
      </c>
      <c r="S20" s="371">
        <f ca="1">IF($AL$5&lt;=1,0,SUM(OFFSET('rincian '!$AL20,0,0,1,$AL$5-1)))</f>
      </c>
      <c r="T20" s="425">
        <f t="shared" ca="1" si="3"/>
      </c>
      <c r="U20" s="372" cm="1">
        <f t="array" ref="U20">IFERROR(INDEX('rincian '!$AL20:$AQ20,$AL$5),0)</f>
      </c>
      <c r="V20" s="425">
        <f t="shared" ref="V20:V24" si="5">IFERROR(U20/N20*R20,0)</f>
      </c>
      <c r="W20" s="244">
        <f t="shared" ca="1" si="4"/>
      </c>
      <c r="X20" s="202">
        <f t="shared" ca="1" si="4"/>
      </c>
      <c r="AL20" s="460"/>
      <c r="AM20" s="460"/>
      <c r="AN20" s="460"/>
      <c r="AO20" s="460"/>
      <c r="AP20" s="460"/>
      <c r="AQ20" s="460"/>
    </row>
    <row r="21" spans="2:43" s="105" customFormat="1" ht="27" customHeight="1">
      <c r="B21" s="370">
        <f>#REF!</f>
      </c>
      <c r="C21" s="232"/>
      <c r="D21" s="164">
        <f>IF(#REF!&lt;&gt;"",#REF!,IF(#REF!&lt;&gt;"",#REF!,""))</f>
      </c>
      <c r="E21" s="235"/>
      <c r="F21" s="236"/>
      <c r="G21" s="236"/>
      <c r="H21" s="237"/>
      <c r="I21" s="238"/>
      <c r="J21" s="239"/>
      <c r="K21" s="240"/>
      <c r="L21" s="241"/>
      <c r="M21" s="242"/>
      <c r="N21" s="167">
        <f>#REF!</f>
      </c>
      <c r="O21" s="167">
        <f>#REF!</f>
      </c>
      <c r="P21" s="260">
        <f>#REF!</f>
      </c>
      <c r="Q21" s="168">
        <f t="shared" si="1"/>
      </c>
      <c r="R21" s="425">
        <f t="shared" si="2"/>
      </c>
      <c r="S21" s="371">
        <f ca="1">IF($AL$5&lt;=1,0,SUM(OFFSET('rincian '!$AL21,0,0,1,$AL$5-1)))</f>
      </c>
      <c r="T21" s="425">
        <f t="shared" ca="1" si="3"/>
      </c>
      <c r="U21" s="372" cm="1">
        <f t="array" ref="U21">IFERROR(INDEX('rincian '!$AL21:$AQ21,$AL$5),0)</f>
      </c>
      <c r="V21" s="425">
        <f t="shared" si="5"/>
      </c>
      <c r="W21" s="244">
        <f t="shared" ca="1" si="4"/>
      </c>
      <c r="X21" s="202">
        <f t="shared" ca="1" si="4"/>
      </c>
      <c r="AL21" s="460"/>
      <c r="AM21" s="460"/>
      <c r="AN21" s="460"/>
      <c r="AO21" s="460"/>
      <c r="AP21" s="460"/>
      <c r="AQ21" s="460"/>
    </row>
    <row r="22" spans="2:43" s="105" customFormat="1" ht="27" customHeight="1">
      <c r="B22" s="370">
        <f>#REF!</f>
      </c>
      <c r="C22" s="232"/>
      <c r="D22" s="164">
        <f>IF(#REF!&lt;&gt;"",#REF!,IF(#REF!&lt;&gt;"",#REF!,""))</f>
      </c>
      <c r="E22" s="235"/>
      <c r="F22" s="236"/>
      <c r="G22" s="236"/>
      <c r="H22" s="237"/>
      <c r="I22" s="238"/>
      <c r="J22" s="239"/>
      <c r="K22" s="240"/>
      <c r="L22" s="241"/>
      <c r="M22" s="242"/>
      <c r="N22" s="167">
        <f>#REF!</f>
      </c>
      <c r="O22" s="167">
        <f>#REF!</f>
      </c>
      <c r="P22" s="260">
        <f>#REF!</f>
      </c>
      <c r="Q22" s="168">
        <f t="shared" si="1"/>
      </c>
      <c r="R22" s="425">
        <f t="shared" si="2"/>
      </c>
      <c r="S22" s="371">
        <f ca="1">IF($AL$5&lt;=1,0,SUM(OFFSET('rincian '!$AL22,0,0,1,$AL$5-1)))</f>
      </c>
      <c r="T22" s="425">
        <f t="shared" ca="1" si="3"/>
      </c>
      <c r="U22" s="372" cm="1">
        <f t="array" ref="U22">IFERROR(INDEX('rincian '!$AL22:$AQ22,$AL$5),0)</f>
      </c>
      <c r="V22" s="425">
        <f t="shared" si="5"/>
      </c>
      <c r="W22" s="244">
        <f t="shared" ca="1" si="4"/>
      </c>
      <c r="X22" s="202">
        <f t="shared" ca="1" si="4"/>
      </c>
      <c r="AL22" s="460"/>
      <c r="AM22" s="460"/>
      <c r="AN22" s="460"/>
      <c r="AO22" s="460"/>
      <c r="AP22" s="460"/>
      <c r="AQ22" s="460"/>
    </row>
    <row r="23" spans="2:43" s="105" customFormat="1" ht="27" customHeight="1">
      <c r="B23" s="370">
        <f>#REF!</f>
      </c>
      <c r="C23" s="232"/>
      <c r="D23" s="164">
        <f>IF(#REF!&lt;&gt;"",#REF!,IF(#REF!&lt;&gt;"",#REF!,""))</f>
      </c>
      <c r="E23" s="235"/>
      <c r="F23" s="236"/>
      <c r="G23" s="236"/>
      <c r="H23" s="237"/>
      <c r="I23" s="238"/>
      <c r="J23" s="239"/>
      <c r="K23" s="240"/>
      <c r="L23" s="241"/>
      <c r="M23" s="242"/>
      <c r="N23" s="167">
        <f>#REF!</f>
      </c>
      <c r="O23" s="167">
        <f>#REF!</f>
      </c>
      <c r="P23" s="260">
        <f>#REF!</f>
      </c>
      <c r="Q23" s="168">
        <f t="shared" si="1"/>
      </c>
      <c r="R23" s="425">
        <f t="shared" si="2"/>
      </c>
      <c r="S23" s="371">
        <f ca="1">IF($AL$5&lt;=1,0,SUM(OFFSET('rincian '!#REF!,0,0,1,$AL$5-1)))</f>
      </c>
      <c r="T23" s="425">
        <f t="shared" ca="1" si="3"/>
      </c>
      <c r="U23" s="372" cm="1">
        <f t="array" ref="U23">IFERROR(INDEX('rincian '!#REF!,$AL$5),0)</f>
      </c>
      <c r="V23" s="425">
        <f t="shared" si="5"/>
      </c>
      <c r="W23" s="244">
        <f t="shared" ca="1" si="4"/>
      </c>
      <c r="X23" s="202">
        <f t="shared" ca="1" si="4"/>
      </c>
      <c r="AL23" s="460"/>
      <c r="AM23" s="460"/>
      <c r="AN23" s="460"/>
      <c r="AO23" s="460"/>
      <c r="AP23" s="460"/>
      <c r="AQ23" s="460"/>
    </row>
    <row r="24" spans="2:43" s="105" customFormat="1" ht="27" customHeight="1">
      <c r="B24" s="401">
        <f>#REF!</f>
      </c>
      <c r="C24" s="373"/>
      <c r="D24" s="374">
        <f>IF(#REF!&lt;&gt;"",#REF!,IF(#REF!&lt;&gt;"",#REF!,""))</f>
      </c>
      <c r="E24" s="375"/>
      <c r="F24" s="376"/>
      <c r="G24" s="376"/>
      <c r="H24" s="377"/>
      <c r="I24" s="378"/>
      <c r="J24" s="379"/>
      <c r="K24" s="380"/>
      <c r="L24" s="381"/>
      <c r="M24" s="382"/>
      <c r="N24" s="167">
        <f>#REF!</f>
      </c>
      <c r="O24" s="167">
        <f>#REF!</f>
      </c>
      <c r="P24" s="260">
        <f>#REF!</f>
      </c>
      <c r="Q24" s="168">
        <f t="shared" si="1"/>
      </c>
      <c r="R24" s="425">
        <f t="shared" si="2"/>
      </c>
      <c r="S24" s="371">
        <f ca="1">IF($AL$5&lt;=1,0,SUM(OFFSET('rincian '!$AL24,0,0,1,$AL$5-1)))</f>
      </c>
      <c r="T24" s="425">
        <f t="shared" ca="1" si="3"/>
      </c>
      <c r="U24" s="372" cm="1">
        <f t="array" ref="U24">IFERROR(INDEX('rincian '!$AL24:$AQ24,$AL$5),0)</f>
      </c>
      <c r="V24" s="425">
        <f t="shared" si="5"/>
      </c>
      <c r="W24" s="244">
        <f t="shared" ca="1" si="4"/>
      </c>
      <c r="X24" s="202">
        <f t="shared" ca="1" si="4"/>
      </c>
      <c r="AL24" s="460"/>
      <c r="AM24" s="460"/>
      <c r="AN24" s="460"/>
      <c r="AO24" s="460"/>
      <c r="AP24" s="460"/>
      <c r="AQ24" s="460"/>
    </row>
    <row r="25" spans="2:43" s="105" customFormat="1" ht="27" customHeight="1">
      <c r="B25" s="401">
        <f>#REF!</f>
      </c>
      <c r="C25" s="373"/>
      <c r="D25" s="374">
        <f>IF(#REF!&lt;&gt;"",#REF!,IF(#REF!&lt;&gt;"",#REF!,""))</f>
      </c>
      <c r="E25" s="375"/>
      <c r="F25" s="376"/>
      <c r="G25" s="376"/>
      <c r="H25" s="377"/>
      <c r="I25" s="378"/>
      <c r="J25" s="379"/>
      <c r="K25" s="380"/>
      <c r="L25" s="381"/>
      <c r="M25" s="382"/>
      <c r="N25" s="167"/>
      <c r="O25" s="167"/>
      <c r="P25" s="260"/>
      <c r="Q25" s="168"/>
      <c r="R25" s="425"/>
      <c r="S25" s="371"/>
      <c r="T25" s="425"/>
      <c r="U25" s="372"/>
      <c r="V25" s="425"/>
      <c r="W25" s="244"/>
      <c r="X25" s="202"/>
      <c r="AL25" s="460"/>
      <c r="AM25" s="460"/>
      <c r="AN25" s="460"/>
      <c r="AO25" s="460"/>
      <c r="AP25" s="460"/>
      <c r="AQ25" s="460"/>
    </row>
    <row r="26" spans="2:43" s="105" customFormat="1" ht="27" customHeight="1">
      <c r="B26" s="370">
        <f>#REF!</f>
      </c>
      <c r="C26" s="232"/>
      <c r="D26" s="164">
        <f>IF(#REF!&lt;&gt;"",#REF!,IF(#REF!&lt;&gt;"",#REF!,""))</f>
      </c>
      <c r="E26" s="235"/>
      <c r="F26" s="236"/>
      <c r="G26" s="236"/>
      <c r="H26" s="237"/>
      <c r="I26" s="238"/>
      <c r="J26" s="239"/>
      <c r="K26" s="240"/>
      <c r="L26" s="241"/>
      <c r="M26" s="242"/>
      <c r="N26" s="167">
        <f>#REF!</f>
      </c>
      <c r="O26" s="167">
        <f>#REF!</f>
      </c>
      <c r="P26" s="260">
        <f>#REF!</f>
      </c>
      <c r="Q26" s="168">
        <f>P26*N26</f>
      </c>
      <c r="R26" s="425">
        <f>IFERROR(Q26/$Q$166,0)</f>
      </c>
      <c r="S26" s="371">
        <f ca="1">IF($AL$5&lt;=1,0,SUM(OFFSET('rincian '!$AL36,0,0,1,$AL$5-1)))</f>
      </c>
      <c r="T26" s="425">
        <f ca="1">IFERROR(S26/N26*R26,0)</f>
      </c>
      <c r="U26" s="372" cm="1">
        <f t="array" ref="U26">IFERROR(INDEX('rincian '!$AL36:$AQ36,$AL$5),0)</f>
      </c>
      <c r="V26" s="425">
        <f>IFERROR(U26/N26*R26,0)</f>
      </c>
      <c r="W26" s="244">
        <f t="shared" ref="W26:X29" ca="1" si="6">S26+U26</f>
      </c>
      <c r="X26" s="202">
        <f t="shared" ca="1" si="6"/>
      </c>
      <c r="AB26" s="424">
        <f>Q26/Q166</f>
      </c>
      <c r="AL26" s="460"/>
      <c r="AM26" s="460"/>
      <c r="AN26" s="460"/>
      <c r="AO26" s="460"/>
      <c r="AP26" s="460"/>
      <c r="AQ26" s="460"/>
    </row>
    <row r="27" spans="2:43" s="105" customFormat="1" ht="27" customHeight="1">
      <c r="B27" s="370">
        <f>#REF!</f>
      </c>
      <c r="C27" s="232"/>
      <c r="D27" s="164">
        <f>IF(#REF!&lt;&gt;"",#REF!,IF(#REF!&lt;&gt;"",#REF!,""))</f>
      </c>
      <c r="E27" s="235"/>
      <c r="F27" s="236"/>
      <c r="G27" s="236"/>
      <c r="H27" s="237"/>
      <c r="I27" s="238"/>
      <c r="J27" s="239"/>
      <c r="K27" s="240"/>
      <c r="L27" s="241"/>
      <c r="M27" s="242"/>
      <c r="N27" s="167">
        <f>#REF!</f>
      </c>
      <c r="O27" s="167">
        <f>#REF!</f>
      </c>
      <c r="P27" s="260">
        <f>#REF!</f>
      </c>
      <c r="Q27" s="168">
        <f>P27*N27</f>
      </c>
      <c r="R27" s="425">
        <f>IFERROR(Q27/$Q$166,0)</f>
      </c>
      <c r="S27" s="371">
        <f ca="1">IF($AL$5&lt;=1,0,SUM(OFFSET('rincian '!#REF!,0,0,1,$AL$5-1)))</f>
      </c>
      <c r="T27" s="425">
        <f ca="1">IFERROR(S27/N27*R27,0)</f>
      </c>
      <c r="U27" s="372" cm="1">
        <f t="array" ref="U27">IFERROR(INDEX('rincian '!#REF!,$AL$5),0)</f>
      </c>
      <c r="V27" s="425">
        <f t="shared" ref="V27:V29" si="7">IFERROR(U27/N27*R27,0)</f>
      </c>
      <c r="W27" s="244">
        <f t="shared" ca="1" si="6"/>
      </c>
      <c r="X27" s="202">
        <f t="shared" ca="1" si="6"/>
      </c>
      <c r="AL27" s="460"/>
      <c r="AM27" s="460"/>
      <c r="AN27" s="460"/>
      <c r="AO27" s="460"/>
      <c r="AP27" s="460"/>
      <c r="AQ27" s="460"/>
    </row>
    <row r="28" spans="2:43" s="105" customFormat="1" ht="27" customHeight="1">
      <c r="B28" s="370">
        <f>#REF!</f>
      </c>
      <c r="C28" s="232"/>
      <c r="D28" s="164">
        <f>IF(#REF!&lt;&gt;"",#REF!,IF(#REF!&lt;&gt;"",#REF!,""))</f>
      </c>
      <c r="E28" s="235"/>
      <c r="F28" s="236"/>
      <c r="G28" s="236"/>
      <c r="H28" s="237"/>
      <c r="I28" s="238"/>
      <c r="J28" s="239"/>
      <c r="K28" s="240"/>
      <c r="L28" s="241"/>
      <c r="M28" s="242"/>
      <c r="N28" s="167">
        <f>#REF!</f>
      </c>
      <c r="O28" s="167">
        <f>#REF!</f>
      </c>
      <c r="P28" s="260">
        <f>#REF!</f>
      </c>
      <c r="Q28" s="168">
        <f>P28*N28</f>
      </c>
      <c r="R28" s="425">
        <f>IFERROR(Q28/$Q$166,0)</f>
      </c>
      <c r="S28" s="371">
        <f ca="1">IF($AL$5&lt;=1,0,SUM(OFFSET('rincian '!#REF!,0,0,1,$AL$5-1)))</f>
      </c>
      <c r="T28" s="425">
        <f ca="1">IFERROR(S28/N28*R28,0)</f>
      </c>
      <c r="U28" s="372" cm="1">
        <f t="array" ref="U28">IFERROR(INDEX('rincian '!#REF!,$AL$5),0)</f>
      </c>
      <c r="V28" s="425">
        <f t="shared" si="7"/>
      </c>
      <c r="W28" s="244">
        <f t="shared" ca="1" si="6"/>
      </c>
      <c r="X28" s="202">
        <f t="shared" ca="1" si="6"/>
      </c>
      <c r="AL28" s="460"/>
      <c r="AM28" s="460"/>
      <c r="AN28" s="460"/>
      <c r="AO28" s="460"/>
      <c r="AP28" s="460"/>
      <c r="AQ28" s="460"/>
    </row>
    <row r="29" spans="2:43" s="105" customFormat="1" ht="27" customHeight="1">
      <c r="B29" s="370">
        <f>#REF!</f>
      </c>
      <c r="C29" s="232"/>
      <c r="D29" s="164">
        <f>IF(#REF!&lt;&gt;"",#REF!,IF(#REF!&lt;&gt;"",#REF!,""))</f>
      </c>
      <c r="E29" s="235"/>
      <c r="F29" s="236"/>
      <c r="G29" s="236"/>
      <c r="H29" s="237"/>
      <c r="I29" s="238"/>
      <c r="J29" s="239"/>
      <c r="K29" s="240"/>
      <c r="L29" s="241"/>
      <c r="M29" s="242"/>
      <c r="N29" s="167">
        <f>#REF!</f>
      </c>
      <c r="O29" s="167">
        <f>#REF!</f>
      </c>
      <c r="P29" s="260">
        <f>#REF!</f>
      </c>
      <c r="Q29" s="168">
        <f>P29*N29</f>
      </c>
      <c r="R29" s="425">
        <f>IFERROR(Q29/$Q$166,0)</f>
      </c>
      <c r="S29" s="371">
        <f ca="1">IF($AL$5&lt;=1,0,SUM(OFFSET('rincian '!#REF!,0,0,1,$AL$5-1)))</f>
      </c>
      <c r="T29" s="425">
        <f ca="1">IFERROR(S29/N29*R29,0)</f>
      </c>
      <c r="U29" s="372" cm="1">
        <f t="array" ref="U29">IFERROR(INDEX('rincian '!#REF!,$AL$5),0)</f>
      </c>
      <c r="V29" s="425">
        <f t="shared" si="7"/>
      </c>
      <c r="W29" s="244">
        <f t="shared" ca="1" si="6"/>
      </c>
      <c r="X29" s="202">
        <f t="shared" ca="1" si="6"/>
      </c>
      <c r="AL29" s="460"/>
      <c r="AM29" s="460"/>
      <c r="AN29" s="460"/>
      <c r="AO29" s="460"/>
      <c r="AP29" s="460"/>
      <c r="AQ29" s="460"/>
    </row>
    <row r="30" spans="2:43" s="105" customFormat="1" ht="27" customHeight="1">
      <c r="B30" s="401">
        <f>#REF!</f>
      </c>
      <c r="C30" s="373"/>
      <c r="D30" s="374">
        <f>IF(#REF!&lt;&gt;"",#REF!,IF(#REF!&lt;&gt;"",#REF!,""))</f>
      </c>
      <c r="E30" s="375"/>
      <c r="F30" s="376"/>
      <c r="G30" s="376"/>
      <c r="H30" s="377"/>
      <c r="I30" s="378"/>
      <c r="J30" s="379"/>
      <c r="K30" s="380"/>
      <c r="L30" s="381"/>
      <c r="M30" s="382"/>
      <c r="N30" s="167"/>
      <c r="O30" s="167"/>
      <c r="P30" s="260"/>
      <c r="Q30" s="168"/>
      <c r="R30" s="425"/>
      <c r="S30" s="371"/>
      <c r="T30" s="425"/>
      <c r="U30" s="372"/>
      <c r="V30" s="425"/>
      <c r="W30" s="244"/>
      <c r="X30" s="202"/>
      <c r="AL30" s="460"/>
      <c r="AM30" s="460"/>
      <c r="AN30" s="460"/>
      <c r="AO30" s="460"/>
      <c r="AP30" s="460"/>
      <c r="AQ30" s="460"/>
    </row>
    <row r="31" spans="2:43" s="105" customFormat="1" ht="27" customHeight="1">
      <c r="B31" s="370">
        <f>#REF!</f>
      </c>
      <c r="C31" s="232"/>
      <c r="D31" s="164">
        <f>IF(#REF!&lt;&gt;"",#REF!,IF(#REF!&lt;&gt;"",#REF!,""))</f>
      </c>
      <c r="E31" s="235"/>
      <c r="F31" s="236"/>
      <c r="G31" s="236"/>
      <c r="H31" s="237"/>
      <c r="I31" s="238"/>
      <c r="J31" s="239"/>
      <c r="K31" s="240"/>
      <c r="L31" s="241"/>
      <c r="M31" s="242"/>
      <c r="N31" s="167">
        <f>#REF!</f>
      </c>
      <c r="O31" s="167">
        <f>#REF!</f>
      </c>
      <c r="P31" s="260">
        <f>#REF!</f>
      </c>
      <c r="Q31" s="168">
        <f>P31*N31</f>
      </c>
      <c r="R31" s="425">
        <f>IFERROR(Q31/$Q$166,0)</f>
      </c>
      <c r="S31" s="371">
        <f ca="1">IF($AL$5&lt;=1,0,SUM(OFFSET('rincian '!#REF!,0,0,1,$AL$5-1)))</f>
      </c>
      <c r="T31" s="425">
        <f ca="1">IFERROR(S31/N31*R31,0)</f>
      </c>
      <c r="U31" s="372" cm="1">
        <f t="array" ref="U31">IFERROR(INDEX('rincian '!#REF!,$AL$5),0)</f>
      </c>
      <c r="V31" s="425">
        <f>IFERROR(U31/N31*R31,0)</f>
      </c>
      <c r="W31" s="244">
        <f t="shared" ref="W31:X35" ca="1" si="8">S31+U31</f>
      </c>
      <c r="X31" s="202">
        <f t="shared" ca="1" si="8"/>
      </c>
      <c r="AL31" s="460"/>
      <c r="AM31" s="460"/>
      <c r="AN31" s="460"/>
      <c r="AO31" s="460"/>
      <c r="AP31" s="460"/>
      <c r="AQ31" s="460"/>
    </row>
    <row r="32" spans="2:43" s="105" customFormat="1" ht="27" customHeight="1">
      <c r="B32" s="370">
        <f>#REF!</f>
      </c>
      <c r="C32" s="232"/>
      <c r="D32" s="164">
        <f>IF(#REF!&lt;&gt;"",#REF!,IF(#REF!&lt;&gt;"",#REF!,""))</f>
      </c>
      <c r="E32" s="235"/>
      <c r="F32" s="236"/>
      <c r="G32" s="236"/>
      <c r="H32" s="237"/>
      <c r="I32" s="238"/>
      <c r="J32" s="239"/>
      <c r="K32" s="240"/>
      <c r="L32" s="241"/>
      <c r="M32" s="242"/>
      <c r="N32" s="167">
        <f>#REF!</f>
      </c>
      <c r="O32" s="167">
        <f>#REF!</f>
      </c>
      <c r="P32" s="260">
        <f>#REF!</f>
      </c>
      <c r="Q32" s="168">
        <f>P32*N32</f>
      </c>
      <c r="R32" s="425">
        <f>IFERROR(Q32/$Q$166,0)</f>
      </c>
      <c r="S32" s="371">
        <f ca="1">IF($AL$5&lt;=1,0,SUM(OFFSET('rincian '!#REF!,0,0,1,$AL$5-1)))</f>
      </c>
      <c r="T32" s="425">
        <f ca="1">IFERROR(S32/N32*R32,0)</f>
      </c>
      <c r="U32" s="372" cm="1">
        <f t="array" ref="U32">IFERROR(INDEX('rincian '!#REF!,$AL$5),0)</f>
      </c>
      <c r="V32" s="425">
        <f>IFERROR(U32/N32*R32,0)</f>
      </c>
      <c r="W32" s="244">
        <f t="shared" ca="1" si="8"/>
      </c>
      <c r="X32" s="202">
        <f t="shared" ca="1" si="8"/>
      </c>
      <c r="AL32" s="460"/>
      <c r="AM32" s="460"/>
      <c r="AN32" s="460"/>
      <c r="AO32" s="460"/>
      <c r="AP32" s="460"/>
      <c r="AQ32" s="460"/>
    </row>
    <row r="33" spans="2:43" s="105" customFormat="1" ht="27" customHeight="1">
      <c r="B33" s="370">
        <f>#REF!</f>
      </c>
      <c r="C33" s="232"/>
      <c r="D33" s="164">
        <f>IF(#REF!&lt;&gt;"",#REF!,IF(#REF!&lt;&gt;"",#REF!,""))</f>
      </c>
      <c r="E33" s="235"/>
      <c r="F33" s="236"/>
      <c r="G33" s="236"/>
      <c r="H33" s="237"/>
      <c r="I33" s="238"/>
      <c r="J33" s="239"/>
      <c r="K33" s="240"/>
      <c r="L33" s="241"/>
      <c r="M33" s="242"/>
      <c r="N33" s="167">
        <f>#REF!</f>
      </c>
      <c r="O33" s="167">
        <f>#REF!</f>
      </c>
      <c r="P33" s="260">
        <f>#REF!</f>
      </c>
      <c r="Q33" s="168">
        <f>P33*N33</f>
      </c>
      <c r="R33" s="425">
        <f>IFERROR(Q33/$Q$166,0)</f>
      </c>
      <c r="S33" s="371">
        <f ca="1">IF($AL$5&lt;=1,0,SUM(OFFSET('rincian '!#REF!,0,0,1,$AL$5-1)))</f>
      </c>
      <c r="T33" s="425">
        <f ca="1">IFERROR(S33/N33*R33,0)</f>
      </c>
      <c r="U33" s="372" cm="1">
        <f t="array" ref="U33">IFERROR(INDEX('rincian '!#REF!,$AL$5),0)</f>
      </c>
      <c r="V33" s="425">
        <f>IFERROR(U33/N33*R33,0)</f>
      </c>
      <c r="W33" s="244">
        <f t="shared" ca="1" si="8"/>
      </c>
      <c r="X33" s="202">
        <f t="shared" ca="1" si="8"/>
      </c>
      <c r="AL33" s="460"/>
      <c r="AM33" s="460"/>
      <c r="AN33" s="460"/>
      <c r="AO33" s="460"/>
      <c r="AP33" s="460"/>
      <c r="AQ33" s="460"/>
    </row>
    <row r="34" spans="2:43" s="105" customFormat="1" ht="27" customHeight="1">
      <c r="B34" s="370">
        <f>#REF!</f>
      </c>
      <c r="C34" s="232"/>
      <c r="D34" s="164">
        <f>IF(#REF!&lt;&gt;"",#REF!,IF(#REF!&lt;&gt;"",#REF!,""))</f>
      </c>
      <c r="E34" s="235"/>
      <c r="F34" s="236"/>
      <c r="G34" s="236"/>
      <c r="H34" s="237"/>
      <c r="I34" s="238"/>
      <c r="J34" s="239"/>
      <c r="K34" s="240"/>
      <c r="L34" s="241"/>
      <c r="M34" s="242"/>
      <c r="N34" s="167">
        <f>#REF!</f>
      </c>
      <c r="O34" s="167">
        <f>#REF!</f>
      </c>
      <c r="P34" s="260">
        <f>#REF!</f>
      </c>
      <c r="Q34" s="168">
        <f>P34*N34</f>
      </c>
      <c r="R34" s="425">
        <f>IFERROR(Q34/$Q$166,0)</f>
      </c>
      <c r="S34" s="371">
        <f ca="1">IF($AL$5&lt;=1,0,SUM(OFFSET('rincian '!#REF!,0,0,1,$AL$5-1)))</f>
      </c>
      <c r="T34" s="425">
        <f ca="1">IFERROR(S34/N34*R34,0)</f>
      </c>
      <c r="U34" s="372" cm="1">
        <f t="array" ref="U34">IFERROR(INDEX('rincian '!#REF!,$AL$5),0)</f>
      </c>
      <c r="V34" s="425">
        <f>IFERROR(U34/N34*R34,0)</f>
      </c>
      <c r="W34" s="244">
        <f t="shared" ca="1" si="8"/>
      </c>
      <c r="X34" s="202">
        <f t="shared" ca="1" si="8"/>
      </c>
      <c r="AL34" s="460"/>
      <c r="AM34" s="460"/>
      <c r="AN34" s="460"/>
      <c r="AO34" s="460"/>
      <c r="AP34" s="460"/>
      <c r="AQ34" s="460"/>
    </row>
    <row r="35" spans="2:43" s="105" customFormat="1" ht="27" customHeight="1">
      <c r="B35" s="370">
        <f>#REF!</f>
      </c>
      <c r="C35" s="232"/>
      <c r="D35" s="164">
        <f>IF(#REF!&lt;&gt;"",#REF!,IF(#REF!&lt;&gt;"",#REF!,""))</f>
      </c>
      <c r="E35" s="235"/>
      <c r="F35" s="236"/>
      <c r="G35" s="236"/>
      <c r="H35" s="237"/>
      <c r="I35" s="238"/>
      <c r="J35" s="239"/>
      <c r="K35" s="240"/>
      <c r="L35" s="241"/>
      <c r="M35" s="242"/>
      <c r="N35" s="167">
        <f>#REF!</f>
      </c>
      <c r="O35" s="167">
        <f>#REF!</f>
      </c>
      <c r="P35" s="260">
        <f>#REF!</f>
      </c>
      <c r="Q35" s="168">
        <f>P35*N35</f>
      </c>
      <c r="R35" s="425">
        <f>IFERROR(Q35/$Q$166,0)</f>
      </c>
      <c r="S35" s="371">
        <f ca="1">IF($AL$5&lt;=1,0,SUM(OFFSET('rincian '!#REF!,0,0,1,$AL$5-1)))</f>
      </c>
      <c r="T35" s="425">
        <f ca="1">IFERROR(S35/N35*R35,0)</f>
      </c>
      <c r="U35" s="372" cm="1">
        <f t="array" ref="U35">IFERROR(INDEX('rincian '!#REF!,$AL$5),0)</f>
      </c>
      <c r="V35" s="425">
        <f>IFERROR(U35/N35*R35,0)</f>
      </c>
      <c r="W35" s="244">
        <f t="shared" ca="1" si="8"/>
      </c>
      <c r="X35" s="202">
        <f t="shared" ca="1" si="8"/>
      </c>
      <c r="AL35" s="460"/>
      <c r="AM35" s="460"/>
      <c r="AN35" s="460"/>
      <c r="AO35" s="460"/>
      <c r="AP35" s="460"/>
      <c r="AQ35" s="460"/>
    </row>
    <row r="36" spans="2:43" s="105" customFormat="1" ht="27" customHeight="1">
      <c r="B36" s="370">
        <f>#REF!</f>
      </c>
      <c r="C36" s="232"/>
      <c r="D36" s="164">
        <f>IF(#REF!&lt;&gt;"",#REF!,IF(#REF!&lt;&gt;"",#REF!,""))</f>
      </c>
      <c r="E36" s="235"/>
      <c r="F36" s="236"/>
      <c r="G36" s="236"/>
      <c r="H36" s="237"/>
      <c r="I36" s="238"/>
      <c r="J36" s="239"/>
      <c r="K36" s="240"/>
      <c r="L36" s="241"/>
      <c r="M36" s="242"/>
      <c r="N36" s="167"/>
      <c r="O36" s="167"/>
      <c r="P36" s="260"/>
      <c r="Q36" s="168"/>
      <c r="R36" s="425"/>
      <c r="S36" s="371"/>
      <c r="T36" s="425"/>
      <c r="U36" s="372"/>
      <c r="V36" s="425"/>
      <c r="W36" s="244"/>
      <c r="X36" s="202"/>
      <c r="AL36" s="460"/>
      <c r="AM36" s="460"/>
      <c r="AN36" s="460"/>
      <c r="AO36" s="460"/>
      <c r="AP36" s="460"/>
      <c r="AQ36" s="460"/>
    </row>
    <row r="37" spans="2:43" s="105" customFormat="1" ht="27" customHeight="1">
      <c r="B37" s="370">
        <f>#REF!</f>
      </c>
      <c r="C37" s="232"/>
      <c r="D37" s="164">
        <f>IF(#REF!&lt;&gt;"",#REF!,IF(#REF!&lt;&gt;"",#REF!,""))</f>
      </c>
      <c r="E37" s="235"/>
      <c r="F37" s="236"/>
      <c r="G37" s="236"/>
      <c r="H37" s="237"/>
      <c r="I37" s="238"/>
      <c r="J37" s="239"/>
      <c r="K37" s="240"/>
      <c r="L37" s="241"/>
      <c r="M37" s="242"/>
      <c r="N37" s="167">
        <f>#REF!</f>
      </c>
      <c r="O37" s="167">
        <f>#REF!</f>
      </c>
      <c r="P37" s="260">
        <f>#REF!</f>
      </c>
      <c r="Q37" s="168">
        <f t="shared" ref="Q37:Q53" si="9">P37*N37</f>
      </c>
      <c r="R37" s="425">
        <f t="shared" ref="R37:R53" si="10">IFERROR(Q37/$Q$166,0)</f>
      </c>
      <c r="S37" s="371">
        <f ca="1">IF($AL$5&lt;=1,0,SUM(OFFSET('rincian '!#REF!,0,0,1,$AL$5-1)))</f>
      </c>
      <c r="T37" s="425">
        <f t="shared" ref="T37:T53" ca="1" si="11">IFERROR(S37/N37*R37,0)</f>
      </c>
      <c r="U37" s="372" cm="1">
        <f t="array" ref="U37">IFERROR(INDEX('rincian '!#REF!,$AL$5),0)</f>
      </c>
      <c r="V37" s="425">
        <f t="shared" ref="V37:V53" si="12">IFERROR(U37/N37*R37,0)</f>
      </c>
      <c r="W37" s="244">
        <f t="shared" ref="W37:X53" ca="1" si="13">S37+U37</f>
      </c>
      <c r="X37" s="202">
        <f t="shared" ca="1" si="13"/>
      </c>
      <c r="AL37" s="460"/>
      <c r="AM37" s="460"/>
      <c r="AN37" s="460"/>
      <c r="AO37" s="460"/>
      <c r="AP37" s="460"/>
      <c r="AQ37" s="460"/>
    </row>
    <row r="38" spans="2:43" s="105" customFormat="1" ht="27" customHeight="1">
      <c r="B38" s="370">
        <f>#REF!</f>
      </c>
      <c r="C38" s="232"/>
      <c r="D38" s="164">
        <f>IF(#REF!&lt;&gt;"",#REF!,IF(#REF!&lt;&gt;"",#REF!,""))</f>
      </c>
      <c r="E38" s="235"/>
      <c r="F38" s="236"/>
      <c r="G38" s="236"/>
      <c r="H38" s="237"/>
      <c r="I38" s="238"/>
      <c r="J38" s="239"/>
      <c r="K38" s="240"/>
      <c r="L38" s="241"/>
      <c r="M38" s="242"/>
      <c r="N38" s="167">
        <f>#REF!</f>
      </c>
      <c r="O38" s="167">
        <f>#REF!</f>
      </c>
      <c r="P38" s="260">
        <f>#REF!</f>
      </c>
      <c r="Q38" s="168">
        <f t="shared" si="9"/>
      </c>
      <c r="R38" s="425">
        <f t="shared" si="10"/>
      </c>
      <c r="S38" s="371">
        <f ca="1">IF($AL$5&lt;=1,0,SUM(OFFSET('rincian '!#REF!,0,0,1,$AL$5-1)))</f>
      </c>
      <c r="T38" s="425">
        <f t="shared" ca="1" si="11"/>
      </c>
      <c r="U38" s="372" cm="1">
        <f t="array" ref="U38">IFERROR(INDEX('rincian '!#REF!,$AL$5),0)</f>
      </c>
      <c r="V38" s="425">
        <f t="shared" si="12"/>
      </c>
      <c r="W38" s="244">
        <f t="shared" ca="1" si="13"/>
      </c>
      <c r="X38" s="202">
        <f t="shared" ca="1" si="13"/>
      </c>
      <c r="AL38" s="460"/>
      <c r="AM38" s="460"/>
      <c r="AN38" s="460"/>
      <c r="AO38" s="460"/>
      <c r="AP38" s="460"/>
      <c r="AQ38" s="460"/>
    </row>
    <row r="39" spans="2:43" s="105" customFormat="1" ht="27" customHeight="1">
      <c r="B39" s="370">
        <f>#REF!</f>
      </c>
      <c r="C39" s="232"/>
      <c r="D39" s="164">
        <f>IF(#REF!&lt;&gt;"",#REF!,IF(#REF!&lt;&gt;"",#REF!,""))</f>
      </c>
      <c r="E39" s="235"/>
      <c r="F39" s="236"/>
      <c r="G39" s="236"/>
      <c r="H39" s="237"/>
      <c r="I39" s="238"/>
      <c r="J39" s="239"/>
      <c r="K39" s="240"/>
      <c r="L39" s="241"/>
      <c r="M39" s="242"/>
      <c r="N39" s="167">
        <f>#REF!</f>
      </c>
      <c r="O39" s="167">
        <f>#REF!</f>
      </c>
      <c r="P39" s="260">
        <f>#REF!</f>
      </c>
      <c r="Q39" s="168">
        <f t="shared" si="9"/>
      </c>
      <c r="R39" s="425">
        <f t="shared" si="10"/>
      </c>
      <c r="S39" s="371">
        <f ca="1">IF($AL$5&lt;=1,0,SUM(OFFSET('rincian '!#REF!,0,0,1,$AL$5-1)))</f>
      </c>
      <c r="T39" s="425">
        <f t="shared" ca="1" si="11"/>
      </c>
      <c r="U39" s="372" cm="1">
        <f t="array" ref="U39">IFERROR(INDEX('rincian '!#REF!,$AL$5),0)</f>
      </c>
      <c r="V39" s="425">
        <f t="shared" si="12"/>
      </c>
      <c r="W39" s="244">
        <f t="shared" ca="1" si="13"/>
      </c>
      <c r="X39" s="202">
        <f t="shared" ca="1" si="13"/>
      </c>
      <c r="AL39" s="460"/>
      <c r="AM39" s="460"/>
      <c r="AN39" s="460"/>
      <c r="AO39" s="460"/>
      <c r="AP39" s="460"/>
      <c r="AQ39" s="460"/>
    </row>
    <row r="40" spans="2:43" s="105" customFormat="1" ht="21" customHeight="1">
      <c r="B40" s="370">
        <f>#REF!</f>
      </c>
      <c r="C40" s="232"/>
      <c r="D40" s="704">
        <f>IF(#REF!&lt;&gt;"",#REF!,IF(#REF!&lt;&gt;"",#REF!,""))</f>
      </c>
      <c r="E40" s="704"/>
      <c r="F40" s="704"/>
      <c r="G40" s="704"/>
      <c r="H40" s="704"/>
      <c r="I40" s="704"/>
      <c r="J40" s="704"/>
      <c r="K40" s="704"/>
      <c r="L40" s="704"/>
      <c r="M40" s="705"/>
      <c r="N40" s="167">
        <f>#REF!</f>
      </c>
      <c r="O40" s="167">
        <f>#REF!</f>
      </c>
      <c r="P40" s="260">
        <f>#REF!</f>
      </c>
      <c r="Q40" s="168">
        <f t="shared" si="9"/>
      </c>
      <c r="R40" s="425">
        <f t="shared" si="10"/>
      </c>
      <c r="S40" s="371">
        <f ca="1">IF($AL$5&lt;=1,0,SUM(OFFSET('rincian '!#REF!,0,0,1,$AL$5-1)))</f>
      </c>
      <c r="T40" s="425">
        <f t="shared" ca="1" si="11"/>
      </c>
      <c r="U40" s="372" cm="1">
        <f t="array" ref="U40">IFERROR(INDEX('rincian '!#REF!,$AL$5),0)</f>
      </c>
      <c r="V40" s="425">
        <f t="shared" si="12"/>
      </c>
      <c r="W40" s="244">
        <f t="shared" ca="1" si="13"/>
      </c>
      <c r="X40" s="202">
        <f t="shared" ca="1" si="13"/>
      </c>
      <c r="AL40" s="460"/>
      <c r="AM40" s="460"/>
      <c r="AN40" s="460"/>
      <c r="AO40" s="460"/>
      <c r="AP40" s="460"/>
      <c r="AQ40" s="460"/>
    </row>
    <row r="41" spans="2:43" s="105" customFormat="1" ht="27" customHeight="1">
      <c r="B41" s="370">
        <f>#REF!</f>
      </c>
      <c r="C41" s="232"/>
      <c r="D41" s="164">
        <f>IF(#REF!&lt;&gt;"",#REF!,IF(#REF!&lt;&gt;"",#REF!,""))</f>
      </c>
      <c r="E41" s="235"/>
      <c r="F41" s="236"/>
      <c r="G41" s="236"/>
      <c r="H41" s="237"/>
      <c r="I41" s="238"/>
      <c r="J41" s="239"/>
      <c r="K41" s="240"/>
      <c r="L41" s="241"/>
      <c r="M41" s="242"/>
      <c r="N41" s="167">
        <f>#REF!</f>
      </c>
      <c r="O41" s="167">
        <f>#REF!</f>
      </c>
      <c r="P41" s="260">
        <f>#REF!</f>
      </c>
      <c r="Q41" s="168">
        <f t="shared" si="9"/>
      </c>
      <c r="R41" s="425">
        <f t="shared" si="10"/>
      </c>
      <c r="S41" s="371">
        <f ca="1">IF($AL$5&lt;=1,0,SUM(OFFSET('rincian '!#REF!,0,0,1,$AL$5-1)))</f>
      </c>
      <c r="T41" s="425">
        <f t="shared" ca="1" si="11"/>
      </c>
      <c r="U41" s="372" cm="1">
        <f t="array" ref="U41">IFERROR(INDEX('rincian '!#REF!,$AL$5),0)</f>
      </c>
      <c r="V41" s="425">
        <f t="shared" si="12"/>
      </c>
      <c r="W41" s="244">
        <f t="shared" ca="1" si="13"/>
      </c>
      <c r="X41" s="202">
        <f t="shared" ca="1" si="13"/>
      </c>
      <c r="AL41" s="460"/>
      <c r="AM41" s="460"/>
      <c r="AN41" s="460"/>
      <c r="AO41" s="460"/>
      <c r="AP41" s="460"/>
      <c r="AQ41" s="460"/>
    </row>
    <row r="42" spans="2:43" s="105" customFormat="1" ht="27" customHeight="1">
      <c r="B42" s="370">
        <f>#REF!</f>
      </c>
      <c r="C42" s="232"/>
      <c r="D42" s="164">
        <f>IF(#REF!&lt;&gt;"",#REF!,IF(#REF!&lt;&gt;"",#REF!,""))</f>
      </c>
      <c r="E42" s="235"/>
      <c r="F42" s="236"/>
      <c r="G42" s="236"/>
      <c r="H42" s="237"/>
      <c r="I42" s="238"/>
      <c r="J42" s="239"/>
      <c r="K42" s="240"/>
      <c r="L42" s="241"/>
      <c r="M42" s="242"/>
      <c r="N42" s="167">
        <f>#REF!</f>
      </c>
      <c r="O42" s="167">
        <f>#REF!</f>
      </c>
      <c r="P42" s="260">
        <f>#REF!</f>
      </c>
      <c r="Q42" s="168">
        <f t="shared" si="9"/>
      </c>
      <c r="R42" s="425">
        <f t="shared" si="10"/>
      </c>
      <c r="S42" s="371">
        <f ca="1">IF($AL$5&lt;=1,0,SUM(OFFSET('rincian '!#REF!,0,0,1,$AL$5-1)))</f>
      </c>
      <c r="T42" s="425">
        <f t="shared" ca="1" si="11"/>
      </c>
      <c r="U42" s="372" cm="1">
        <f t="array" ref="U42">IFERROR(INDEX('rincian '!#REF!,$AL$5),0)</f>
      </c>
      <c r="V42" s="425">
        <f t="shared" si="12"/>
      </c>
      <c r="W42" s="244">
        <f t="shared" ca="1" si="13"/>
      </c>
      <c r="X42" s="202">
        <f t="shared" ca="1" si="13"/>
      </c>
      <c r="AL42" s="460"/>
      <c r="AM42" s="460"/>
      <c r="AN42" s="460"/>
      <c r="AO42" s="460"/>
      <c r="AP42" s="460"/>
      <c r="AQ42" s="460"/>
    </row>
    <row r="43" spans="2:43" s="105" customFormat="1" ht="27" customHeight="1">
      <c r="B43" s="370">
        <f>#REF!</f>
      </c>
      <c r="C43" s="232"/>
      <c r="D43" s="164">
        <f>IF(#REF!&lt;&gt;"",#REF!,IF(#REF!&lt;&gt;"",#REF!,""))</f>
      </c>
      <c r="E43" s="235"/>
      <c r="F43" s="236"/>
      <c r="G43" s="236"/>
      <c r="H43" s="237"/>
      <c r="I43" s="238"/>
      <c r="J43" s="239"/>
      <c r="K43" s="240"/>
      <c r="L43" s="241"/>
      <c r="M43" s="242"/>
      <c r="N43" s="167">
        <f>#REF!</f>
      </c>
      <c r="O43" s="167">
        <f>#REF!</f>
      </c>
      <c r="P43" s="260">
        <f>#REF!</f>
      </c>
      <c r="Q43" s="168">
        <f t="shared" si="9"/>
      </c>
      <c r="R43" s="425">
        <f t="shared" si="10"/>
      </c>
      <c r="S43" s="371">
        <f ca="1">IF($AL$5&lt;=1,0,SUM(OFFSET('rincian '!#REF!,0,0,1,$AL$5-1)))</f>
      </c>
      <c r="T43" s="425">
        <f t="shared" ca="1" si="11"/>
      </c>
      <c r="U43" s="372" cm="1">
        <f t="array" ref="U43">IFERROR(INDEX('rincian '!#REF!,$AL$5),0)</f>
      </c>
      <c r="V43" s="425">
        <f t="shared" si="12"/>
      </c>
      <c r="W43" s="244">
        <f t="shared" ca="1" si="13"/>
      </c>
      <c r="X43" s="202">
        <f t="shared" ca="1" si="13"/>
      </c>
      <c r="AL43" s="460"/>
      <c r="AM43" s="460"/>
      <c r="AN43" s="460"/>
      <c r="AO43" s="460"/>
      <c r="AP43" s="460"/>
      <c r="AQ43" s="460"/>
    </row>
    <row r="44" spans="2:43" s="105" customFormat="1" ht="27" customHeight="1">
      <c r="B44" s="370">
        <f>#REF!</f>
      </c>
      <c r="C44" s="232"/>
      <c r="D44" s="164">
        <f>IF(#REF!&lt;&gt;"",#REF!,IF(#REF!&lt;&gt;"",#REF!,""))</f>
      </c>
      <c r="E44" s="235"/>
      <c r="F44" s="236"/>
      <c r="G44" s="236"/>
      <c r="H44" s="237"/>
      <c r="I44" s="238"/>
      <c r="J44" s="239"/>
      <c r="K44" s="240"/>
      <c r="L44" s="241"/>
      <c r="M44" s="242"/>
      <c r="N44" s="167">
        <f>#REF!</f>
      </c>
      <c r="O44" s="167">
        <f>#REF!</f>
      </c>
      <c r="P44" s="260">
        <f>#REF!</f>
      </c>
      <c r="Q44" s="168">
        <f t="shared" si="9"/>
      </c>
      <c r="R44" s="425">
        <f t="shared" si="10"/>
      </c>
      <c r="S44" s="371">
        <f ca="1">IF($AL$5&lt;=1,0,SUM(OFFSET('rincian '!#REF!,0,0,1,$AL$5-1)))</f>
      </c>
      <c r="T44" s="425">
        <f t="shared" ca="1" si="11"/>
      </c>
      <c r="U44" s="372" cm="1">
        <f t="array" ref="U44">IFERROR(INDEX('rincian '!#REF!,$AL$5),0)</f>
      </c>
      <c r="V44" s="425">
        <f t="shared" si="12"/>
      </c>
      <c r="W44" s="244">
        <f t="shared" ca="1" si="13"/>
      </c>
      <c r="X44" s="202">
        <f t="shared" ca="1" si="13"/>
      </c>
      <c r="AL44" s="460"/>
      <c r="AM44" s="460"/>
      <c r="AN44" s="460"/>
      <c r="AO44" s="460"/>
      <c r="AP44" s="460"/>
      <c r="AQ44" s="460"/>
    </row>
    <row r="45" spans="2:43" s="105" customFormat="1" ht="27" customHeight="1">
      <c r="B45" s="370">
        <f>#REF!</f>
      </c>
      <c r="C45" s="232"/>
      <c r="D45" s="164">
        <f>IF(#REF!&lt;&gt;"",#REF!,IF(#REF!&lt;&gt;"",#REF!,""))</f>
      </c>
      <c r="E45" s="235"/>
      <c r="F45" s="236"/>
      <c r="G45" s="236"/>
      <c r="H45" s="237"/>
      <c r="I45" s="238"/>
      <c r="J45" s="239"/>
      <c r="K45" s="240"/>
      <c r="L45" s="241"/>
      <c r="M45" s="242"/>
      <c r="N45" s="167">
        <f>#REF!</f>
      </c>
      <c r="O45" s="167">
        <f>#REF!</f>
      </c>
      <c r="P45" s="260">
        <f>#REF!</f>
      </c>
      <c r="Q45" s="168">
        <f t="shared" si="9"/>
      </c>
      <c r="R45" s="425">
        <f t="shared" si="10"/>
      </c>
      <c r="S45" s="371">
        <f ca="1">IF($AL$5&lt;=1,0,SUM(OFFSET('rincian '!#REF!,0,0,1,$AL$5-1)))</f>
      </c>
      <c r="T45" s="425">
        <f t="shared" ca="1" si="11"/>
      </c>
      <c r="U45" s="372" cm="1">
        <f t="array" ref="U45">IFERROR(INDEX('rincian '!#REF!,$AL$5),0)</f>
      </c>
      <c r="V45" s="425">
        <f t="shared" si="12"/>
      </c>
      <c r="W45" s="244">
        <f t="shared" ca="1" si="13"/>
      </c>
      <c r="X45" s="202">
        <f t="shared" ca="1" si="13"/>
      </c>
      <c r="AL45" s="460"/>
      <c r="AM45" s="460"/>
      <c r="AN45" s="460"/>
      <c r="AO45" s="460"/>
      <c r="AP45" s="460"/>
      <c r="AQ45" s="460"/>
    </row>
    <row r="46" spans="2:43" s="105" customFormat="1" ht="27" customHeight="1">
      <c r="B46" s="370">
        <f>#REF!</f>
      </c>
      <c r="C46" s="232"/>
      <c r="D46" s="164">
        <f>IF(#REF!&lt;&gt;"",#REF!,IF(#REF!&lt;&gt;"",#REF!,""))</f>
      </c>
      <c r="E46" s="235"/>
      <c r="F46" s="236"/>
      <c r="G46" s="236"/>
      <c r="H46" s="237"/>
      <c r="I46" s="238"/>
      <c r="J46" s="239"/>
      <c r="K46" s="240"/>
      <c r="L46" s="241"/>
      <c r="M46" s="242"/>
      <c r="N46" s="167">
        <f>#REF!</f>
      </c>
      <c r="O46" s="167">
        <f>#REF!</f>
      </c>
      <c r="P46" s="260">
        <f>#REF!</f>
      </c>
      <c r="Q46" s="168">
        <f t="shared" si="9"/>
      </c>
      <c r="R46" s="425">
        <f t="shared" si="10"/>
      </c>
      <c r="S46" s="371">
        <f ca="1">IF($AL$5&lt;=1,0,SUM(OFFSET('rincian '!#REF!,0,0,1,$AL$5-1)))</f>
      </c>
      <c r="T46" s="425">
        <f t="shared" ca="1" si="11"/>
      </c>
      <c r="U46" s="372" cm="1">
        <f t="array" ref="U46">IFERROR(INDEX('rincian '!#REF!,$AL$5),0)</f>
      </c>
      <c r="V46" s="425">
        <f t="shared" si="12"/>
      </c>
      <c r="W46" s="244">
        <f t="shared" ca="1" si="13"/>
      </c>
      <c r="X46" s="202">
        <f t="shared" ca="1" si="13"/>
      </c>
      <c r="AL46" s="460"/>
      <c r="AM46" s="460"/>
      <c r="AN46" s="460"/>
      <c r="AO46" s="460"/>
      <c r="AP46" s="460"/>
      <c r="AQ46" s="460"/>
    </row>
    <row r="47" spans="2:43" s="105" customFormat="1" ht="27" customHeight="1">
      <c r="B47" s="370">
        <f>#REF!</f>
      </c>
      <c r="C47" s="232"/>
      <c r="D47" s="164">
        <f>IF(#REF!&lt;&gt;"",#REF!,IF(#REF!&lt;&gt;"",#REF!,""))</f>
      </c>
      <c r="E47" s="235"/>
      <c r="F47" s="236"/>
      <c r="G47" s="236"/>
      <c r="H47" s="237"/>
      <c r="I47" s="238"/>
      <c r="J47" s="239"/>
      <c r="K47" s="240"/>
      <c r="L47" s="241"/>
      <c r="M47" s="242"/>
      <c r="N47" s="167">
        <f>#REF!</f>
      </c>
      <c r="O47" s="167">
        <f>#REF!</f>
      </c>
      <c r="P47" s="260">
        <f>#REF!</f>
      </c>
      <c r="Q47" s="168">
        <f t="shared" si="9"/>
      </c>
      <c r="R47" s="425">
        <f t="shared" si="10"/>
      </c>
      <c r="S47" s="371">
        <f ca="1">IF($AL$5&lt;=1,0,SUM(OFFSET('rincian '!#REF!,0,0,1,$AL$5-1)))</f>
      </c>
      <c r="T47" s="425">
        <f t="shared" ca="1" si="11"/>
      </c>
      <c r="U47" s="372" cm="1">
        <f t="array" ref="U47">IFERROR(INDEX('rincian '!#REF!,$AL$5),0)</f>
      </c>
      <c r="V47" s="425">
        <f t="shared" si="12"/>
      </c>
      <c r="W47" s="244">
        <f t="shared" ca="1" si="13"/>
      </c>
      <c r="X47" s="202">
        <f t="shared" ca="1" si="13"/>
      </c>
      <c r="AL47" s="460"/>
      <c r="AM47" s="460"/>
      <c r="AN47" s="460"/>
      <c r="AO47" s="460"/>
      <c r="AP47" s="460"/>
      <c r="AQ47" s="460"/>
    </row>
    <row r="48" spans="2:43" s="105" customFormat="1" ht="27" customHeight="1">
      <c r="B48" s="370">
        <f>#REF!</f>
      </c>
      <c r="C48" s="232"/>
      <c r="D48" s="164">
        <f>IF(#REF!&lt;&gt;"",#REF!,IF(#REF!&lt;&gt;"",#REF!,""))</f>
      </c>
      <c r="E48" s="235"/>
      <c r="F48" s="236"/>
      <c r="G48" s="236"/>
      <c r="H48" s="237"/>
      <c r="I48" s="238"/>
      <c r="J48" s="239"/>
      <c r="K48" s="240"/>
      <c r="L48" s="241"/>
      <c r="M48" s="242"/>
      <c r="N48" s="167">
        <f>#REF!</f>
      </c>
      <c r="O48" s="167">
        <f>#REF!</f>
      </c>
      <c r="P48" s="260">
        <f>#REF!</f>
      </c>
      <c r="Q48" s="168">
        <f t="shared" si="9"/>
      </c>
      <c r="R48" s="425">
        <f t="shared" si="10"/>
      </c>
      <c r="S48" s="371">
        <f ca="1">IF($AL$5&lt;=1,0,SUM(OFFSET('rincian '!#REF!,0,0,1,$AL$5-1)))</f>
      </c>
      <c r="T48" s="425">
        <f t="shared" ca="1" si="11"/>
      </c>
      <c r="U48" s="372" cm="1">
        <f t="array" ref="U48">IFERROR(INDEX('rincian '!#REF!,$AL$5),0)</f>
      </c>
      <c r="V48" s="425">
        <f t="shared" si="12"/>
      </c>
      <c r="W48" s="244">
        <f t="shared" ca="1" si="13"/>
      </c>
      <c r="X48" s="202">
        <f t="shared" ca="1" si="13"/>
      </c>
      <c r="AL48" s="460"/>
      <c r="AM48" s="460"/>
      <c r="AN48" s="460"/>
      <c r="AO48" s="460"/>
      <c r="AP48" s="460"/>
      <c r="AQ48" s="460"/>
    </row>
    <row r="49" spans="2:43" s="105" customFormat="1" ht="27" customHeight="1">
      <c r="B49" s="370">
        <f>#REF!</f>
      </c>
      <c r="C49" s="232"/>
      <c r="D49" s="164">
        <f>IF(#REF!&lt;&gt;"",#REF!,IF(#REF!&lt;&gt;"",#REF!,""))</f>
      </c>
      <c r="E49" s="235"/>
      <c r="F49" s="236"/>
      <c r="G49" s="236"/>
      <c r="H49" s="237"/>
      <c r="I49" s="238"/>
      <c r="J49" s="239"/>
      <c r="K49" s="240"/>
      <c r="L49" s="241"/>
      <c r="M49" s="242"/>
      <c r="N49" s="167">
        <f>#REF!</f>
      </c>
      <c r="O49" s="167">
        <f>#REF!</f>
      </c>
      <c r="P49" s="260">
        <f>#REF!</f>
      </c>
      <c r="Q49" s="168">
        <f t="shared" si="9"/>
      </c>
      <c r="R49" s="425">
        <f t="shared" si="10"/>
      </c>
      <c r="S49" s="371">
        <f ca="1">IF($AL$5&lt;=1,0,SUM(OFFSET('rincian '!#REF!,0,0,1,$AL$5-1)))</f>
      </c>
      <c r="T49" s="425">
        <f t="shared" ca="1" si="11"/>
      </c>
      <c r="U49" s="372" cm="1">
        <f t="array" ref="U49">IFERROR(INDEX('rincian '!#REF!,$AL$5),0)</f>
      </c>
      <c r="V49" s="425">
        <f t="shared" si="12"/>
      </c>
      <c r="W49" s="244">
        <f t="shared" ca="1" si="13"/>
      </c>
      <c r="X49" s="202">
        <f t="shared" ca="1" si="13"/>
      </c>
      <c r="AL49" s="460"/>
      <c r="AM49" s="460"/>
      <c r="AN49" s="460"/>
      <c r="AO49" s="460"/>
      <c r="AP49" s="460"/>
      <c r="AQ49" s="460"/>
    </row>
    <row r="50" spans="2:43" s="105" customFormat="1" ht="27" customHeight="1">
      <c r="B50" s="370">
        <f>#REF!</f>
      </c>
      <c r="C50" s="232"/>
      <c r="D50" s="164">
        <f>IF(#REF!&lt;&gt;"",#REF!,IF(#REF!&lt;&gt;"",#REF!,""))</f>
      </c>
      <c r="E50" s="235"/>
      <c r="F50" s="236"/>
      <c r="G50" s="236"/>
      <c r="H50" s="237"/>
      <c r="I50" s="238"/>
      <c r="J50" s="239"/>
      <c r="K50" s="240"/>
      <c r="L50" s="241"/>
      <c r="M50" s="242"/>
      <c r="N50" s="167">
        <f>#REF!</f>
      </c>
      <c r="O50" s="167">
        <f>#REF!</f>
      </c>
      <c r="P50" s="260">
        <f>#REF!</f>
      </c>
      <c r="Q50" s="168">
        <f t="shared" si="9"/>
      </c>
      <c r="R50" s="425">
        <f t="shared" si="10"/>
      </c>
      <c r="S50" s="371">
        <f ca="1">IF($AL$5&lt;=1,0,SUM(OFFSET('rincian '!#REF!,0,0,1,$AL$5-1)))</f>
      </c>
      <c r="T50" s="425">
        <f t="shared" ca="1" si="11"/>
      </c>
      <c r="U50" s="372" cm="1">
        <f t="array" ref="U50">IFERROR(INDEX('rincian '!#REF!,$AL$5),0)</f>
      </c>
      <c r="V50" s="425">
        <f t="shared" si="12"/>
      </c>
      <c r="W50" s="244">
        <f t="shared" ca="1" si="13"/>
      </c>
      <c r="X50" s="202">
        <f t="shared" ca="1" si="13"/>
      </c>
      <c r="AL50" s="460"/>
      <c r="AM50" s="460"/>
      <c r="AN50" s="460"/>
      <c r="AO50" s="460"/>
      <c r="AP50" s="460"/>
      <c r="AQ50" s="460"/>
    </row>
    <row r="51" spans="2:43" s="105" customFormat="1" ht="27" customHeight="1">
      <c r="B51" s="370">
        <f>#REF!</f>
      </c>
      <c r="C51" s="232"/>
      <c r="D51" s="164">
        <f>IF(#REF!&lt;&gt;"",#REF!,IF(#REF!&lt;&gt;"",#REF!,""))</f>
      </c>
      <c r="E51" s="235"/>
      <c r="F51" s="236"/>
      <c r="G51" s="236"/>
      <c r="H51" s="237"/>
      <c r="I51" s="238"/>
      <c r="J51" s="239"/>
      <c r="K51" s="240"/>
      <c r="L51" s="241"/>
      <c r="M51" s="242"/>
      <c r="N51" s="167">
        <f>#REF!</f>
      </c>
      <c r="O51" s="167">
        <f>#REF!</f>
      </c>
      <c r="P51" s="260">
        <f>#REF!</f>
      </c>
      <c r="Q51" s="168">
        <f t="shared" si="9"/>
      </c>
      <c r="R51" s="425">
        <f t="shared" si="10"/>
      </c>
      <c r="S51" s="371">
        <f ca="1">IF($AL$5&lt;=1,0,SUM(OFFSET('rincian '!#REF!,0,0,1,$AL$5-1)))</f>
      </c>
      <c r="T51" s="425">
        <f t="shared" ca="1" si="11"/>
      </c>
      <c r="U51" s="372" cm="1">
        <f t="array" ref="U51">IFERROR(INDEX('rincian '!#REF!,$AL$5),0)</f>
      </c>
      <c r="V51" s="425">
        <f t="shared" si="12"/>
      </c>
      <c r="W51" s="244">
        <f t="shared" ca="1" si="13"/>
      </c>
      <c r="X51" s="202">
        <f t="shared" ca="1" si="13"/>
      </c>
      <c r="AL51" s="460"/>
      <c r="AM51" s="460"/>
      <c r="AN51" s="460"/>
      <c r="AO51" s="460"/>
      <c r="AP51" s="460"/>
      <c r="AQ51" s="460"/>
    </row>
    <row r="52" spans="2:43" s="105" customFormat="1" ht="27" customHeight="1">
      <c r="B52" s="370">
        <f>#REF!</f>
      </c>
      <c r="C52" s="232"/>
      <c r="D52" s="164">
        <f>IF(#REF!&lt;&gt;"",#REF!,IF(#REF!&lt;&gt;"",#REF!,""))</f>
      </c>
      <c r="E52" s="235"/>
      <c r="F52" s="236"/>
      <c r="G52" s="236"/>
      <c r="H52" s="237"/>
      <c r="I52" s="238"/>
      <c r="J52" s="239"/>
      <c r="K52" s="240"/>
      <c r="L52" s="241"/>
      <c r="M52" s="242"/>
      <c r="N52" s="167">
        <f>#REF!</f>
      </c>
      <c r="O52" s="167">
        <f>#REF!</f>
      </c>
      <c r="P52" s="260">
        <f>#REF!</f>
      </c>
      <c r="Q52" s="168">
        <f t="shared" si="9"/>
      </c>
      <c r="R52" s="425">
        <f t="shared" si="10"/>
      </c>
      <c r="S52" s="371">
        <f ca="1">IF($AL$5&lt;=1,0,SUM(OFFSET('rincian '!#REF!,0,0,1,$AL$5-1)))</f>
      </c>
      <c r="T52" s="425">
        <f t="shared" ca="1" si="11"/>
      </c>
      <c r="U52" s="372" cm="1">
        <f t="array" ref="U52">IFERROR(INDEX('rincian '!#REF!,$AL$5),0)</f>
      </c>
      <c r="V52" s="425">
        <f t="shared" si="12"/>
      </c>
      <c r="W52" s="244">
        <f t="shared" ca="1" si="13"/>
      </c>
      <c r="X52" s="202">
        <f t="shared" ca="1" si="13"/>
      </c>
      <c r="AL52" s="460"/>
      <c r="AM52" s="460"/>
      <c r="AN52" s="460"/>
      <c r="AO52" s="460"/>
      <c r="AP52" s="460"/>
      <c r="AQ52" s="460"/>
    </row>
    <row r="53" spans="2:43" s="105" customFormat="1" ht="27" customHeight="1">
      <c r="B53" s="370">
        <f>#REF!</f>
      </c>
      <c r="C53" s="232"/>
      <c r="D53" s="164">
        <f>IF(#REF!&lt;&gt;"",#REF!,IF(#REF!&lt;&gt;"",#REF!,""))</f>
      </c>
      <c r="E53" s="235"/>
      <c r="F53" s="236"/>
      <c r="G53" s="236"/>
      <c r="H53" s="237"/>
      <c r="I53" s="238"/>
      <c r="J53" s="239"/>
      <c r="K53" s="240"/>
      <c r="L53" s="241"/>
      <c r="M53" s="242"/>
      <c r="N53" s="167">
        <f>#REF!</f>
      </c>
      <c r="O53" s="167">
        <f>#REF!</f>
      </c>
      <c r="P53" s="260">
        <f>#REF!</f>
      </c>
      <c r="Q53" s="168">
        <f t="shared" si="9"/>
      </c>
      <c r="R53" s="425">
        <f t="shared" si="10"/>
      </c>
      <c r="S53" s="371">
        <f ca="1">IF($AL$5&lt;=1,0,SUM(OFFSET('rincian '!#REF!,0,0,1,$AL$5-1)))</f>
      </c>
      <c r="T53" s="425">
        <f t="shared" ca="1" si="11"/>
      </c>
      <c r="U53" s="372" cm="1">
        <f t="array" ref="U53">IFERROR(INDEX('rincian '!#REF!,$AL$5),0)</f>
      </c>
      <c r="V53" s="425">
        <f t="shared" si="12"/>
      </c>
      <c r="W53" s="244">
        <f t="shared" ca="1" si="13"/>
      </c>
      <c r="X53" s="202">
        <f t="shared" ca="1" si="13"/>
      </c>
      <c r="AL53" s="460"/>
      <c r="AM53" s="460"/>
      <c r="AN53" s="460"/>
      <c r="AO53" s="460"/>
      <c r="AP53" s="460"/>
      <c r="AQ53" s="460"/>
    </row>
    <row r="54" spans="2:43" s="105" customFormat="1" ht="27" customHeight="1">
      <c r="B54" s="402">
        <f>#REF!</f>
      </c>
      <c r="C54" s="384"/>
      <c r="D54" s="385">
        <f>IF(#REF!&lt;&gt;"",#REF!,IF(#REF!&lt;&gt;"",#REF!,""))</f>
      </c>
      <c r="E54" s="386"/>
      <c r="F54" s="387"/>
      <c r="G54" s="387"/>
      <c r="H54" s="388"/>
      <c r="I54" s="389"/>
      <c r="J54" s="390"/>
      <c r="K54" s="391"/>
      <c r="L54" s="392"/>
      <c r="M54" s="393"/>
      <c r="N54" s="394"/>
      <c r="O54" s="394"/>
      <c r="P54" s="395"/>
      <c r="Q54" s="396"/>
      <c r="R54" s="426"/>
      <c r="S54" s="403"/>
      <c r="T54" s="426"/>
      <c r="U54" s="403"/>
      <c r="V54" s="426"/>
      <c r="W54" s="399"/>
      <c r="X54" s="400"/>
      <c r="AL54" s="460"/>
      <c r="AM54" s="460"/>
      <c r="AN54" s="460"/>
      <c r="AO54" s="460"/>
      <c r="AP54" s="460"/>
      <c r="AQ54" s="460"/>
    </row>
    <row r="55" spans="2:43" s="105" customFormat="1" ht="27" customHeight="1">
      <c r="B55" s="401">
        <f>#REF!</f>
      </c>
      <c r="C55" s="373"/>
      <c r="D55" s="374">
        <f>IF(#REF!&lt;&gt;"",#REF!,IF(#REF!&lt;&gt;"",#REF!,""))</f>
      </c>
      <c r="E55" s="375"/>
      <c r="F55" s="376"/>
      <c r="G55" s="376"/>
      <c r="H55" s="377"/>
      <c r="I55" s="378"/>
      <c r="J55" s="379"/>
      <c r="K55" s="380"/>
      <c r="L55" s="381"/>
      <c r="M55" s="382"/>
      <c r="N55" s="167"/>
      <c r="O55" s="167"/>
      <c r="P55" s="260"/>
      <c r="Q55" s="168"/>
      <c r="R55" s="425"/>
      <c r="S55" s="371"/>
      <c r="T55" s="425"/>
      <c r="U55" s="372"/>
      <c r="V55" s="425"/>
      <c r="W55" s="244"/>
      <c r="X55" s="202"/>
      <c r="AL55" s="460"/>
      <c r="AM55" s="460"/>
      <c r="AN55" s="460"/>
      <c r="AO55" s="460"/>
      <c r="AP55" s="460"/>
      <c r="AQ55" s="460"/>
    </row>
    <row r="56" spans="2:43" s="105" customFormat="1" ht="27" customHeight="1">
      <c r="B56" s="401">
        <f>#REF!</f>
      </c>
      <c r="C56" s="373"/>
      <c r="D56" s="374">
        <f>IF(#REF!&lt;&gt;"",#REF!,IF(#REF!&lt;&gt;"",#REF!,""))</f>
      </c>
      <c r="E56" s="375"/>
      <c r="F56" s="376"/>
      <c r="G56" s="376"/>
      <c r="H56" s="377"/>
      <c r="I56" s="378"/>
      <c r="J56" s="379"/>
      <c r="K56" s="380"/>
      <c r="L56" s="381"/>
      <c r="M56" s="382"/>
      <c r="N56" s="167"/>
      <c r="O56" s="167"/>
      <c r="P56" s="260"/>
      <c r="Q56" s="168"/>
      <c r="R56" s="425"/>
      <c r="S56" s="371"/>
      <c r="T56" s="425"/>
      <c r="U56" s="372"/>
      <c r="V56" s="425"/>
      <c r="W56" s="244"/>
      <c r="X56" s="202"/>
      <c r="AL56" s="460"/>
      <c r="AM56" s="460"/>
      <c r="AN56" s="460"/>
      <c r="AO56" s="460"/>
      <c r="AP56" s="460"/>
      <c r="AQ56" s="460"/>
    </row>
    <row r="57" spans="2:43" s="105" customFormat="1" ht="27" customHeight="1">
      <c r="B57" s="370">
        <f>#REF!</f>
      </c>
      <c r="C57" s="232"/>
      <c r="D57" s="164">
        <f>IF(#REF!&lt;&gt;"",#REF!,IF(#REF!&lt;&gt;"",#REF!,""))</f>
      </c>
      <c r="E57" s="235"/>
      <c r="F57" s="236"/>
      <c r="G57" s="236"/>
      <c r="H57" s="237"/>
      <c r="I57" s="238"/>
      <c r="J57" s="239"/>
      <c r="K57" s="240"/>
      <c r="L57" s="241"/>
      <c r="M57" s="242"/>
      <c r="N57" s="167">
        <f>#REF!</f>
      </c>
      <c r="O57" s="167">
        <f>#REF!</f>
      </c>
      <c r="P57" s="260">
        <f>#REF!</f>
      </c>
      <c r="Q57" s="168">
        <f>P57*N57</f>
      </c>
      <c r="R57" s="425">
        <f>IFERROR(Q57/$Q$166,0)</f>
      </c>
      <c r="S57" s="371">
        <f ca="1">IF($AL$5&lt;=1,0,SUM(OFFSET('rincian '!#REF!,0,0,1,$AL$5-1)))</f>
      </c>
      <c r="T57" s="425">
        <f ca="1">IFERROR(S57/N57*R57,0)</f>
      </c>
      <c r="U57" s="372" cm="1">
        <f t="array" ref="U57">IFERROR(INDEX('rincian '!#REF!,$AL$5),0)</f>
      </c>
      <c r="V57" s="425">
        <f>IFERROR(U57/N57*R57,0)</f>
      </c>
      <c r="W57" s="244">
        <f t="shared" ref="W57:X60" ca="1" si="14">S57+U57</f>
      </c>
      <c r="X57" s="202">
        <f t="shared" ca="1" si="14"/>
      </c>
      <c r="AL57" s="460"/>
      <c r="AM57" s="460"/>
      <c r="AN57" s="460"/>
      <c r="AO57" s="460"/>
      <c r="AP57" s="460"/>
      <c r="AQ57" s="460"/>
    </row>
    <row r="58" spans="2:43" s="105" customFormat="1" ht="40.049999999999997" customHeight="1">
      <c r="B58" s="370">
        <f>#REF!</f>
      </c>
      <c r="C58" s="232"/>
      <c r="D58" s="704">
        <f>IF(#REF!&lt;&gt;"",#REF!,IF(#REF!&lt;&gt;"",#REF!,""))</f>
      </c>
      <c r="E58" s="704"/>
      <c r="F58" s="704"/>
      <c r="G58" s="704"/>
      <c r="H58" s="704"/>
      <c r="I58" s="704"/>
      <c r="J58" s="704"/>
      <c r="K58" s="704"/>
      <c r="L58" s="704"/>
      <c r="M58" s="705"/>
      <c r="N58" s="167">
        <f>#REF!</f>
      </c>
      <c r="O58" s="167">
        <f>#REF!</f>
      </c>
      <c r="P58" s="260">
        <f>#REF!</f>
      </c>
      <c r="Q58" s="168">
        <f>P58*N58</f>
      </c>
      <c r="R58" s="425">
        <f>IFERROR(Q58/$Q$166,0)</f>
      </c>
      <c r="S58" s="371">
        <f ca="1">IF($AL$5&lt;=1,0,SUM(OFFSET('rincian '!#REF!,0,0,1,$AL$5-1)))</f>
      </c>
      <c r="T58" s="425">
        <f ca="1">IFERROR(S58/N58*R58,0)</f>
      </c>
      <c r="U58" s="372" cm="1">
        <f t="array" ref="U58">IFERROR(INDEX('rincian '!#REF!,$AL$5),0)</f>
      </c>
      <c r="V58" s="425">
        <f>IFERROR(U58/N58*R58,0)</f>
      </c>
      <c r="W58" s="244">
        <f t="shared" ca="1" si="14"/>
      </c>
      <c r="X58" s="202">
        <f t="shared" ca="1" si="14"/>
      </c>
      <c r="AL58" s="460"/>
      <c r="AM58" s="460"/>
      <c r="AN58" s="460"/>
      <c r="AO58" s="460"/>
      <c r="AP58" s="460"/>
      <c r="AQ58" s="460"/>
    </row>
    <row r="59" spans="2:43" s="105" customFormat="1" ht="40.049999999999997" customHeight="1">
      <c r="B59" s="370">
        <f>#REF!</f>
      </c>
      <c r="C59" s="232"/>
      <c r="D59" s="704">
        <f>IF(#REF!&lt;&gt;"",#REF!,IF(#REF!&lt;&gt;"",#REF!,""))</f>
      </c>
      <c r="E59" s="704"/>
      <c r="F59" s="704"/>
      <c r="G59" s="704"/>
      <c r="H59" s="704"/>
      <c r="I59" s="704"/>
      <c r="J59" s="704"/>
      <c r="K59" s="704"/>
      <c r="L59" s="704"/>
      <c r="M59" s="705"/>
      <c r="N59" s="167">
        <f>#REF!</f>
      </c>
      <c r="O59" s="167">
        <f>#REF!</f>
      </c>
      <c r="P59" s="260">
        <f>#REF!</f>
      </c>
      <c r="Q59" s="168">
        <f>P59*N59</f>
      </c>
      <c r="R59" s="425">
        <f>IFERROR(Q59/$Q$166,0)</f>
      </c>
      <c r="S59" s="371">
        <f ca="1">IF($AL$5&lt;=1,0,SUM(OFFSET('rincian '!#REF!,0,0,1,$AL$5-1)))</f>
      </c>
      <c r="T59" s="425">
        <f ca="1">IFERROR(S59/N59*R59,0)</f>
      </c>
      <c r="U59" s="372" cm="1">
        <f t="array" ref="U59">IFERROR(INDEX('rincian '!#REF!,$AL$5),0)</f>
      </c>
      <c r="V59" s="425">
        <f>IFERROR(U59/N59*R59,0)</f>
      </c>
      <c r="W59" s="244">
        <f t="shared" ca="1" si="14"/>
      </c>
      <c r="X59" s="202">
        <f t="shared" ca="1" si="14"/>
      </c>
      <c r="AL59" s="460"/>
      <c r="AM59" s="460"/>
      <c r="AN59" s="460"/>
      <c r="AO59" s="460"/>
      <c r="AP59" s="460"/>
      <c r="AQ59" s="460"/>
    </row>
    <row r="60" spans="2:43" s="105" customFormat="1" ht="40.049999999999997" customHeight="1">
      <c r="B60" s="370">
        <f>#REF!</f>
      </c>
      <c r="C60" s="232"/>
      <c r="D60" s="704">
        <f>IF(#REF!&lt;&gt;"",#REF!,IF(#REF!&lt;&gt;"",#REF!,""))</f>
      </c>
      <c r="E60" s="704"/>
      <c r="F60" s="704"/>
      <c r="G60" s="704"/>
      <c r="H60" s="704"/>
      <c r="I60" s="704"/>
      <c r="J60" s="704"/>
      <c r="K60" s="704"/>
      <c r="L60" s="704"/>
      <c r="M60" s="705"/>
      <c r="N60" s="167">
        <f>#REF!</f>
      </c>
      <c r="O60" s="167">
        <f>#REF!</f>
      </c>
      <c r="P60" s="260">
        <f>#REF!</f>
      </c>
      <c r="Q60" s="168">
        <f>P60*N60</f>
      </c>
      <c r="R60" s="425">
        <f>IFERROR(Q60/$Q$166,0)</f>
      </c>
      <c r="S60" s="371">
        <f ca="1">IF($AL$5&lt;=1,0,SUM(OFFSET('rincian '!#REF!,0,0,1,$AL$5-1)))</f>
      </c>
      <c r="T60" s="425">
        <f ca="1">IFERROR(S60/N60*R60,0)</f>
      </c>
      <c r="U60" s="372" cm="1">
        <f t="array" ref="U60">IFERROR(INDEX('rincian '!#REF!,$AL$5),0)</f>
      </c>
      <c r="V60" s="425">
        <f>IFERROR(U60/N60*R60,0)</f>
      </c>
      <c r="W60" s="244">
        <f t="shared" ca="1" si="14"/>
      </c>
      <c r="X60" s="202">
        <f t="shared" ca="1" si="14"/>
      </c>
      <c r="AL60" s="460"/>
      <c r="AM60" s="460"/>
      <c r="AN60" s="460"/>
      <c r="AO60" s="460"/>
      <c r="AP60" s="460"/>
      <c r="AQ60" s="460"/>
    </row>
    <row r="61" spans="2:43" s="105" customFormat="1" ht="27" customHeight="1">
      <c r="B61" s="401">
        <f>#REF!</f>
      </c>
      <c r="C61" s="373"/>
      <c r="D61" s="374">
        <f>IF(#REF!&lt;&gt;"",#REF!,IF(#REF!&lt;&gt;"",#REF!,""))</f>
      </c>
      <c r="E61" s="375"/>
      <c r="F61" s="376"/>
      <c r="G61" s="376"/>
      <c r="H61" s="377"/>
      <c r="I61" s="378"/>
      <c r="J61" s="379"/>
      <c r="K61" s="380"/>
      <c r="L61" s="381"/>
      <c r="M61" s="382"/>
      <c r="N61" s="167"/>
      <c r="O61" s="167"/>
      <c r="P61" s="260"/>
      <c r="Q61" s="168"/>
      <c r="R61" s="425"/>
      <c r="S61" s="371"/>
      <c r="T61" s="425"/>
      <c r="U61" s="372"/>
      <c r="V61" s="425"/>
      <c r="W61" s="244"/>
      <c r="X61" s="202"/>
      <c r="AL61" s="460"/>
      <c r="AM61" s="460"/>
      <c r="AN61" s="460"/>
      <c r="AO61" s="460"/>
      <c r="AP61" s="460"/>
      <c r="AQ61" s="460"/>
    </row>
    <row r="62" spans="2:43" s="105" customFormat="1" ht="27" customHeight="1">
      <c r="B62" s="370">
        <f>#REF!</f>
      </c>
      <c r="C62" s="232"/>
      <c r="D62" s="164">
        <f>IF(#REF!&lt;&gt;"",#REF!,IF(#REF!&lt;&gt;"",#REF!,""))</f>
      </c>
      <c r="E62" s="235"/>
      <c r="F62" s="236"/>
      <c r="G62" s="236"/>
      <c r="H62" s="237"/>
      <c r="I62" s="238"/>
      <c r="J62" s="239"/>
      <c r="K62" s="240"/>
      <c r="L62" s="241"/>
      <c r="M62" s="242"/>
      <c r="N62" s="167">
        <f>#REF!</f>
      </c>
      <c r="O62" s="167">
        <f>#REF!</f>
      </c>
      <c r="P62" s="260">
        <f>#REF!</f>
      </c>
      <c r="Q62" s="168">
        <f>P62*N62</f>
      </c>
      <c r="R62" s="425">
        <f>IFERROR(Q62/$Q$166,0)</f>
      </c>
      <c r="S62" s="371">
        <f ca="1">IF($AL$5&lt;=1,0,SUM(OFFSET('rincian '!#REF!,0,0,1,$AL$5-1)))</f>
      </c>
      <c r="T62" s="425">
        <f ca="1">IFERROR(S62/N62*R62,0)</f>
      </c>
      <c r="U62" s="372" cm="1">
        <f t="array" ref="U62">IFERROR(INDEX('rincian '!#REF!,$AL$5),0)</f>
      </c>
      <c r="V62" s="425">
        <f>IFERROR(U62/N62*R62,0)</f>
      </c>
      <c r="W62" s="244">
        <f t="shared" ref="W62:X66" ca="1" si="15">S62+U62</f>
      </c>
      <c r="X62" s="202">
        <f t="shared" ca="1" si="15"/>
      </c>
      <c r="AL62" s="460"/>
      <c r="AM62" s="460"/>
      <c r="AN62" s="460"/>
      <c r="AO62" s="460"/>
      <c r="AP62" s="460"/>
      <c r="AQ62" s="460"/>
    </row>
    <row r="63" spans="2:43" s="105" customFormat="1" ht="27" customHeight="1">
      <c r="B63" s="370">
        <f>#REF!</f>
      </c>
      <c r="C63" s="232"/>
      <c r="D63" s="164">
        <f>IF(#REF!&lt;&gt;"",#REF!,IF(#REF!&lt;&gt;"",#REF!,""))</f>
      </c>
      <c r="E63" s="235"/>
      <c r="F63" s="236"/>
      <c r="G63" s="236"/>
      <c r="H63" s="237"/>
      <c r="I63" s="238"/>
      <c r="J63" s="239"/>
      <c r="K63" s="240"/>
      <c r="L63" s="241"/>
      <c r="M63" s="242"/>
      <c r="N63" s="167">
        <f>#REF!</f>
      </c>
      <c r="O63" s="167">
        <f>#REF!</f>
      </c>
      <c r="P63" s="260">
        <f>#REF!</f>
      </c>
      <c r="Q63" s="168">
        <f>P63*N63</f>
      </c>
      <c r="R63" s="425">
        <f>IFERROR(Q63/$Q$166,0)</f>
      </c>
      <c r="S63" s="371">
        <f ca="1">IF($AL$5&lt;=1,0,SUM(OFFSET('rincian '!#REF!,0,0,1,$AL$5-1)))</f>
      </c>
      <c r="T63" s="425">
        <f ca="1">IFERROR(S63/N63*R63,0)</f>
      </c>
      <c r="U63" s="372" cm="1">
        <f t="array" ref="U63">IFERROR(INDEX('rincian '!#REF!,$AL$5),0)</f>
      </c>
      <c r="V63" s="425">
        <f>IFERROR(U63/N63*R63,0)</f>
      </c>
      <c r="W63" s="244">
        <f t="shared" ca="1" si="15"/>
      </c>
      <c r="X63" s="202">
        <f t="shared" ca="1" si="15"/>
      </c>
      <c r="AL63" s="460"/>
      <c r="AM63" s="460"/>
      <c r="AN63" s="460"/>
      <c r="AO63" s="460"/>
      <c r="AP63" s="460"/>
      <c r="AQ63" s="460"/>
    </row>
    <row r="64" spans="2:43" s="105" customFormat="1" ht="27" customHeight="1">
      <c r="B64" s="370">
        <f>#REF!</f>
      </c>
      <c r="C64" s="232"/>
      <c r="D64" s="164">
        <f>IF(#REF!&lt;&gt;"",#REF!,IF(#REF!&lt;&gt;"",#REF!,""))</f>
      </c>
      <c r="E64" s="235"/>
      <c r="F64" s="236"/>
      <c r="G64" s="236"/>
      <c r="H64" s="237"/>
      <c r="I64" s="238"/>
      <c r="J64" s="239"/>
      <c r="K64" s="240"/>
      <c r="L64" s="241"/>
      <c r="M64" s="242"/>
      <c r="N64" s="167">
        <f>#REF!</f>
      </c>
      <c r="O64" s="167">
        <f>#REF!</f>
      </c>
      <c r="P64" s="260">
        <f>#REF!</f>
      </c>
      <c r="Q64" s="168">
        <f>P64*N64</f>
      </c>
      <c r="R64" s="425">
        <f>IFERROR(Q64/$Q$166,0)</f>
      </c>
      <c r="S64" s="371">
        <f ca="1">IF($AL$5&lt;=1,0,SUM(OFFSET('rincian '!#REF!,0,0,1,$AL$5-1)))</f>
      </c>
      <c r="T64" s="425">
        <f ca="1">IFERROR(S64/N64*R64,0)</f>
      </c>
      <c r="U64" s="372" cm="1">
        <f t="array" ref="U64">IFERROR(INDEX('rincian '!#REF!,$AL$5),0)</f>
      </c>
      <c r="V64" s="425">
        <f>IFERROR(U64/N64*R64,0)</f>
      </c>
      <c r="W64" s="244">
        <f t="shared" ca="1" si="15"/>
      </c>
      <c r="X64" s="202">
        <f t="shared" ca="1" si="15"/>
      </c>
      <c r="AL64" s="460"/>
      <c r="AM64" s="460"/>
      <c r="AN64" s="460"/>
      <c r="AO64" s="460"/>
      <c r="AP64" s="460"/>
      <c r="AQ64" s="460"/>
    </row>
    <row r="65" spans="2:43" s="105" customFormat="1" ht="27" customHeight="1">
      <c r="B65" s="370">
        <f>#REF!</f>
      </c>
      <c r="C65" s="232"/>
      <c r="D65" s="164">
        <f>IF(#REF!&lt;&gt;"",#REF!,IF(#REF!&lt;&gt;"",#REF!,""))</f>
      </c>
      <c r="E65" s="235"/>
      <c r="F65" s="236"/>
      <c r="G65" s="236"/>
      <c r="H65" s="237"/>
      <c r="I65" s="238"/>
      <c r="J65" s="239"/>
      <c r="K65" s="240"/>
      <c r="L65" s="241"/>
      <c r="M65" s="242"/>
      <c r="N65" s="167">
        <f>#REF!</f>
      </c>
      <c r="O65" s="167">
        <f>#REF!</f>
      </c>
      <c r="P65" s="260">
        <f>#REF!</f>
      </c>
      <c r="Q65" s="168">
        <f>P65*N65</f>
      </c>
      <c r="R65" s="425">
        <f>IFERROR(Q65/$Q$166,0)</f>
      </c>
      <c r="S65" s="371">
        <f ca="1">IF($AL$5&lt;=1,0,SUM(OFFSET('rincian '!#REF!,0,0,1,$AL$5-1)))</f>
      </c>
      <c r="T65" s="425">
        <f ca="1">IFERROR(S65/N65*R65,0)</f>
      </c>
      <c r="U65" s="372" cm="1">
        <f t="array" ref="U65">IFERROR(INDEX('rincian '!#REF!,$AL$5),0)</f>
      </c>
      <c r="V65" s="425">
        <f>IFERROR(U65/N65*R65,0)</f>
      </c>
      <c r="W65" s="244">
        <f t="shared" ca="1" si="15"/>
      </c>
      <c r="X65" s="202">
        <f t="shared" ca="1" si="15"/>
      </c>
      <c r="AL65" s="460"/>
      <c r="AM65" s="460"/>
      <c r="AN65" s="460"/>
      <c r="AO65" s="460"/>
      <c r="AP65" s="460"/>
      <c r="AQ65" s="460"/>
    </row>
    <row r="66" spans="2:43" s="105" customFormat="1" ht="27" customHeight="1">
      <c r="B66" s="370">
        <f>#REF!</f>
      </c>
      <c r="C66" s="232"/>
      <c r="D66" s="164">
        <f>IF(#REF!&lt;&gt;"",#REF!,IF(#REF!&lt;&gt;"",#REF!,""))</f>
      </c>
      <c r="E66" s="235"/>
      <c r="F66" s="236"/>
      <c r="G66" s="236"/>
      <c r="H66" s="237"/>
      <c r="I66" s="238"/>
      <c r="J66" s="239"/>
      <c r="K66" s="240"/>
      <c r="L66" s="241"/>
      <c r="M66" s="242"/>
      <c r="N66" s="167">
        <f>#REF!</f>
      </c>
      <c r="O66" s="167">
        <f>#REF!</f>
      </c>
      <c r="P66" s="260">
        <f>#REF!</f>
      </c>
      <c r="Q66" s="168">
        <f>P66*N66</f>
      </c>
      <c r="R66" s="425">
        <f>IFERROR(Q66/$Q$166,0)</f>
      </c>
      <c r="S66" s="371">
        <f ca="1">IF($AL$5&lt;=1,0,SUM(OFFSET('rincian '!#REF!,0,0,1,$AL$5-1)))</f>
      </c>
      <c r="T66" s="425">
        <f ca="1">IFERROR(S66/N66*R66,0)</f>
      </c>
      <c r="U66" s="372" cm="1">
        <f t="array" ref="U66">IFERROR(INDEX('rincian '!#REF!,$AL$5),0)</f>
      </c>
      <c r="V66" s="425">
        <f>IFERROR(U66/N66*R66,0)</f>
      </c>
      <c r="W66" s="244">
        <f t="shared" ca="1" si="15"/>
      </c>
      <c r="X66" s="202">
        <f t="shared" ca="1" si="15"/>
      </c>
      <c r="AL66" s="460"/>
      <c r="AM66" s="460"/>
      <c r="AN66" s="460"/>
      <c r="AO66" s="460"/>
      <c r="AP66" s="460"/>
      <c r="AQ66" s="460"/>
    </row>
    <row r="67" spans="2:43" s="105" customFormat="1" ht="27" customHeight="1">
      <c r="B67" s="401">
        <f>#REF!</f>
      </c>
      <c r="C67" s="373"/>
      <c r="D67" s="374">
        <f>IF(#REF!&lt;&gt;"",#REF!,IF(#REF!&lt;&gt;"",#REF!,""))</f>
      </c>
      <c r="E67" s="375"/>
      <c r="F67" s="376"/>
      <c r="G67" s="376"/>
      <c r="H67" s="377"/>
      <c r="I67" s="378"/>
      <c r="J67" s="379"/>
      <c r="K67" s="380"/>
      <c r="L67" s="381"/>
      <c r="M67" s="382"/>
      <c r="N67" s="167"/>
      <c r="O67" s="167"/>
      <c r="P67" s="260"/>
      <c r="Q67" s="168"/>
      <c r="R67" s="425"/>
      <c r="S67" s="371"/>
      <c r="T67" s="425"/>
      <c r="U67" s="372"/>
      <c r="V67" s="425"/>
      <c r="W67" s="244"/>
      <c r="X67" s="202"/>
      <c r="AL67" s="460"/>
      <c r="AM67" s="460"/>
      <c r="AN67" s="460"/>
      <c r="AO67" s="460"/>
      <c r="AP67" s="460"/>
      <c r="AQ67" s="460"/>
    </row>
    <row r="68" spans="2:43" s="105" customFormat="1" ht="27" customHeight="1">
      <c r="B68" s="370">
        <f>#REF!</f>
      </c>
      <c r="C68" s="232"/>
      <c r="D68" s="164">
        <f>IF(#REF!&lt;&gt;"",#REF!,IF(#REF!&lt;&gt;"",#REF!,""))</f>
      </c>
      <c r="E68" s="235"/>
      <c r="F68" s="236"/>
      <c r="G68" s="236"/>
      <c r="H68" s="237"/>
      <c r="I68" s="238"/>
      <c r="J68" s="239"/>
      <c r="K68" s="240"/>
      <c r="L68" s="241"/>
      <c r="M68" s="242"/>
      <c r="N68" s="167">
        <f>#REF!</f>
      </c>
      <c r="O68" s="167">
        <f>#REF!</f>
      </c>
      <c r="P68" s="260">
        <f>#REF!</f>
      </c>
      <c r="Q68" s="168">
        <f t="shared" ref="Q68:Q78" si="16">P68*N68</f>
      </c>
      <c r="R68" s="425">
        <f t="shared" ref="R68:R78" si="17">IFERROR(Q68/$Q$166,0)</f>
      </c>
      <c r="S68" s="371">
        <f ca="1">IF($AL$5&lt;=1,0,SUM(OFFSET('rincian '!#REF!,0,0,1,$AL$5-1)))</f>
      </c>
      <c r="T68" s="425">
        <f t="shared" ref="T68:T78" ca="1" si="18">IFERROR(S68/N68*R68,0)</f>
      </c>
      <c r="U68" s="372" cm="1">
        <f t="array" ref="U68">IFERROR(INDEX('rincian '!#REF!,$AL$5),0)</f>
      </c>
      <c r="V68" s="425">
        <f t="shared" ref="V68:V78" si="19">IFERROR(U68/N68*R68,0)</f>
      </c>
      <c r="W68" s="244">
        <f t="shared" ref="W68:X78" ca="1" si="20">S68+U68</f>
      </c>
      <c r="X68" s="202">
        <f t="shared" ca="1" si="20"/>
      </c>
      <c r="AL68" s="460"/>
      <c r="AM68" s="460"/>
      <c r="AN68" s="460"/>
      <c r="AO68" s="460"/>
      <c r="AP68" s="460"/>
      <c r="AQ68" s="460"/>
    </row>
    <row r="69" spans="2:43" s="105" customFormat="1" ht="27" customHeight="1">
      <c r="B69" s="370">
        <f>#REF!</f>
      </c>
      <c r="C69" s="232"/>
      <c r="D69" s="164">
        <f>IF(#REF!&lt;&gt;"",#REF!,IF(#REF!&lt;&gt;"",#REF!,""))</f>
      </c>
      <c r="E69" s="235"/>
      <c r="F69" s="236"/>
      <c r="G69" s="236"/>
      <c r="H69" s="237"/>
      <c r="I69" s="238"/>
      <c r="J69" s="239"/>
      <c r="K69" s="240"/>
      <c r="L69" s="241"/>
      <c r="M69" s="242"/>
      <c r="N69" s="167">
        <f>#REF!</f>
      </c>
      <c r="O69" s="167">
        <f>#REF!</f>
      </c>
      <c r="P69" s="260">
        <f>#REF!</f>
      </c>
      <c r="Q69" s="168">
        <f t="shared" si="16"/>
      </c>
      <c r="R69" s="425">
        <f t="shared" si="17"/>
      </c>
      <c r="S69" s="371">
        <f ca="1">IF($AL$5&lt;=1,0,SUM(OFFSET('rincian '!#REF!,0,0,1,$AL$5-1)))</f>
      </c>
      <c r="T69" s="425">
        <f t="shared" ca="1" si="18"/>
      </c>
      <c r="U69" s="372" cm="1">
        <f t="array" ref="U69">IFERROR(INDEX('rincian '!#REF!,$AL$5),0)</f>
      </c>
      <c r="V69" s="425">
        <f t="shared" si="19"/>
      </c>
      <c r="W69" s="244">
        <f t="shared" ca="1" si="20"/>
      </c>
      <c r="X69" s="202">
        <f t="shared" ca="1" si="20"/>
      </c>
      <c r="AL69" s="460"/>
      <c r="AM69" s="460"/>
      <c r="AN69" s="460"/>
      <c r="AO69" s="460"/>
      <c r="AP69" s="460"/>
      <c r="AQ69" s="460"/>
    </row>
    <row r="70" spans="2:43" s="105" customFormat="1" ht="27" customHeight="1">
      <c r="B70" s="370">
        <f>#REF!</f>
      </c>
      <c r="C70" s="232"/>
      <c r="D70" s="164">
        <f>IF(#REF!&lt;&gt;"",#REF!,IF(#REF!&lt;&gt;"",#REF!,""))</f>
      </c>
      <c r="E70" s="235"/>
      <c r="F70" s="236"/>
      <c r="G70" s="236"/>
      <c r="H70" s="237"/>
      <c r="I70" s="238"/>
      <c r="J70" s="239"/>
      <c r="K70" s="240"/>
      <c r="L70" s="241"/>
      <c r="M70" s="242"/>
      <c r="N70" s="167">
        <f>#REF!</f>
      </c>
      <c r="O70" s="167">
        <f>#REF!</f>
      </c>
      <c r="P70" s="260">
        <f>#REF!</f>
      </c>
      <c r="Q70" s="168">
        <f t="shared" si="16"/>
      </c>
      <c r="R70" s="425">
        <f t="shared" si="17"/>
      </c>
      <c r="S70" s="371">
        <f ca="1">IF($AL$5&lt;=1,0,SUM(OFFSET('rincian '!#REF!,0,0,1,$AL$5-1)))</f>
      </c>
      <c r="T70" s="425">
        <f t="shared" ca="1" si="18"/>
      </c>
      <c r="U70" s="372" cm="1">
        <f t="array" ref="U70">IFERROR(INDEX('rincian '!#REF!,$AL$5),0)</f>
      </c>
      <c r="V70" s="425">
        <f t="shared" si="19"/>
      </c>
      <c r="W70" s="244">
        <f t="shared" ca="1" si="20"/>
      </c>
      <c r="X70" s="202">
        <f t="shared" ca="1" si="20"/>
      </c>
      <c r="AL70" s="460"/>
      <c r="AM70" s="460"/>
      <c r="AN70" s="460"/>
      <c r="AO70" s="460"/>
      <c r="AP70" s="460"/>
      <c r="AQ70" s="460"/>
    </row>
    <row r="71" spans="2:43" s="105" customFormat="1" ht="27" customHeight="1">
      <c r="B71" s="370">
        <f>#REF!</f>
      </c>
      <c r="C71" s="232"/>
      <c r="D71" s="164">
        <f>IF(#REF!&lt;&gt;"",#REF!,IF(#REF!&lt;&gt;"",#REF!,""))</f>
      </c>
      <c r="E71" s="235"/>
      <c r="F71" s="236"/>
      <c r="G71" s="236"/>
      <c r="H71" s="237"/>
      <c r="I71" s="238"/>
      <c r="J71" s="239"/>
      <c r="K71" s="240"/>
      <c r="L71" s="241"/>
      <c r="M71" s="242"/>
      <c r="N71" s="167">
        <f>#REF!</f>
      </c>
      <c r="O71" s="167">
        <f>#REF!</f>
      </c>
      <c r="P71" s="260">
        <f>#REF!</f>
      </c>
      <c r="Q71" s="168">
        <f t="shared" si="16"/>
      </c>
      <c r="R71" s="425">
        <f t="shared" si="17"/>
      </c>
      <c r="S71" s="371">
        <f ca="1">IF($AL$5&lt;=1,0,SUM(OFFSET('rincian '!#REF!,0,0,1,$AL$5-1)))</f>
      </c>
      <c r="T71" s="425">
        <f t="shared" ca="1" si="18"/>
      </c>
      <c r="U71" s="372" cm="1">
        <f t="array" ref="U71">IFERROR(INDEX('rincian '!#REF!,$AL$5),0)</f>
      </c>
      <c r="V71" s="425">
        <f t="shared" si="19"/>
      </c>
      <c r="W71" s="244">
        <f t="shared" ca="1" si="20"/>
      </c>
      <c r="X71" s="202">
        <f t="shared" ca="1" si="20"/>
      </c>
      <c r="AL71" s="460"/>
      <c r="AM71" s="460"/>
      <c r="AN71" s="460"/>
      <c r="AO71" s="460"/>
      <c r="AP71" s="460"/>
      <c r="AQ71" s="460"/>
    </row>
    <row r="72" spans="2:43" s="105" customFormat="1" ht="27" customHeight="1">
      <c r="B72" s="370">
        <f>#REF!</f>
      </c>
      <c r="C72" s="232"/>
      <c r="D72" s="164">
        <f>IF(#REF!&lt;&gt;"",#REF!,IF(#REF!&lt;&gt;"",#REF!,""))</f>
      </c>
      <c r="E72" s="235"/>
      <c r="F72" s="236"/>
      <c r="G72" s="236"/>
      <c r="H72" s="237"/>
      <c r="I72" s="238"/>
      <c r="J72" s="239"/>
      <c r="K72" s="240"/>
      <c r="L72" s="241"/>
      <c r="M72" s="242"/>
      <c r="N72" s="167">
        <f>#REF!</f>
      </c>
      <c r="O72" s="167">
        <f>#REF!</f>
      </c>
      <c r="P72" s="260">
        <f>#REF!</f>
      </c>
      <c r="Q72" s="168">
        <f t="shared" si="16"/>
      </c>
      <c r="R72" s="425">
        <f t="shared" si="17"/>
      </c>
      <c r="S72" s="371">
        <f ca="1">IF($AL$5&lt;=1,0,SUM(OFFSET('rincian '!#REF!,0,0,1,$AL$5-1)))</f>
      </c>
      <c r="T72" s="425">
        <f t="shared" ca="1" si="18"/>
      </c>
      <c r="U72" s="372" cm="1">
        <f t="array" ref="U72">IFERROR(INDEX('rincian '!#REF!,$AL$5),0)</f>
      </c>
      <c r="V72" s="425">
        <f t="shared" si="19"/>
      </c>
      <c r="W72" s="244">
        <f t="shared" ca="1" si="20"/>
      </c>
      <c r="X72" s="202">
        <f t="shared" ca="1" si="20"/>
      </c>
      <c r="AL72" s="460"/>
      <c r="AM72" s="460"/>
      <c r="AN72" s="460"/>
      <c r="AO72" s="460"/>
      <c r="AP72" s="460"/>
      <c r="AQ72" s="460"/>
    </row>
    <row r="73" spans="2:43" s="105" customFormat="1" ht="27" customHeight="1">
      <c r="B73" s="370">
        <f>#REF!</f>
      </c>
      <c r="C73" s="232"/>
      <c r="D73" s="164">
        <f>IF(#REF!&lt;&gt;"",#REF!,IF(#REF!&lt;&gt;"",#REF!,""))</f>
      </c>
      <c r="E73" s="235"/>
      <c r="F73" s="236"/>
      <c r="G73" s="236"/>
      <c r="H73" s="237"/>
      <c r="I73" s="238"/>
      <c r="J73" s="239"/>
      <c r="K73" s="240"/>
      <c r="L73" s="241"/>
      <c r="M73" s="242"/>
      <c r="N73" s="167">
        <f>#REF!</f>
      </c>
      <c r="O73" s="167">
        <f>#REF!</f>
      </c>
      <c r="P73" s="260">
        <f>#REF!</f>
      </c>
      <c r="Q73" s="168">
        <f t="shared" si="16"/>
      </c>
      <c r="R73" s="425">
        <f t="shared" si="17"/>
      </c>
      <c r="S73" s="371">
        <f ca="1">IF($AL$5&lt;=1,0,SUM(OFFSET('rincian '!#REF!,0,0,1,$AL$5-1)))</f>
      </c>
      <c r="T73" s="425">
        <f t="shared" ca="1" si="18"/>
      </c>
      <c r="U73" s="372" cm="1">
        <f t="array" ref="U73">IFERROR(INDEX('rincian '!#REF!,$AL$5),0)</f>
      </c>
      <c r="V73" s="425">
        <f t="shared" si="19"/>
      </c>
      <c r="W73" s="244">
        <f t="shared" ca="1" si="20"/>
      </c>
      <c r="X73" s="202">
        <f t="shared" ca="1" si="20"/>
      </c>
      <c r="AL73" s="460"/>
      <c r="AM73" s="460"/>
      <c r="AN73" s="460"/>
      <c r="AO73" s="460"/>
      <c r="AP73" s="460"/>
      <c r="AQ73" s="460"/>
    </row>
    <row r="74" spans="2:43" s="105" customFormat="1" ht="27" customHeight="1">
      <c r="B74" s="370">
        <f>#REF!</f>
      </c>
      <c r="C74" s="232"/>
      <c r="D74" s="164">
        <f>IF(#REF!&lt;&gt;"",#REF!,IF(#REF!&lt;&gt;"",#REF!,""))</f>
      </c>
      <c r="E74" s="235"/>
      <c r="F74" s="236"/>
      <c r="G74" s="236"/>
      <c r="H74" s="237"/>
      <c r="I74" s="238"/>
      <c r="J74" s="239"/>
      <c r="K74" s="240"/>
      <c r="L74" s="241"/>
      <c r="M74" s="242"/>
      <c r="N74" s="167">
        <f>#REF!</f>
      </c>
      <c r="O74" s="167">
        <f>#REF!</f>
      </c>
      <c r="P74" s="260">
        <f>#REF!</f>
      </c>
      <c r="Q74" s="168">
        <f t="shared" si="16"/>
      </c>
      <c r="R74" s="425">
        <f t="shared" si="17"/>
      </c>
      <c r="S74" s="371">
        <f ca="1">IF($AL$5&lt;=1,0,SUM(OFFSET('rincian '!#REF!,0,0,1,$AL$5-1)))</f>
      </c>
      <c r="T74" s="425">
        <f t="shared" ca="1" si="18"/>
      </c>
      <c r="U74" s="372" cm="1">
        <f t="array" ref="U74">IFERROR(INDEX('rincian '!#REF!,$AL$5),0)</f>
      </c>
      <c r="V74" s="425">
        <f t="shared" si="19"/>
      </c>
      <c r="W74" s="244">
        <f t="shared" ca="1" si="20"/>
      </c>
      <c r="X74" s="202">
        <f t="shared" ca="1" si="20"/>
      </c>
      <c r="AL74" s="460"/>
      <c r="AM74" s="460"/>
      <c r="AN74" s="460"/>
      <c r="AO74" s="460"/>
      <c r="AP74" s="460"/>
      <c r="AQ74" s="460"/>
    </row>
    <row r="75" spans="2:43" s="105" customFormat="1" ht="27" customHeight="1">
      <c r="B75" s="370">
        <f>#REF!</f>
      </c>
      <c r="C75" s="232"/>
      <c r="D75" s="164">
        <f>IF(#REF!&lt;&gt;"",#REF!,IF(#REF!&lt;&gt;"",#REF!,""))</f>
      </c>
      <c r="E75" s="235"/>
      <c r="F75" s="236"/>
      <c r="G75" s="236"/>
      <c r="H75" s="237"/>
      <c r="I75" s="238"/>
      <c r="J75" s="239"/>
      <c r="K75" s="240"/>
      <c r="L75" s="241"/>
      <c r="M75" s="242"/>
      <c r="N75" s="167">
        <f>#REF!</f>
      </c>
      <c r="O75" s="167">
        <f>#REF!</f>
      </c>
      <c r="P75" s="260">
        <f>#REF!</f>
      </c>
      <c r="Q75" s="168">
        <f t="shared" si="16"/>
      </c>
      <c r="R75" s="425">
        <f t="shared" si="17"/>
      </c>
      <c r="S75" s="371">
        <f ca="1">IF($AL$5&lt;=1,0,SUM(OFFSET('rincian '!#REF!,0,0,1,$AL$5-1)))</f>
      </c>
      <c r="T75" s="425">
        <f t="shared" ca="1" si="18"/>
      </c>
      <c r="U75" s="372" cm="1">
        <f t="array" ref="U75">IFERROR(INDEX('rincian '!#REF!,$AL$5),0)</f>
      </c>
      <c r="V75" s="425">
        <f t="shared" si="19"/>
      </c>
      <c r="W75" s="244">
        <f t="shared" ca="1" si="20"/>
      </c>
      <c r="X75" s="202">
        <f t="shared" ca="1" si="20"/>
      </c>
      <c r="AL75" s="460"/>
      <c r="AM75" s="460"/>
      <c r="AN75" s="460"/>
      <c r="AO75" s="460"/>
      <c r="AP75" s="460"/>
      <c r="AQ75" s="460"/>
    </row>
    <row r="76" spans="2:43" s="105" customFormat="1" ht="27" customHeight="1">
      <c r="B76" s="370">
        <f>#REF!</f>
      </c>
      <c r="C76" s="232"/>
      <c r="D76" s="164">
        <f>IF(#REF!&lt;&gt;"",#REF!,IF(#REF!&lt;&gt;"",#REF!,""))</f>
      </c>
      <c r="E76" s="235"/>
      <c r="F76" s="236"/>
      <c r="G76" s="236"/>
      <c r="H76" s="237"/>
      <c r="I76" s="238"/>
      <c r="J76" s="239"/>
      <c r="K76" s="240"/>
      <c r="L76" s="241"/>
      <c r="M76" s="242"/>
      <c r="N76" s="167">
        <f>#REF!</f>
      </c>
      <c r="O76" s="167">
        <f>#REF!</f>
      </c>
      <c r="P76" s="260">
        <f>#REF!</f>
      </c>
      <c r="Q76" s="168">
        <f t="shared" si="16"/>
      </c>
      <c r="R76" s="425">
        <f t="shared" si="17"/>
      </c>
      <c r="S76" s="371">
        <f ca="1">IF($AL$5&lt;=1,0,SUM(OFFSET('rincian '!#REF!,0,0,1,$AL$5-1)))</f>
      </c>
      <c r="T76" s="425">
        <f t="shared" ca="1" si="18"/>
      </c>
      <c r="U76" s="372" cm="1">
        <f t="array" ref="U76">IFERROR(INDEX('rincian '!#REF!,$AL$5),0)</f>
      </c>
      <c r="V76" s="425">
        <f t="shared" si="19"/>
      </c>
      <c r="W76" s="244">
        <f t="shared" ca="1" si="20"/>
      </c>
      <c r="X76" s="202">
        <f t="shared" ca="1" si="20"/>
      </c>
      <c r="AL76" s="460"/>
      <c r="AM76" s="460"/>
      <c r="AN76" s="460"/>
      <c r="AO76" s="460"/>
      <c r="AP76" s="460"/>
      <c r="AQ76" s="460"/>
    </row>
    <row r="77" spans="2:43" s="105" customFormat="1" ht="27" customHeight="1">
      <c r="B77" s="370">
        <f>#REF!</f>
      </c>
      <c r="C77" s="232"/>
      <c r="D77" s="164">
        <f>IF(#REF!&lt;&gt;"",#REF!,IF(#REF!&lt;&gt;"",#REF!,""))</f>
      </c>
      <c r="E77" s="235"/>
      <c r="F77" s="236"/>
      <c r="G77" s="236"/>
      <c r="H77" s="237"/>
      <c r="I77" s="238"/>
      <c r="J77" s="239"/>
      <c r="K77" s="240"/>
      <c r="L77" s="241"/>
      <c r="M77" s="242"/>
      <c r="N77" s="167">
        <f>#REF!</f>
      </c>
      <c r="O77" s="167">
        <f>#REF!</f>
      </c>
      <c r="P77" s="260">
        <f>#REF!</f>
      </c>
      <c r="Q77" s="168">
        <f t="shared" si="16"/>
      </c>
      <c r="R77" s="425">
        <f t="shared" si="17"/>
      </c>
      <c r="S77" s="371">
        <f ca="1">IF($AL$5&lt;=1,0,SUM(OFFSET('rincian '!#REF!,0,0,1,$AL$5-1)))</f>
      </c>
      <c r="T77" s="425">
        <f t="shared" ca="1" si="18"/>
      </c>
      <c r="U77" s="372" cm="1">
        <f t="array" ref="U77">IFERROR(INDEX('rincian '!#REF!,$AL$5),0)</f>
      </c>
      <c r="V77" s="425">
        <f t="shared" si="19"/>
      </c>
      <c r="W77" s="244">
        <f t="shared" ca="1" si="20"/>
      </c>
      <c r="X77" s="202">
        <f t="shared" ca="1" si="20"/>
      </c>
      <c r="AL77" s="460"/>
      <c r="AM77" s="460"/>
      <c r="AN77" s="460"/>
      <c r="AO77" s="460"/>
      <c r="AP77" s="460"/>
      <c r="AQ77" s="460"/>
    </row>
    <row r="78" spans="2:43" s="105" customFormat="1" ht="27" customHeight="1">
      <c r="B78" s="370">
        <f>#REF!</f>
      </c>
      <c r="C78" s="232"/>
      <c r="D78" s="164">
        <f>IF(#REF!&lt;&gt;"",#REF!,IF(#REF!&lt;&gt;"",#REF!,""))</f>
      </c>
      <c r="E78" s="235"/>
      <c r="F78" s="236"/>
      <c r="G78" s="236"/>
      <c r="H78" s="237"/>
      <c r="I78" s="238"/>
      <c r="J78" s="239"/>
      <c r="K78" s="240"/>
      <c r="L78" s="241"/>
      <c r="M78" s="242"/>
      <c r="N78" s="167">
        <f>#REF!</f>
      </c>
      <c r="O78" s="167">
        <f>#REF!</f>
      </c>
      <c r="P78" s="260">
        <f>#REF!</f>
      </c>
      <c r="Q78" s="168">
        <f t="shared" si="16"/>
      </c>
      <c r="R78" s="425">
        <f t="shared" si="17"/>
      </c>
      <c r="S78" s="371">
        <f ca="1">IF($AL$5&lt;=1,0,SUM(OFFSET('rincian '!#REF!,0,0,1,$AL$5-1)))</f>
      </c>
      <c r="T78" s="425">
        <f t="shared" ca="1" si="18"/>
      </c>
      <c r="U78" s="372" cm="1">
        <f t="array" ref="U78">IFERROR(INDEX('rincian '!#REF!,$AL$5),0)</f>
      </c>
      <c r="V78" s="425">
        <f t="shared" si="19"/>
      </c>
      <c r="W78" s="244">
        <f t="shared" ca="1" si="20"/>
      </c>
      <c r="X78" s="202">
        <f t="shared" ca="1" si="20"/>
      </c>
      <c r="AL78" s="460"/>
      <c r="AM78" s="460"/>
      <c r="AN78" s="460"/>
      <c r="AO78" s="460"/>
      <c r="AP78" s="460"/>
      <c r="AQ78" s="460"/>
    </row>
    <row r="79" spans="2:43" s="105" customFormat="1" ht="27" customHeight="1">
      <c r="B79" s="402">
        <f>#REF!</f>
      </c>
      <c r="C79" s="384"/>
      <c r="D79" s="385">
        <f>IF(#REF!&lt;&gt;"",#REF!,IF(#REF!&lt;&gt;"",#REF!,""))</f>
      </c>
      <c r="E79" s="386"/>
      <c r="F79" s="387"/>
      <c r="G79" s="387"/>
      <c r="H79" s="388"/>
      <c r="I79" s="389"/>
      <c r="J79" s="390"/>
      <c r="K79" s="391"/>
      <c r="L79" s="392"/>
      <c r="M79" s="393"/>
      <c r="N79" s="394"/>
      <c r="O79" s="394"/>
      <c r="P79" s="395"/>
      <c r="Q79" s="396"/>
      <c r="R79" s="426"/>
      <c r="S79" s="403"/>
      <c r="T79" s="426"/>
      <c r="U79" s="403"/>
      <c r="V79" s="426"/>
      <c r="W79" s="399"/>
      <c r="X79" s="400"/>
      <c r="AL79" s="460"/>
      <c r="AM79" s="460"/>
      <c r="AN79" s="460"/>
      <c r="AO79" s="460"/>
      <c r="AP79" s="460"/>
      <c r="AQ79" s="460"/>
    </row>
    <row r="80" spans="2:43" s="105" customFormat="1" ht="27" customHeight="1">
      <c r="B80" s="401">
        <f>#REF!</f>
      </c>
      <c r="C80" s="373"/>
      <c r="D80" s="374">
        <f>IF(#REF!&lt;&gt;"",#REF!,IF(#REF!&lt;&gt;"",#REF!,""))</f>
      </c>
      <c r="E80" s="375"/>
      <c r="F80" s="376"/>
      <c r="G80" s="376"/>
      <c r="H80" s="377"/>
      <c r="I80" s="378"/>
      <c r="J80" s="379"/>
      <c r="K80" s="380"/>
      <c r="L80" s="381"/>
      <c r="M80" s="382"/>
      <c r="N80" s="167"/>
      <c r="O80" s="167"/>
      <c r="P80" s="260"/>
      <c r="Q80" s="168"/>
      <c r="R80" s="425"/>
      <c r="S80" s="371"/>
      <c r="T80" s="425"/>
      <c r="U80" s="372"/>
      <c r="V80" s="425"/>
      <c r="W80" s="244"/>
      <c r="X80" s="202"/>
      <c r="AL80" s="460"/>
      <c r="AM80" s="460"/>
      <c r="AN80" s="460"/>
      <c r="AO80" s="460"/>
      <c r="AP80" s="460"/>
      <c r="AQ80" s="460"/>
    </row>
    <row r="81" spans="2:43" s="105" customFormat="1" ht="27" customHeight="1">
      <c r="B81" s="370">
        <f>#REF!</f>
      </c>
      <c r="C81" s="232"/>
      <c r="D81" s="164">
        <f>IF(#REF!&lt;&gt;"",#REF!,IF(#REF!&lt;&gt;"",#REF!,""))</f>
      </c>
      <c r="E81" s="235"/>
      <c r="F81" s="236"/>
      <c r="G81" s="236"/>
      <c r="H81" s="237"/>
      <c r="I81" s="238"/>
      <c r="J81" s="239"/>
      <c r="K81" s="240"/>
      <c r="L81" s="241"/>
      <c r="M81" s="242"/>
      <c r="N81" s="167">
        <f>#REF!</f>
      </c>
      <c r="O81" s="167">
        <f>#REF!</f>
      </c>
      <c r="P81" s="260">
        <f>#REF!</f>
      </c>
      <c r="Q81" s="168">
        <f>P81*N81</f>
      </c>
      <c r="R81" s="425">
        <f>IFERROR(Q81/$Q$166,0)</f>
      </c>
      <c r="S81" s="371">
        <f ca="1">IF($AL$5&lt;=1,0,SUM(OFFSET('rincian '!#REF!,0,0,1,$AL$5-1)))</f>
      </c>
      <c r="T81" s="425">
        <f ca="1">IFERROR(S81/N81*R81,0)</f>
      </c>
      <c r="U81" s="372" cm="1">
        <f t="array" ref="U81">IFERROR(INDEX('rincian '!#REF!,$AL$5),0)</f>
      </c>
      <c r="V81" s="425">
        <f>IFERROR(U81/N81*R81,0)</f>
      </c>
      <c r="W81" s="244">
        <f ca="1">S81+U81</f>
      </c>
      <c r="X81" s="202">
        <f ca="1">T81+V81</f>
      </c>
      <c r="AL81" s="460"/>
      <c r="AM81" s="460"/>
      <c r="AN81" s="460"/>
      <c r="AO81" s="460"/>
      <c r="AP81" s="460"/>
      <c r="AQ81" s="460"/>
    </row>
    <row r="82" spans="2:43" s="105" customFormat="1" ht="27" customHeight="1">
      <c r="B82" s="370">
        <f>#REF!</f>
      </c>
      <c r="C82" s="232"/>
      <c r="D82" s="164">
        <f>IF(#REF!&lt;&gt;"",#REF!,IF(#REF!&lt;&gt;"",#REF!,""))</f>
      </c>
      <c r="E82" s="235"/>
      <c r="F82" s="236"/>
      <c r="G82" s="236"/>
      <c r="H82" s="237"/>
      <c r="I82" s="238"/>
      <c r="J82" s="239"/>
      <c r="K82" s="240"/>
      <c r="L82" s="241"/>
      <c r="M82" s="242"/>
      <c r="N82" s="167">
        <f>#REF!</f>
      </c>
      <c r="O82" s="167">
        <f>#REF!</f>
      </c>
      <c r="P82" s="260">
        <f>#REF!</f>
      </c>
      <c r="Q82" s="168">
        <f>P82*N82</f>
      </c>
      <c r="R82" s="425">
        <f>IFERROR(Q82/$Q$166,0)</f>
      </c>
      <c r="S82" s="371">
        <f ca="1">IF($AL$5&lt;=1,0,SUM(OFFSET('rincian '!#REF!,0,0,1,$AL$5-1)))</f>
      </c>
      <c r="T82" s="425">
        <f ca="1">IFERROR(S82/N82*R82,0)</f>
      </c>
      <c r="U82" s="372" cm="1">
        <f t="array" ref="U82">IFERROR(INDEX('rincian '!#REF!,$AL$5),0)</f>
      </c>
      <c r="V82" s="425">
        <f>IFERROR(U82/N82*R82,0)</f>
      </c>
      <c r="W82" s="244">
        <f ca="1">S82+U82</f>
      </c>
      <c r="X82" s="202">
        <f ca="1">T82+V82</f>
      </c>
      <c r="AL82" s="460"/>
      <c r="AM82" s="460"/>
      <c r="AN82" s="460"/>
      <c r="AO82" s="460"/>
      <c r="AP82" s="460"/>
      <c r="AQ82" s="460"/>
    </row>
    <row r="83" spans="2:43" s="105" customFormat="1" ht="27" customHeight="1">
      <c r="B83" s="401">
        <f>#REF!</f>
      </c>
      <c r="C83" s="373"/>
      <c r="D83" s="374">
        <f>IF(#REF!&lt;&gt;"",#REF!,IF(#REF!&lt;&gt;"",#REF!,""))</f>
      </c>
      <c r="E83" s="375"/>
      <c r="F83" s="376"/>
      <c r="G83" s="376"/>
      <c r="H83" s="377"/>
      <c r="I83" s="378"/>
      <c r="J83" s="379"/>
      <c r="K83" s="380"/>
      <c r="L83" s="381"/>
      <c r="M83" s="382"/>
      <c r="N83" s="167"/>
      <c r="O83" s="167"/>
      <c r="P83" s="260"/>
      <c r="Q83" s="168"/>
      <c r="R83" s="425"/>
      <c r="S83" s="371"/>
      <c r="T83" s="425"/>
      <c r="U83" s="372"/>
      <c r="V83" s="425"/>
      <c r="W83" s="244"/>
      <c r="X83" s="202"/>
      <c r="AL83" s="460"/>
      <c r="AM83" s="460"/>
      <c r="AN83" s="460"/>
      <c r="AO83" s="460"/>
      <c r="AP83" s="460"/>
      <c r="AQ83" s="460"/>
    </row>
    <row r="84" spans="2:43" s="105" customFormat="1" ht="27" customHeight="1">
      <c r="B84" s="370">
        <f>#REF!</f>
      </c>
      <c r="C84" s="232"/>
      <c r="D84" s="164">
        <f>IF(#REF!&lt;&gt;"",#REF!,IF(#REF!&lt;&gt;"",#REF!,""))</f>
      </c>
      <c r="E84" s="235"/>
      <c r="F84" s="236"/>
      <c r="G84" s="236"/>
      <c r="H84" s="237"/>
      <c r="I84" s="238"/>
      <c r="J84" s="239"/>
      <c r="K84" s="240"/>
      <c r="L84" s="241"/>
      <c r="M84" s="242"/>
      <c r="N84" s="167">
        <f>#REF!</f>
      </c>
      <c r="O84" s="167">
        <f>#REF!</f>
      </c>
      <c r="P84" s="260">
        <f>#REF!</f>
      </c>
      <c r="Q84" s="168">
        <f>P84*N84</f>
      </c>
      <c r="R84" s="425">
        <f>IFERROR(Q84/$Q$166,0)</f>
      </c>
      <c r="S84" s="371">
        <f ca="1">IF($AL$5&lt;=1,0,SUM(OFFSET('rincian '!#REF!,0,0,1,$AL$5-1)))</f>
      </c>
      <c r="T84" s="425">
        <f ca="1">IFERROR(S84/N84*R84,0)</f>
      </c>
      <c r="U84" s="372" cm="1">
        <f t="array" ref="U84">IFERROR(INDEX('rincian '!#REF!,$AL$5),0)</f>
      </c>
      <c r="V84" s="425">
        <f>IFERROR(U84/N84*R84,0)</f>
      </c>
      <c r="W84" s="244">
        <f t="shared" ref="W84:X86" ca="1" si="21">S84+U84</f>
      </c>
      <c r="X84" s="202">
        <f t="shared" ca="1" si="21"/>
      </c>
      <c r="AL84" s="460"/>
      <c r="AM84" s="460"/>
      <c r="AN84" s="460"/>
      <c r="AO84" s="460"/>
      <c r="AP84" s="460"/>
      <c r="AQ84" s="460"/>
    </row>
    <row r="85" spans="2:43" s="105" customFormat="1" ht="27" customHeight="1">
      <c r="B85" s="370">
        <f>#REF!</f>
      </c>
      <c r="C85" s="232"/>
      <c r="D85" s="164">
        <f>IF(#REF!&lt;&gt;"",#REF!,IF(#REF!&lt;&gt;"",#REF!,""))</f>
      </c>
      <c r="E85" s="235"/>
      <c r="F85" s="236"/>
      <c r="G85" s="236"/>
      <c r="H85" s="237"/>
      <c r="I85" s="238"/>
      <c r="J85" s="239"/>
      <c r="K85" s="240"/>
      <c r="L85" s="241"/>
      <c r="M85" s="242"/>
      <c r="N85" s="167">
        <f>#REF!</f>
      </c>
      <c r="O85" s="167">
        <f>#REF!</f>
      </c>
      <c r="P85" s="260">
        <f>#REF!</f>
      </c>
      <c r="Q85" s="168">
        <f>P85*N85</f>
      </c>
      <c r="R85" s="425">
        <f>IFERROR(Q85/$Q$166,0)</f>
      </c>
      <c r="S85" s="371">
        <f ca="1">IF($AL$5&lt;=1,0,SUM(OFFSET('rincian '!#REF!,0,0,1,$AL$5-1)))</f>
      </c>
      <c r="T85" s="425">
        <f ca="1">IFERROR(S85/N85*R85,0)</f>
      </c>
      <c r="U85" s="372" cm="1">
        <f t="array" ref="U85">IFERROR(INDEX('rincian '!#REF!,$AL$5),0)</f>
      </c>
      <c r="V85" s="425">
        <f>IFERROR(U85/N85*R85,0)</f>
      </c>
      <c r="W85" s="244">
        <f t="shared" ca="1" si="21"/>
      </c>
      <c r="X85" s="202">
        <f t="shared" ca="1" si="21"/>
      </c>
      <c r="AL85" s="460"/>
      <c r="AM85" s="460"/>
      <c r="AN85" s="460"/>
      <c r="AO85" s="460"/>
      <c r="AP85" s="460"/>
      <c r="AQ85" s="460"/>
    </row>
    <row r="86" spans="2:43" s="105" customFormat="1" ht="27" customHeight="1">
      <c r="B86" s="370">
        <f>#REF!</f>
      </c>
      <c r="C86" s="232"/>
      <c r="D86" s="164">
        <f>IF(#REF!&lt;&gt;"",#REF!,IF(#REF!&lt;&gt;"",#REF!,""))</f>
      </c>
      <c r="E86" s="235"/>
      <c r="F86" s="236"/>
      <c r="G86" s="236"/>
      <c r="H86" s="237"/>
      <c r="I86" s="238"/>
      <c r="J86" s="239"/>
      <c r="K86" s="240"/>
      <c r="L86" s="241"/>
      <c r="M86" s="242"/>
      <c r="N86" s="167">
        <f>#REF!</f>
      </c>
      <c r="O86" s="167">
        <f>#REF!</f>
      </c>
      <c r="P86" s="260">
        <f>#REF!</f>
      </c>
      <c r="Q86" s="168">
        <f>P86*N86</f>
      </c>
      <c r="R86" s="425">
        <f>IFERROR(Q86/$Q$166,0)</f>
      </c>
      <c r="S86" s="371">
        <f ca="1">IF($AL$5&lt;=1,0,SUM(OFFSET('rincian '!#REF!,0,0,1,$AL$5-1)))</f>
      </c>
      <c r="T86" s="425">
        <f ca="1">IFERROR(S86/N86*R86,0)</f>
      </c>
      <c r="U86" s="372" cm="1">
        <f t="array" ref="U86">IFERROR(INDEX('rincian '!#REF!,$AL$5),0)</f>
      </c>
      <c r="V86" s="425">
        <f>IFERROR(U86/N86*R86,0)</f>
      </c>
      <c r="W86" s="244">
        <f t="shared" ca="1" si="21"/>
      </c>
      <c r="X86" s="202">
        <f t="shared" ca="1" si="21"/>
      </c>
      <c r="AL86" s="460"/>
      <c r="AM86" s="460"/>
      <c r="AN86" s="460"/>
      <c r="AO86" s="460"/>
      <c r="AP86" s="460"/>
      <c r="AQ86" s="460"/>
    </row>
    <row r="87" spans="2:43" s="105" customFormat="1" ht="27" customHeight="1">
      <c r="B87" s="401">
        <f>#REF!</f>
      </c>
      <c r="C87" s="373"/>
      <c r="D87" s="374">
        <f>IF(#REF!&lt;&gt;"",#REF!,IF(#REF!&lt;&gt;"",#REF!,""))</f>
      </c>
      <c r="E87" s="375"/>
      <c r="F87" s="376"/>
      <c r="G87" s="376"/>
      <c r="H87" s="377"/>
      <c r="I87" s="378"/>
      <c r="J87" s="379"/>
      <c r="K87" s="380"/>
      <c r="L87" s="381"/>
      <c r="M87" s="382"/>
      <c r="N87" s="167"/>
      <c r="O87" s="167"/>
      <c r="P87" s="260"/>
      <c r="Q87" s="168"/>
      <c r="R87" s="425"/>
      <c r="S87" s="371"/>
      <c r="T87" s="425"/>
      <c r="U87" s="372"/>
      <c r="V87" s="425"/>
      <c r="W87" s="244"/>
      <c r="X87" s="202"/>
      <c r="AL87" s="460"/>
      <c r="AM87" s="460"/>
      <c r="AN87" s="460"/>
      <c r="AO87" s="460"/>
      <c r="AP87" s="460"/>
      <c r="AQ87" s="460"/>
    </row>
    <row r="88" spans="2:43" s="105" customFormat="1" ht="27" customHeight="1">
      <c r="B88" s="370">
        <f>#REF!</f>
      </c>
      <c r="C88" s="232"/>
      <c r="D88" s="164">
        <f>IF(#REF!&lt;&gt;"",#REF!,IF(#REF!&lt;&gt;"",#REF!,""))</f>
      </c>
      <c r="E88" s="235"/>
      <c r="F88" s="236"/>
      <c r="G88" s="236"/>
      <c r="H88" s="237"/>
      <c r="I88" s="238"/>
      <c r="J88" s="239"/>
      <c r="K88" s="240"/>
      <c r="L88" s="241"/>
      <c r="M88" s="242"/>
      <c r="N88" s="167">
        <f>#REF!</f>
      </c>
      <c r="O88" s="167">
        <f>#REF!</f>
      </c>
      <c r="P88" s="260">
        <f>#REF!</f>
      </c>
      <c r="Q88" s="168">
        <f>P88*N88</f>
      </c>
      <c r="R88" s="425">
        <f>IFERROR(Q88/$Q$166,0)</f>
      </c>
      <c r="S88" s="371">
        <f ca="1">IF($AL$5&lt;=1,0,SUM(OFFSET('rincian '!#REF!,0,0,1,$AL$5-1)))</f>
      </c>
      <c r="T88" s="425">
        <f ca="1">IFERROR(S88/N88*R88,0)</f>
      </c>
      <c r="U88" s="372" cm="1">
        <f t="array" ref="U88">IFERROR(INDEX('rincian '!#REF!,$AL$5),0)</f>
      </c>
      <c r="V88" s="425">
        <f>IFERROR(U88/N88*R88,0)</f>
      </c>
      <c r="W88" s="244">
        <f t="shared" ref="W88:X91" ca="1" si="22">S88+U88</f>
      </c>
      <c r="X88" s="202">
        <f t="shared" ca="1" si="22"/>
      </c>
      <c r="AL88" s="460"/>
      <c r="AM88" s="460"/>
      <c r="AN88" s="460"/>
      <c r="AO88" s="460"/>
      <c r="AP88" s="460"/>
      <c r="AQ88" s="460"/>
    </row>
    <row r="89" spans="2:43" s="105" customFormat="1" ht="27" customHeight="1">
      <c r="B89" s="370">
        <f>#REF!</f>
      </c>
      <c r="C89" s="232"/>
      <c r="D89" s="164">
        <f>IF(#REF!&lt;&gt;"",#REF!,IF(#REF!&lt;&gt;"",#REF!,""))</f>
      </c>
      <c r="E89" s="235"/>
      <c r="F89" s="236"/>
      <c r="G89" s="236"/>
      <c r="H89" s="237"/>
      <c r="I89" s="238"/>
      <c r="J89" s="239"/>
      <c r="K89" s="240"/>
      <c r="L89" s="241"/>
      <c r="M89" s="242"/>
      <c r="N89" s="167">
        <f>#REF!</f>
      </c>
      <c r="O89" s="167">
        <f>#REF!</f>
      </c>
      <c r="P89" s="260">
        <f>#REF!</f>
      </c>
      <c r="Q89" s="168">
        <f>P89*N89</f>
      </c>
      <c r="R89" s="425">
        <f>IFERROR(Q89/$Q$166,0)</f>
      </c>
      <c r="S89" s="371">
        <f ca="1">IF($AL$5&lt;=1,0,SUM(OFFSET('rincian '!#REF!,0,0,1,$AL$5-1)))</f>
      </c>
      <c r="T89" s="425">
        <f ca="1">IFERROR(S89/N89*R89,0)</f>
      </c>
      <c r="U89" s="372" cm="1">
        <f t="array" ref="U89">IFERROR(INDEX('rincian '!#REF!,$AL$5),0)</f>
      </c>
      <c r="V89" s="425">
        <f>IFERROR(U89/N89*R89,0)</f>
      </c>
      <c r="W89" s="244">
        <f t="shared" ca="1" si="22"/>
      </c>
      <c r="X89" s="202">
        <f t="shared" ca="1" si="22"/>
      </c>
      <c r="AL89" s="460"/>
      <c r="AM89" s="460"/>
      <c r="AN89" s="460"/>
      <c r="AO89" s="460"/>
      <c r="AP89" s="460"/>
      <c r="AQ89" s="460"/>
    </row>
    <row r="90" spans="2:43" s="105" customFormat="1" ht="27" customHeight="1">
      <c r="B90" s="370">
        <f>#REF!</f>
      </c>
      <c r="C90" s="232"/>
      <c r="D90" s="164">
        <f>IF(#REF!&lt;&gt;"",#REF!,IF(#REF!&lt;&gt;"",#REF!,""))</f>
      </c>
      <c r="E90" s="235"/>
      <c r="F90" s="236"/>
      <c r="G90" s="236"/>
      <c r="H90" s="237"/>
      <c r="I90" s="238"/>
      <c r="J90" s="239"/>
      <c r="K90" s="240"/>
      <c r="L90" s="241"/>
      <c r="M90" s="242"/>
      <c r="N90" s="167">
        <f>#REF!</f>
      </c>
      <c r="O90" s="167">
        <f>#REF!</f>
      </c>
      <c r="P90" s="260">
        <f>#REF!</f>
      </c>
      <c r="Q90" s="168">
        <f>P90*N90</f>
      </c>
      <c r="R90" s="425">
        <f>IFERROR(Q90/$Q$166,0)</f>
      </c>
      <c r="S90" s="371">
        <f ca="1">IF($AL$5&lt;=1,0,SUM(OFFSET('rincian '!#REF!,0,0,1,$AL$5-1)))</f>
      </c>
      <c r="T90" s="425">
        <f ca="1">IFERROR(S90/N90*R90,0)</f>
      </c>
      <c r="U90" s="372" cm="1">
        <f t="array" ref="U90">IFERROR(INDEX('rincian '!#REF!,$AL$5),0)</f>
      </c>
      <c r="V90" s="425">
        <f>IFERROR(U90/N90*R90,0)</f>
      </c>
      <c r="W90" s="244">
        <f t="shared" ca="1" si="22"/>
      </c>
      <c r="X90" s="202">
        <f t="shared" ca="1" si="22"/>
      </c>
      <c r="AL90" s="460"/>
      <c r="AM90" s="460"/>
      <c r="AN90" s="460"/>
      <c r="AO90" s="460"/>
      <c r="AP90" s="460"/>
      <c r="AQ90" s="460"/>
    </row>
    <row r="91" spans="2:43" s="105" customFormat="1" ht="27" customHeight="1">
      <c r="B91" s="370">
        <f>#REF!</f>
      </c>
      <c r="C91" s="232"/>
      <c r="D91" s="164">
        <f>IF(#REF!&lt;&gt;"",#REF!,IF(#REF!&lt;&gt;"",#REF!,""))</f>
      </c>
      <c r="E91" s="235"/>
      <c r="F91" s="236"/>
      <c r="G91" s="236"/>
      <c r="H91" s="237"/>
      <c r="I91" s="238"/>
      <c r="J91" s="239"/>
      <c r="K91" s="240"/>
      <c r="L91" s="241"/>
      <c r="M91" s="242"/>
      <c r="N91" s="167">
        <f>#REF!</f>
      </c>
      <c r="O91" s="167">
        <f>#REF!</f>
      </c>
      <c r="P91" s="260">
        <f>#REF!</f>
      </c>
      <c r="Q91" s="168">
        <f>P91*N91</f>
      </c>
      <c r="R91" s="425">
        <f>IFERROR(Q91/$Q$166,0)</f>
      </c>
      <c r="S91" s="371">
        <f ca="1">IF($AL$5&lt;=1,0,SUM(OFFSET('rincian '!#REF!,0,0,1,$AL$5-1)))</f>
      </c>
      <c r="T91" s="425">
        <f ca="1">IFERROR(S91/N91*R91,0)</f>
      </c>
      <c r="U91" s="372" cm="1">
        <f t="array" ref="U91">IFERROR(INDEX('rincian '!#REF!,$AL$5),0)</f>
      </c>
      <c r="V91" s="425">
        <f>IFERROR(U91/N91*R91,0)</f>
      </c>
      <c r="W91" s="244">
        <f t="shared" ca="1" si="22"/>
      </c>
      <c r="X91" s="202">
        <f t="shared" ca="1" si="22"/>
      </c>
      <c r="AL91" s="460"/>
      <c r="AM91" s="460"/>
      <c r="AN91" s="460"/>
      <c r="AO91" s="460"/>
      <c r="AP91" s="460"/>
      <c r="AQ91" s="460"/>
    </row>
    <row r="92" spans="2:43" s="105" customFormat="1" ht="27" customHeight="1">
      <c r="B92" s="401">
        <f>#REF!</f>
      </c>
      <c r="C92" s="373"/>
      <c r="D92" s="374">
        <f>IF(#REF!&lt;&gt;"",#REF!,IF(#REF!&lt;&gt;"",#REF!,""))</f>
      </c>
      <c r="E92" s="375"/>
      <c r="F92" s="376"/>
      <c r="G92" s="376"/>
      <c r="H92" s="377"/>
      <c r="I92" s="378"/>
      <c r="J92" s="379"/>
      <c r="K92" s="380"/>
      <c r="L92" s="381"/>
      <c r="M92" s="382"/>
      <c r="N92" s="167"/>
      <c r="O92" s="167"/>
      <c r="P92" s="260"/>
      <c r="Q92" s="168"/>
      <c r="R92" s="425"/>
      <c r="S92" s="371"/>
      <c r="T92" s="425"/>
      <c r="U92" s="372"/>
      <c r="V92" s="425"/>
      <c r="W92" s="244"/>
      <c r="X92" s="202"/>
      <c r="AL92" s="460"/>
      <c r="AM92" s="460"/>
      <c r="AN92" s="460"/>
      <c r="AO92" s="460"/>
      <c r="AP92" s="460"/>
      <c r="AQ92" s="460"/>
    </row>
    <row r="93" spans="2:43" s="105" customFormat="1" ht="27" customHeight="1">
      <c r="B93" s="370">
        <f>#REF!</f>
      </c>
      <c r="C93" s="232"/>
      <c r="D93" s="164">
        <f>IF(#REF!&lt;&gt;"",#REF!,IF(#REF!&lt;&gt;"",#REF!,""))</f>
      </c>
      <c r="E93" s="235"/>
      <c r="F93" s="236"/>
      <c r="G93" s="236"/>
      <c r="H93" s="237"/>
      <c r="I93" s="238"/>
      <c r="J93" s="239"/>
      <c r="K93" s="240"/>
      <c r="L93" s="241"/>
      <c r="M93" s="242"/>
      <c r="N93" s="167">
        <f>#REF!</f>
      </c>
      <c r="O93" s="167">
        <f>#REF!</f>
      </c>
      <c r="P93" s="260">
        <f>#REF!</f>
      </c>
      <c r="Q93" s="168">
        <f>P93*N93</f>
      </c>
      <c r="R93" s="425">
        <f>IFERROR(Q93/$Q$166,0)</f>
      </c>
      <c r="S93" s="371">
        <f ca="1">IF($AL$5&lt;=1,0,SUM(OFFSET('rincian '!#REF!,0,0,1,$AL$5-1)))</f>
      </c>
      <c r="T93" s="425">
        <f ca="1">IFERROR(S93/N93*R93,0)</f>
      </c>
      <c r="U93" s="372" cm="1">
        <f t="array" ref="U93">IFERROR(INDEX('rincian '!#REF!,$AL$5),0)</f>
      </c>
      <c r="V93" s="425">
        <f>IFERROR(U93/N93*R93,0)</f>
      </c>
      <c r="W93" s="244">
        <f ca="1">S93+U93</f>
      </c>
      <c r="X93" s="202">
        <f ca="1">T93+V93</f>
      </c>
      <c r="AL93" s="460"/>
      <c r="AM93" s="460"/>
      <c r="AN93" s="460"/>
      <c r="AO93" s="460"/>
      <c r="AP93" s="460"/>
      <c r="AQ93" s="460"/>
    </row>
    <row r="94" spans="2:43" s="105" customFormat="1" ht="27" customHeight="1">
      <c r="B94" s="401">
        <f>#REF!</f>
      </c>
      <c r="C94" s="373"/>
      <c r="D94" s="374">
        <f>IF(#REF!&lt;&gt;"",#REF!,IF(#REF!&lt;&gt;"",#REF!,""))</f>
      </c>
      <c r="E94" s="375"/>
      <c r="F94" s="376"/>
      <c r="G94" s="376"/>
      <c r="H94" s="377"/>
      <c r="I94" s="378"/>
      <c r="J94" s="379"/>
      <c r="K94" s="380"/>
      <c r="L94" s="381"/>
      <c r="M94" s="382"/>
      <c r="N94" s="167"/>
      <c r="O94" s="167"/>
      <c r="P94" s="260"/>
      <c r="Q94" s="168"/>
      <c r="R94" s="425"/>
      <c r="S94" s="371"/>
      <c r="T94" s="425"/>
      <c r="U94" s="372"/>
      <c r="V94" s="425"/>
      <c r="W94" s="244"/>
      <c r="X94" s="202"/>
      <c r="AL94" s="460"/>
      <c r="AM94" s="460"/>
      <c r="AN94" s="460"/>
      <c r="AO94" s="460"/>
      <c r="AP94" s="460"/>
      <c r="AQ94" s="460"/>
    </row>
    <row r="95" spans="2:43" s="105" customFormat="1" ht="27" customHeight="1">
      <c r="B95" s="370">
        <f>#REF!</f>
      </c>
      <c r="C95" s="232"/>
      <c r="D95" s="164">
        <f>IF(#REF!&lt;&gt;"",#REF!,IF(#REF!&lt;&gt;"",#REF!,""))</f>
      </c>
      <c r="E95" s="235"/>
      <c r="F95" s="236"/>
      <c r="G95" s="236"/>
      <c r="H95" s="237"/>
      <c r="I95" s="238"/>
      <c r="J95" s="239"/>
      <c r="K95" s="240"/>
      <c r="L95" s="241"/>
      <c r="M95" s="242"/>
      <c r="N95" s="167">
        <f>#REF!</f>
      </c>
      <c r="O95" s="167">
        <f>#REF!</f>
      </c>
      <c r="P95" s="260">
        <f>#REF!</f>
      </c>
      <c r="Q95" s="168">
        <f>P95*N95</f>
      </c>
      <c r="R95" s="425">
        <f>IFERROR(Q95/$Q$166,0)</f>
      </c>
      <c r="S95" s="371">
        <f ca="1">IF($AL$5&lt;=1,0,SUM(OFFSET('rincian '!#REF!,0,0,1,$AL$5-1)))</f>
      </c>
      <c r="T95" s="425">
        <f ca="1">IFERROR(S95/N95*R95,0)</f>
      </c>
      <c r="U95" s="372" cm="1">
        <f t="array" ref="U95">IFERROR(INDEX('rincian '!#REF!,$AL$5),0)</f>
      </c>
      <c r="V95" s="425">
        <f>IFERROR(U95/N95*R95,0)</f>
      </c>
      <c r="W95" s="244">
        <f t="shared" ref="W95:X98" ca="1" si="23">S95+U95</f>
      </c>
      <c r="X95" s="202">
        <f t="shared" ca="1" si="23"/>
      </c>
      <c r="AL95" s="460"/>
      <c r="AM95" s="460"/>
      <c r="AN95" s="460"/>
      <c r="AO95" s="460"/>
      <c r="AP95" s="460"/>
      <c r="AQ95" s="460"/>
    </row>
    <row r="96" spans="2:43" s="105" customFormat="1" ht="27" customHeight="1">
      <c r="B96" s="370">
        <f>#REF!</f>
      </c>
      <c r="C96" s="232"/>
      <c r="D96" s="164">
        <f>IF(#REF!&lt;&gt;"",#REF!,IF(#REF!&lt;&gt;"",#REF!,""))</f>
      </c>
      <c r="E96" s="235"/>
      <c r="F96" s="236"/>
      <c r="G96" s="236"/>
      <c r="H96" s="237"/>
      <c r="I96" s="238"/>
      <c r="J96" s="239"/>
      <c r="K96" s="240"/>
      <c r="L96" s="241"/>
      <c r="M96" s="242"/>
      <c r="N96" s="167">
        <f>#REF!</f>
      </c>
      <c r="O96" s="167">
        <f>#REF!</f>
      </c>
      <c r="P96" s="260">
        <f>#REF!</f>
      </c>
      <c r="Q96" s="168">
        <f>P96*N96</f>
      </c>
      <c r="R96" s="425">
        <f>IFERROR(Q96/$Q$166,0)</f>
      </c>
      <c r="S96" s="371">
        <f ca="1">IF($AL$5&lt;=1,0,SUM(OFFSET('rincian '!#REF!,0,0,1,$AL$5-1)))</f>
      </c>
      <c r="T96" s="425">
        <f ca="1">IFERROR(S96/N96*R96,0)</f>
      </c>
      <c r="U96" s="372" cm="1">
        <f t="array" ref="U96">IFERROR(INDEX('rincian '!#REF!,$AL$5),0)</f>
      </c>
      <c r="V96" s="425">
        <f>IFERROR(U96/N96*R96,0)</f>
      </c>
      <c r="W96" s="244">
        <f t="shared" ca="1" si="23"/>
      </c>
      <c r="X96" s="202">
        <f t="shared" ca="1" si="23"/>
      </c>
      <c r="AL96" s="460"/>
      <c r="AM96" s="460"/>
      <c r="AN96" s="460"/>
      <c r="AO96" s="460"/>
      <c r="AP96" s="460"/>
      <c r="AQ96" s="460"/>
    </row>
    <row r="97" spans="2:43" s="105" customFormat="1" ht="27" customHeight="1">
      <c r="B97" s="370">
        <f>#REF!</f>
      </c>
      <c r="C97" s="232"/>
      <c r="D97" s="164">
        <f>IF(#REF!&lt;&gt;"",#REF!,IF(#REF!&lt;&gt;"",#REF!,""))</f>
      </c>
      <c r="E97" s="235"/>
      <c r="F97" s="236"/>
      <c r="G97" s="236"/>
      <c r="H97" s="237"/>
      <c r="I97" s="238"/>
      <c r="J97" s="239"/>
      <c r="K97" s="240"/>
      <c r="L97" s="241"/>
      <c r="M97" s="242"/>
      <c r="N97" s="167">
        <f>#REF!</f>
      </c>
      <c r="O97" s="167">
        <f>#REF!</f>
      </c>
      <c r="P97" s="260">
        <f>#REF!</f>
      </c>
      <c r="Q97" s="168">
        <f>P97*N97</f>
      </c>
      <c r="R97" s="425">
        <f>IFERROR(Q97/$Q$166,0)</f>
      </c>
      <c r="S97" s="371">
        <f ca="1">IF($AL$5&lt;=1,0,SUM(OFFSET('rincian '!#REF!,0,0,1,$AL$5-1)))</f>
      </c>
      <c r="T97" s="425">
        <f ca="1">IFERROR(S97/N97*R97,0)</f>
      </c>
      <c r="U97" s="372" cm="1">
        <f t="array" ref="U97">IFERROR(INDEX('rincian '!#REF!,$AL$5),0)</f>
      </c>
      <c r="V97" s="425">
        <f>IFERROR(U97/N97*R97,0)</f>
      </c>
      <c r="W97" s="244">
        <f t="shared" ca="1" si="23"/>
      </c>
      <c r="X97" s="202">
        <f t="shared" ca="1" si="23"/>
      </c>
      <c r="AL97" s="460"/>
      <c r="AM97" s="460"/>
      <c r="AN97" s="460"/>
      <c r="AO97" s="460"/>
      <c r="AP97" s="460"/>
      <c r="AQ97" s="460"/>
    </row>
    <row r="98" spans="2:43" s="105" customFormat="1" ht="27" customHeight="1">
      <c r="B98" s="370">
        <f>#REF!</f>
      </c>
      <c r="C98" s="232"/>
      <c r="D98" s="164">
        <f>IF(#REF!&lt;&gt;"",#REF!,IF(#REF!&lt;&gt;"",#REF!,""))</f>
      </c>
      <c r="E98" s="235"/>
      <c r="F98" s="236"/>
      <c r="G98" s="236"/>
      <c r="H98" s="237"/>
      <c r="I98" s="238"/>
      <c r="J98" s="239"/>
      <c r="K98" s="240"/>
      <c r="L98" s="241"/>
      <c r="M98" s="242"/>
      <c r="N98" s="167">
        <f>#REF!</f>
      </c>
      <c r="O98" s="167">
        <f>#REF!</f>
      </c>
      <c r="P98" s="260">
        <f>#REF!</f>
      </c>
      <c r="Q98" s="168">
        <f>P98*N98</f>
      </c>
      <c r="R98" s="425">
        <f>IFERROR(Q98/$Q$166,0)</f>
      </c>
      <c r="S98" s="371">
        <f ca="1">IF($AL$5&lt;=1,0,SUM(OFFSET('rincian '!#REF!,0,0,1,$AL$5-1)))</f>
      </c>
      <c r="T98" s="425">
        <f ca="1">IFERROR(S98/N98*R98,0)</f>
      </c>
      <c r="U98" s="372" cm="1">
        <f t="array" ref="U98">IFERROR(INDEX('rincian '!#REF!,$AL$5),0)</f>
      </c>
      <c r="V98" s="425">
        <f>IFERROR(U98/N98*R98,0)</f>
      </c>
      <c r="W98" s="244">
        <f t="shared" ca="1" si="23"/>
      </c>
      <c r="X98" s="202">
        <f t="shared" ca="1" si="23"/>
      </c>
      <c r="AL98" s="460"/>
      <c r="AM98" s="460"/>
      <c r="AN98" s="460"/>
      <c r="AO98" s="460"/>
      <c r="AP98" s="460"/>
      <c r="AQ98" s="460"/>
    </row>
    <row r="99" spans="2:43" s="105" customFormat="1" ht="27" customHeight="1">
      <c r="B99" s="401">
        <f>#REF!</f>
      </c>
      <c r="C99" s="373"/>
      <c r="D99" s="374">
        <f>IF(#REF!&lt;&gt;"",#REF!,IF(#REF!&lt;&gt;"",#REF!,""))</f>
      </c>
      <c r="E99" s="375"/>
      <c r="F99" s="376"/>
      <c r="G99" s="376"/>
      <c r="H99" s="377"/>
      <c r="I99" s="378"/>
      <c r="J99" s="379"/>
      <c r="K99" s="380"/>
      <c r="L99" s="381"/>
      <c r="M99" s="382"/>
      <c r="N99" s="167"/>
      <c r="O99" s="167"/>
      <c r="P99" s="260"/>
      <c r="Q99" s="168"/>
      <c r="R99" s="425"/>
      <c r="S99" s="371"/>
      <c r="T99" s="425"/>
      <c r="U99" s="372"/>
      <c r="V99" s="425"/>
      <c r="W99" s="244"/>
      <c r="X99" s="202"/>
      <c r="AL99" s="460"/>
      <c r="AM99" s="460"/>
      <c r="AN99" s="460"/>
      <c r="AO99" s="460"/>
      <c r="AP99" s="460"/>
      <c r="AQ99" s="460"/>
    </row>
    <row r="100" spans="2:43" s="105" customFormat="1" ht="27" customHeight="1">
      <c r="B100" s="370">
        <f>#REF!</f>
      </c>
      <c r="C100" s="232"/>
      <c r="D100" s="164">
        <f>IF(#REF!&lt;&gt;"",#REF!,IF(#REF!&lt;&gt;"",#REF!,""))</f>
      </c>
      <c r="E100" s="235"/>
      <c r="F100" s="236"/>
      <c r="G100" s="236"/>
      <c r="H100" s="237"/>
      <c r="I100" s="238"/>
      <c r="J100" s="239"/>
      <c r="K100" s="240"/>
      <c r="L100" s="241"/>
      <c r="M100" s="242"/>
      <c r="N100" s="167"/>
      <c r="O100" s="167"/>
      <c r="P100" s="260"/>
      <c r="Q100" s="168"/>
      <c r="R100" s="425"/>
      <c r="S100" s="371"/>
      <c r="T100" s="425"/>
      <c r="U100" s="372"/>
      <c r="V100" s="425"/>
      <c r="W100" s="244"/>
      <c r="X100" s="202"/>
      <c r="AL100" s="460"/>
      <c r="AM100" s="460"/>
      <c r="AN100" s="460"/>
      <c r="AO100" s="460"/>
      <c r="AP100" s="460"/>
      <c r="AQ100" s="460"/>
    </row>
    <row r="101" spans="2:43" s="105" customFormat="1" ht="36" customHeight="1">
      <c r="B101" s="370">
        <f>#REF!</f>
      </c>
      <c r="C101" s="232"/>
      <c r="D101" s="704">
        <f>IF(#REF!&lt;&gt;"",#REF!,IF(#REF!&lt;&gt;"",#REF!,""))</f>
      </c>
      <c r="E101" s="704"/>
      <c r="F101" s="704"/>
      <c r="G101" s="704"/>
      <c r="H101" s="704"/>
      <c r="I101" s="704"/>
      <c r="J101" s="704"/>
      <c r="K101" s="704"/>
      <c r="L101" s="704"/>
      <c r="M101" s="705"/>
      <c r="N101" s="167">
        <f>#REF!</f>
      </c>
      <c r="O101" s="167">
        <f>#REF!</f>
      </c>
      <c r="P101" s="260">
        <f>#REF!</f>
      </c>
      <c r="Q101" s="168">
        <f>P101*N101</f>
      </c>
      <c r="R101" s="425">
        <f>IFERROR(Q101/$Q$166,0)</f>
      </c>
      <c r="S101" s="371">
        <f ca="1">IF($AL$5&lt;=1,0,SUM(OFFSET('rincian '!#REF!,0,0,1,$AL$5-1)))</f>
      </c>
      <c r="T101" s="425">
        <f ca="1">IFERROR(S101/N101*R101,0)</f>
      </c>
      <c r="U101" s="372" cm="1">
        <f t="array" ref="U101">IFERROR(INDEX('rincian '!#REF!,$AL$5),0)</f>
      </c>
      <c r="V101" s="425">
        <f>IFERROR(U101/N101*R101,0)</f>
      </c>
      <c r="W101" s="244">
        <f t="shared" ref="W101:X103" ca="1" si="24">S101+U101</f>
      </c>
      <c r="X101" s="202">
        <f t="shared" ca="1" si="24"/>
      </c>
      <c r="AL101" s="460"/>
      <c r="AM101" s="460"/>
      <c r="AN101" s="460"/>
      <c r="AO101" s="460"/>
      <c r="AP101" s="460"/>
      <c r="AQ101" s="460"/>
    </row>
    <row r="102" spans="2:43" s="105" customFormat="1" ht="27" customHeight="1">
      <c r="B102" s="370">
        <f>#REF!</f>
      </c>
      <c r="C102" s="232"/>
      <c r="D102" s="164">
        <f>IF(#REF!&lt;&gt;"",#REF!,IF(#REF!&lt;&gt;"",#REF!,""))</f>
      </c>
      <c r="E102" s="235"/>
      <c r="F102" s="236"/>
      <c r="G102" s="236"/>
      <c r="H102" s="237"/>
      <c r="I102" s="238"/>
      <c r="J102" s="239"/>
      <c r="K102" s="240"/>
      <c r="L102" s="241"/>
      <c r="M102" s="242"/>
      <c r="N102" s="167">
        <f>#REF!</f>
      </c>
      <c r="O102" s="167">
        <f>#REF!</f>
      </c>
      <c r="P102" s="260">
        <f>#REF!</f>
      </c>
      <c r="Q102" s="168">
        <f>P102*N102</f>
      </c>
      <c r="R102" s="425">
        <f>IFERROR(Q102/$Q$166,0)</f>
      </c>
      <c r="S102" s="371">
        <f ca="1">IF($AL$5&lt;=1,0,SUM(OFFSET('rincian '!#REF!,0,0,1,$AL$5-1)))</f>
      </c>
      <c r="T102" s="425">
        <f ca="1">IFERROR(S102/N102*R102,0)</f>
      </c>
      <c r="U102" s="372" cm="1">
        <f t="array" ref="U102">IFERROR(INDEX('rincian '!#REF!,$AL$5),0)</f>
      </c>
      <c r="V102" s="425">
        <f>IFERROR(U102/N102*R102,0)</f>
      </c>
      <c r="W102" s="244">
        <f t="shared" ca="1" si="24"/>
      </c>
      <c r="X102" s="202">
        <f t="shared" ca="1" si="24"/>
      </c>
      <c r="AL102" s="460"/>
      <c r="AM102" s="460"/>
      <c r="AN102" s="460"/>
      <c r="AO102" s="460"/>
      <c r="AP102" s="460"/>
      <c r="AQ102" s="460"/>
    </row>
    <row r="103" spans="2:43" s="105" customFormat="1" ht="27" customHeight="1">
      <c r="B103" s="370">
        <f>#REF!</f>
      </c>
      <c r="C103" s="232"/>
      <c r="D103" s="164">
        <f>IF(#REF!&lt;&gt;"",#REF!,IF(#REF!&lt;&gt;"",#REF!,""))</f>
      </c>
      <c r="E103" s="235"/>
      <c r="F103" s="236"/>
      <c r="G103" s="236"/>
      <c r="H103" s="237"/>
      <c r="I103" s="238"/>
      <c r="J103" s="239"/>
      <c r="K103" s="240"/>
      <c r="L103" s="241"/>
      <c r="M103" s="242"/>
      <c r="N103" s="167">
        <f>#REF!</f>
      </c>
      <c r="O103" s="167">
        <f>#REF!</f>
      </c>
      <c r="P103" s="260">
        <f>#REF!</f>
      </c>
      <c r="Q103" s="168">
        <f>P103*N103</f>
      </c>
      <c r="R103" s="425">
        <f>IFERROR(Q103/$Q$166,0)</f>
      </c>
      <c r="S103" s="371">
        <f ca="1">IF($AL$5&lt;=1,0,SUM(OFFSET('rincian '!#REF!,0,0,1,$AL$5-1)))</f>
      </c>
      <c r="T103" s="425">
        <f ca="1">IFERROR(S103/N103*R103,0)</f>
      </c>
      <c r="U103" s="372" cm="1">
        <f t="array" ref="U103">IFERROR(INDEX('rincian '!#REF!,$AL$5),0)</f>
      </c>
      <c r="V103" s="425">
        <f>IFERROR(U103/N103*R103,0)</f>
      </c>
      <c r="W103" s="244">
        <f t="shared" ca="1" si="24"/>
      </c>
      <c r="X103" s="202">
        <f t="shared" ca="1" si="24"/>
      </c>
      <c r="AL103" s="460"/>
      <c r="AM103" s="460"/>
      <c r="AN103" s="460"/>
      <c r="AO103" s="460"/>
      <c r="AP103" s="460"/>
      <c r="AQ103" s="460"/>
    </row>
    <row r="104" spans="2:43" s="105" customFormat="1" ht="27" customHeight="1">
      <c r="B104" s="370">
        <f>#REF!</f>
      </c>
      <c r="C104" s="232"/>
      <c r="D104" s="164">
        <f>IF(#REF!&lt;&gt;"",#REF!,IF(#REF!&lt;&gt;"",#REF!,""))</f>
      </c>
      <c r="E104" s="235"/>
      <c r="F104" s="236"/>
      <c r="G104" s="236"/>
      <c r="H104" s="237"/>
      <c r="I104" s="238"/>
      <c r="J104" s="239"/>
      <c r="K104" s="240"/>
      <c r="L104" s="241"/>
      <c r="M104" s="242"/>
      <c r="N104" s="167"/>
      <c r="O104" s="167"/>
      <c r="P104" s="260"/>
      <c r="Q104" s="168"/>
      <c r="R104" s="425"/>
      <c r="S104" s="371"/>
      <c r="T104" s="425"/>
      <c r="U104" s="372"/>
      <c r="V104" s="425"/>
      <c r="W104" s="244"/>
      <c r="X104" s="202"/>
      <c r="AL104" s="460"/>
      <c r="AM104" s="460"/>
      <c r="AN104" s="460"/>
      <c r="AO104" s="460"/>
      <c r="AP104" s="460"/>
      <c r="AQ104" s="460"/>
    </row>
    <row r="105" spans="2:43" s="105" customFormat="1" ht="27" customHeight="1">
      <c r="B105" s="370">
        <f>#REF!</f>
      </c>
      <c r="C105" s="232"/>
      <c r="D105" s="164">
        <f>IF(#REF!&lt;&gt;"",#REF!,IF(#REF!&lt;&gt;"",#REF!,""))</f>
      </c>
      <c r="E105" s="235"/>
      <c r="F105" s="236"/>
      <c r="G105" s="236"/>
      <c r="H105" s="237"/>
      <c r="I105" s="238"/>
      <c r="J105" s="239"/>
      <c r="K105" s="240"/>
      <c r="L105" s="241"/>
      <c r="M105" s="242"/>
      <c r="N105" s="167">
        <f>#REF!</f>
      </c>
      <c r="O105" s="167">
        <f>#REF!</f>
      </c>
      <c r="P105" s="260">
        <f>#REF!</f>
      </c>
      <c r="Q105" s="168">
        <f>P105*N105</f>
      </c>
      <c r="R105" s="425">
        <f>IFERROR(Q105/$Q$166,0)</f>
      </c>
      <c r="S105" s="371">
        <f ca="1">IF($AL$5&lt;=1,0,SUM(OFFSET('rincian '!#REF!,0,0,1,$AL$5-1)))</f>
      </c>
      <c r="T105" s="425">
        <f ca="1">IFERROR(S105/N105*R105,0)</f>
      </c>
      <c r="U105" s="372" cm="1">
        <f t="array" ref="U105">IFERROR(INDEX('rincian '!#REF!,$AL$5),0)</f>
      </c>
      <c r="V105" s="425">
        <f>IFERROR(U105/N105*R105,0)</f>
      </c>
      <c r="W105" s="244">
        <f ca="1">S105+U105</f>
      </c>
      <c r="X105" s="202">
        <f ca="1">T105+V105</f>
      </c>
      <c r="AL105" s="460"/>
      <c r="AM105" s="460"/>
      <c r="AN105" s="460"/>
      <c r="AO105" s="460"/>
      <c r="AP105" s="460"/>
      <c r="AQ105" s="460"/>
    </row>
    <row r="106" spans="2:43" s="105" customFormat="1" ht="27" customHeight="1">
      <c r="B106" s="370">
        <f>#REF!</f>
      </c>
      <c r="C106" s="232"/>
      <c r="D106" s="164">
        <f>IF(#REF!&lt;&gt;"",#REF!,IF(#REF!&lt;&gt;"",#REF!,""))</f>
      </c>
      <c r="E106" s="235"/>
      <c r="F106" s="236"/>
      <c r="G106" s="236"/>
      <c r="H106" s="237"/>
      <c r="I106" s="238"/>
      <c r="J106" s="239"/>
      <c r="K106" s="240"/>
      <c r="L106" s="241"/>
      <c r="M106" s="242"/>
      <c r="N106" s="167">
        <f>#REF!</f>
      </c>
      <c r="O106" s="167">
        <f>#REF!</f>
      </c>
      <c r="P106" s="260">
        <f>#REF!</f>
      </c>
      <c r="Q106" s="168">
        <f>P106*N106</f>
      </c>
      <c r="R106" s="425">
        <f>IFERROR(Q106/$Q$166,0)</f>
      </c>
      <c r="S106" s="371">
        <f ca="1">IF($AL$5&lt;=1,0,SUM(OFFSET('rincian '!#REF!,0,0,1,$AL$5-1)))</f>
      </c>
      <c r="T106" s="425">
        <f ca="1">IFERROR(S106/N106*R106,0)</f>
      </c>
      <c r="U106" s="372" cm="1">
        <f t="array" ref="U106">IFERROR(INDEX('rincian '!#REF!,$AL$5),0)</f>
      </c>
      <c r="V106" s="425">
        <f>IFERROR(U106/N106*R106,0)</f>
      </c>
      <c r="W106" s="244">
        <f ca="1">S106+U106</f>
      </c>
      <c r="X106" s="202">
        <f ca="1">T106+V106</f>
      </c>
      <c r="AL106" s="460"/>
      <c r="AM106" s="460"/>
      <c r="AN106" s="460"/>
      <c r="AO106" s="460"/>
      <c r="AP106" s="460"/>
      <c r="AQ106" s="460"/>
    </row>
    <row r="107" spans="2:43" s="105" customFormat="1" ht="27" customHeight="1">
      <c r="B107" s="401">
        <f>#REF!</f>
      </c>
      <c r="C107" s="373"/>
      <c r="D107" s="374">
        <f>IF(#REF!&lt;&gt;"",#REF!,IF(#REF!&lt;&gt;"",#REF!,""))</f>
      </c>
      <c r="E107" s="375"/>
      <c r="F107" s="376"/>
      <c r="G107" s="376"/>
      <c r="H107" s="377"/>
      <c r="I107" s="378"/>
      <c r="J107" s="379"/>
      <c r="K107" s="380"/>
      <c r="L107" s="381"/>
      <c r="M107" s="382"/>
      <c r="N107" s="167"/>
      <c r="O107" s="167"/>
      <c r="P107" s="260"/>
      <c r="Q107" s="168"/>
      <c r="R107" s="425"/>
      <c r="S107" s="371"/>
      <c r="T107" s="425"/>
      <c r="U107" s="372"/>
      <c r="V107" s="425"/>
      <c r="W107" s="244"/>
      <c r="X107" s="202"/>
      <c r="AL107" s="460"/>
      <c r="AM107" s="460"/>
      <c r="AN107" s="460"/>
      <c r="AO107" s="460"/>
      <c r="AP107" s="460"/>
      <c r="AQ107" s="460"/>
    </row>
    <row r="108" spans="2:43" s="105" customFormat="1" ht="27" customHeight="1">
      <c r="B108" s="370">
        <f>#REF!</f>
      </c>
      <c r="C108" s="232"/>
      <c r="D108" s="164">
        <f>IF(#REF!&lt;&gt;"",#REF!,IF(#REF!&lt;&gt;"",#REF!,""))</f>
      </c>
      <c r="E108" s="235"/>
      <c r="F108" s="236"/>
      <c r="G108" s="236"/>
      <c r="H108" s="237"/>
      <c r="I108" s="238"/>
      <c r="J108" s="239"/>
      <c r="K108" s="240"/>
      <c r="L108" s="241"/>
      <c r="M108" s="242"/>
      <c r="N108" s="167">
        <f>#REF!</f>
      </c>
      <c r="O108" s="167">
        <f>#REF!</f>
      </c>
      <c r="P108" s="260">
        <f>#REF!</f>
      </c>
      <c r="Q108" s="168">
        <f>P108*N108</f>
      </c>
      <c r="R108" s="425">
        <f>IFERROR(Q108/$Q$166,0)</f>
      </c>
      <c r="S108" s="371">
        <f ca="1">IF($AL$5&lt;=1,0,SUM(OFFSET('rincian '!#REF!,0,0,1,$AL$5-1)))</f>
      </c>
      <c r="T108" s="425">
        <f ca="1">IFERROR(S108/N108*R108,0)</f>
      </c>
      <c r="U108" s="372" cm="1">
        <f t="array" ref="U108">IFERROR(INDEX('rincian '!#REF!,$AL$5),0)</f>
      </c>
      <c r="V108" s="425">
        <f>IFERROR(U108/N108*R108,0)</f>
      </c>
      <c r="W108" s="244">
        <f ca="1">S108+U108</f>
      </c>
      <c r="X108" s="202">
        <f ca="1">T108+V108</f>
      </c>
      <c r="AL108" s="460"/>
      <c r="AM108" s="460"/>
      <c r="AN108" s="460"/>
      <c r="AO108" s="460"/>
      <c r="AP108" s="460"/>
      <c r="AQ108" s="460"/>
    </row>
    <row r="109" spans="2:43" s="105" customFormat="1" ht="27" customHeight="1">
      <c r="B109" s="370">
        <f>#REF!</f>
      </c>
      <c r="C109" s="232"/>
      <c r="D109" s="164">
        <f>IF(#REF!&lt;&gt;"",#REF!,IF(#REF!&lt;&gt;"",#REF!,""))</f>
      </c>
      <c r="E109" s="235"/>
      <c r="F109" s="236"/>
      <c r="G109" s="236"/>
      <c r="H109" s="237"/>
      <c r="I109" s="238"/>
      <c r="J109" s="239"/>
      <c r="K109" s="240"/>
      <c r="L109" s="241"/>
      <c r="M109" s="242"/>
      <c r="N109" s="167">
        <f>#REF!</f>
      </c>
      <c r="O109" s="167">
        <f>#REF!</f>
      </c>
      <c r="P109" s="260">
        <f>#REF!</f>
      </c>
      <c r="Q109" s="168">
        <f>P109*N109</f>
      </c>
      <c r="R109" s="425">
        <f>IFERROR(Q109/$Q$166,0)</f>
      </c>
      <c r="S109" s="371">
        <f ca="1">IF($AL$5&lt;=1,0,SUM(OFFSET('rincian '!#REF!,0,0,1,$AL$5-1)))</f>
      </c>
      <c r="T109" s="425">
        <f ca="1">IFERROR(S109/N109*R109,0)</f>
      </c>
      <c r="U109" s="372" cm="1">
        <f t="array" ref="U109">IFERROR(INDEX('rincian '!#REF!,$AL$5),0)</f>
      </c>
      <c r="V109" s="425">
        <f>IFERROR(U109/N109*R109,0)</f>
      </c>
      <c r="W109" s="244">
        <f ca="1">S109+U109</f>
      </c>
      <c r="X109" s="202">
        <f ca="1">T109+V109</f>
      </c>
      <c r="AL109" s="460"/>
      <c r="AM109" s="460"/>
      <c r="AN109" s="460"/>
      <c r="AO109" s="460"/>
      <c r="AP109" s="460"/>
      <c r="AQ109" s="460"/>
    </row>
    <row r="110" spans="2:43" s="105" customFormat="1" ht="27" customHeight="1">
      <c r="B110" s="401">
        <f>#REF!</f>
      </c>
      <c r="C110" s="373"/>
      <c r="D110" s="374">
        <f>IF(#REF!&lt;&gt;"",#REF!,IF(#REF!&lt;&gt;"",#REF!,""))</f>
      </c>
      <c r="E110" s="375"/>
      <c r="F110" s="376"/>
      <c r="G110" s="376"/>
      <c r="H110" s="377"/>
      <c r="I110" s="378"/>
      <c r="J110" s="379"/>
      <c r="K110" s="380"/>
      <c r="L110" s="381"/>
      <c r="M110" s="382"/>
      <c r="N110" s="167"/>
      <c r="O110" s="167"/>
      <c r="P110" s="260"/>
      <c r="Q110" s="168"/>
      <c r="R110" s="425"/>
      <c r="S110" s="371"/>
      <c r="T110" s="425"/>
      <c r="U110" s="372"/>
      <c r="V110" s="425"/>
      <c r="W110" s="244"/>
      <c r="X110" s="202"/>
      <c r="AL110" s="460"/>
      <c r="AM110" s="460"/>
      <c r="AN110" s="460"/>
      <c r="AO110" s="460"/>
      <c r="AP110" s="460"/>
      <c r="AQ110" s="460"/>
    </row>
    <row r="111" spans="2:43" s="105" customFormat="1" ht="27" customHeight="1">
      <c r="B111" s="370">
        <f>#REF!</f>
      </c>
      <c r="C111" s="232"/>
      <c r="D111" s="164">
        <f>IF(#REF!&lt;&gt;"",#REF!,IF(#REF!&lt;&gt;"",#REF!,""))</f>
      </c>
      <c r="E111" s="235"/>
      <c r="F111" s="236"/>
      <c r="G111" s="236"/>
      <c r="H111" s="237"/>
      <c r="I111" s="238"/>
      <c r="J111" s="239"/>
      <c r="K111" s="240"/>
      <c r="L111" s="241"/>
      <c r="M111" s="242"/>
      <c r="N111" s="167">
        <f>#REF!</f>
      </c>
      <c r="O111" s="167">
        <f>#REF!</f>
      </c>
      <c r="P111" s="260">
        <f>#REF!</f>
      </c>
      <c r="Q111" s="168">
        <f>P111*N111</f>
      </c>
      <c r="R111" s="425">
        <f>IFERROR(Q111/$Q$166,0)</f>
      </c>
      <c r="S111" s="371">
        <f ca="1">IF($AL$5&lt;=1,0,SUM(OFFSET('rincian '!#REF!,0,0,1,$AL$5-1)))</f>
      </c>
      <c r="T111" s="425">
        <f ca="1">IFERROR(S111/N111*R111,0)</f>
      </c>
      <c r="U111" s="372" cm="1">
        <f t="array" ref="U111">IFERROR(INDEX('rincian '!#REF!,$AL$5),0)</f>
      </c>
      <c r="V111" s="425">
        <f>IFERROR(U111/N111*R111,0)</f>
      </c>
      <c r="W111" s="244">
        <f t="shared" ref="W111:X114" ca="1" si="25">S111+U111</f>
      </c>
      <c r="X111" s="202">
        <f t="shared" ca="1" si="25"/>
      </c>
      <c r="AL111" s="460"/>
      <c r="AM111" s="460"/>
      <c r="AN111" s="460"/>
      <c r="AO111" s="460"/>
      <c r="AP111" s="460"/>
      <c r="AQ111" s="460"/>
    </row>
    <row r="112" spans="2:43" s="105" customFormat="1" ht="27" customHeight="1">
      <c r="B112" s="370">
        <f>#REF!</f>
      </c>
      <c r="C112" s="232"/>
      <c r="D112" s="164">
        <f>IF(#REF!&lt;&gt;"",#REF!,IF(#REF!&lt;&gt;"",#REF!,""))</f>
      </c>
      <c r="E112" s="235"/>
      <c r="F112" s="236"/>
      <c r="G112" s="236"/>
      <c r="H112" s="237"/>
      <c r="I112" s="238"/>
      <c r="J112" s="239"/>
      <c r="K112" s="240"/>
      <c r="L112" s="241"/>
      <c r="M112" s="242"/>
      <c r="N112" s="167">
        <f>#REF!</f>
      </c>
      <c r="O112" s="167">
        <f>#REF!</f>
      </c>
      <c r="P112" s="260">
        <f>#REF!</f>
      </c>
      <c r="Q112" s="168">
        <f>P112*N112</f>
      </c>
      <c r="R112" s="425">
        <f>IFERROR(Q112/$Q$166,0)</f>
      </c>
      <c r="S112" s="371">
        <f ca="1">IF($AL$5&lt;=1,0,SUM(OFFSET('rincian '!#REF!,0,0,1,$AL$5-1)))</f>
      </c>
      <c r="T112" s="425">
        <f ca="1">IFERROR(S112/N112*R112,0)</f>
      </c>
      <c r="U112" s="372" cm="1">
        <f t="array" ref="U112">IFERROR(INDEX('rincian '!#REF!,$AL$5),0)</f>
      </c>
      <c r="V112" s="425">
        <f>IFERROR(U112/N112*R112,0)</f>
      </c>
      <c r="W112" s="244">
        <f t="shared" ca="1" si="25"/>
      </c>
      <c r="X112" s="202">
        <f t="shared" ca="1" si="25"/>
      </c>
      <c r="AL112" s="460"/>
      <c r="AM112" s="460"/>
      <c r="AN112" s="460"/>
      <c r="AO112" s="460"/>
      <c r="AP112" s="460"/>
      <c r="AQ112" s="460"/>
    </row>
    <row r="113" spans="2:43" s="105" customFormat="1" ht="27" customHeight="1">
      <c r="B113" s="370">
        <f>#REF!</f>
      </c>
      <c r="C113" s="232"/>
      <c r="D113" s="164">
        <f>IF(#REF!&lt;&gt;"",#REF!,IF(#REF!&lt;&gt;"",#REF!,""))</f>
      </c>
      <c r="E113" s="235"/>
      <c r="F113" s="236"/>
      <c r="G113" s="236"/>
      <c r="H113" s="237"/>
      <c r="I113" s="238"/>
      <c r="J113" s="239"/>
      <c r="K113" s="240"/>
      <c r="L113" s="241"/>
      <c r="M113" s="242"/>
      <c r="N113" s="167">
        <f>#REF!</f>
      </c>
      <c r="O113" s="167">
        <f>#REF!</f>
      </c>
      <c r="P113" s="260">
        <f>#REF!</f>
      </c>
      <c r="Q113" s="168">
        <f>P113*N113</f>
      </c>
      <c r="R113" s="425">
        <f>IFERROR(Q113/$Q$166,0)</f>
      </c>
      <c r="S113" s="371">
        <f ca="1">IF($AL$5&lt;=1,0,SUM(OFFSET('rincian '!#REF!,0,0,1,$AL$5-1)))</f>
      </c>
      <c r="T113" s="425">
        <f ca="1">IFERROR(S113/N113*R113,0)</f>
      </c>
      <c r="U113" s="372" cm="1">
        <f t="array" ref="U113">IFERROR(INDEX('rincian '!#REF!,$AL$5),0)</f>
      </c>
      <c r="V113" s="425">
        <f>IFERROR(U113/N113*R113,0)</f>
      </c>
      <c r="W113" s="244">
        <f t="shared" ca="1" si="25"/>
      </c>
      <c r="X113" s="202">
        <f t="shared" ca="1" si="25"/>
      </c>
      <c r="AL113" s="460"/>
      <c r="AM113" s="460"/>
      <c r="AN113" s="460"/>
      <c r="AO113" s="460"/>
      <c r="AP113" s="460"/>
      <c r="AQ113" s="460"/>
    </row>
    <row r="114" spans="2:43" s="105" customFormat="1" ht="27" customHeight="1">
      <c r="B114" s="370">
        <f>#REF!</f>
      </c>
      <c r="C114" s="232"/>
      <c r="D114" s="164">
        <f>IF(#REF!&lt;&gt;"",#REF!,IF(#REF!&lt;&gt;"",#REF!,""))</f>
      </c>
      <c r="E114" s="235"/>
      <c r="F114" s="236"/>
      <c r="G114" s="236"/>
      <c r="H114" s="237"/>
      <c r="I114" s="238"/>
      <c r="J114" s="239"/>
      <c r="K114" s="240"/>
      <c r="L114" s="241"/>
      <c r="M114" s="242"/>
      <c r="N114" s="167">
        <f>#REF!</f>
      </c>
      <c r="O114" s="167">
        <f>#REF!</f>
      </c>
      <c r="P114" s="260">
        <f>#REF!</f>
      </c>
      <c r="Q114" s="168">
        <f>P114*N114</f>
      </c>
      <c r="R114" s="425">
        <f>IFERROR(Q114/$Q$166,0)</f>
      </c>
      <c r="S114" s="371">
        <f ca="1">IF($AL$5&lt;=1,0,SUM(OFFSET('rincian '!#REF!,0,0,1,$AL$5-1)))</f>
      </c>
      <c r="T114" s="425">
        <f ca="1">IFERROR(S114/N114*R114,0)</f>
      </c>
      <c r="U114" s="372" cm="1">
        <f t="array" ref="U114">IFERROR(INDEX('rincian '!#REF!,$AL$5),0)</f>
      </c>
      <c r="V114" s="425">
        <f>IFERROR(U114/N114*R114,0)</f>
      </c>
      <c r="W114" s="244">
        <f t="shared" ca="1" si="25"/>
      </c>
      <c r="X114" s="202">
        <f t="shared" ca="1" si="25"/>
      </c>
      <c r="AL114" s="460"/>
      <c r="AM114" s="460"/>
      <c r="AN114" s="460"/>
      <c r="AO114" s="460"/>
      <c r="AP114" s="460"/>
      <c r="AQ114" s="460"/>
    </row>
    <row r="115" spans="2:43" s="105" customFormat="1" ht="27" customHeight="1">
      <c r="B115" s="401">
        <f>#REF!</f>
      </c>
      <c r="C115" s="373"/>
      <c r="D115" s="374">
        <f>IF(#REF!&lt;&gt;"",#REF!,IF(#REF!&lt;&gt;"",#REF!,""))</f>
      </c>
      <c r="E115" s="375"/>
      <c r="F115" s="376"/>
      <c r="G115" s="376"/>
      <c r="H115" s="377"/>
      <c r="I115" s="378"/>
      <c r="J115" s="379"/>
      <c r="K115" s="380"/>
      <c r="L115" s="381"/>
      <c r="M115" s="382"/>
      <c r="N115" s="167"/>
      <c r="O115" s="167"/>
      <c r="P115" s="260"/>
      <c r="Q115" s="168"/>
      <c r="R115" s="425"/>
      <c r="S115" s="371"/>
      <c r="T115" s="425"/>
      <c r="U115" s="372"/>
      <c r="V115" s="425"/>
      <c r="W115" s="244"/>
      <c r="X115" s="202"/>
      <c r="AL115" s="460"/>
      <c r="AM115" s="460"/>
      <c r="AN115" s="460"/>
      <c r="AO115" s="460"/>
      <c r="AP115" s="460"/>
      <c r="AQ115" s="460"/>
    </row>
    <row r="116" spans="2:43" s="105" customFormat="1" ht="27" customHeight="1">
      <c r="B116" s="370">
        <f>#REF!</f>
      </c>
      <c r="C116" s="232"/>
      <c r="D116" s="164">
        <f>IF(#REF!&lt;&gt;"",#REF!,IF(#REF!&lt;&gt;"",#REF!,""))</f>
      </c>
      <c r="E116" s="235"/>
      <c r="F116" s="236"/>
      <c r="G116" s="236"/>
      <c r="H116" s="237"/>
      <c r="I116" s="238"/>
      <c r="J116" s="239"/>
      <c r="K116" s="240"/>
      <c r="L116" s="241"/>
      <c r="M116" s="242"/>
      <c r="N116" s="167">
        <f>#REF!</f>
      </c>
      <c r="O116" s="167">
        <f>#REF!</f>
      </c>
      <c r="P116" s="260">
        <f>#REF!</f>
      </c>
      <c r="Q116" s="168">
        <f>P116*N116</f>
      </c>
      <c r="R116" s="425">
        <f>IFERROR(Q116/$Q$166,0)</f>
      </c>
      <c r="S116" s="371">
        <f ca="1">IF($AL$5&lt;=1,0,SUM(OFFSET('rincian '!#REF!,0,0,1,$AL$5-1)))</f>
      </c>
      <c r="T116" s="425">
        <f ca="1">IFERROR(S116/N116*R116,0)</f>
      </c>
      <c r="U116" s="372" cm="1">
        <f t="array" ref="U116">IFERROR(INDEX('rincian '!#REF!,$AL$5),0)</f>
      </c>
      <c r="V116" s="425">
        <f>IFERROR(U116/N116*R116,0)</f>
      </c>
      <c r="W116" s="244">
        <f ca="1">S116+U116</f>
      </c>
      <c r="X116" s="202">
        <f ca="1">T116+V116</f>
      </c>
      <c r="AL116" s="460"/>
      <c r="AM116" s="460"/>
      <c r="AN116" s="460"/>
      <c r="AO116" s="460"/>
      <c r="AP116" s="460"/>
      <c r="AQ116" s="460"/>
    </row>
    <row r="117" spans="2:43" s="105" customFormat="1" ht="27" customHeight="1">
      <c r="B117" s="370">
        <f>#REF!</f>
      </c>
      <c r="C117" s="232"/>
      <c r="D117" s="164">
        <f>IF(#REF!&lt;&gt;"",#REF!,IF(#REF!&lt;&gt;"",#REF!,""))</f>
      </c>
      <c r="E117" s="235"/>
      <c r="F117" s="236"/>
      <c r="G117" s="236"/>
      <c r="H117" s="237"/>
      <c r="I117" s="238"/>
      <c r="J117" s="239"/>
      <c r="K117" s="240"/>
      <c r="L117" s="241"/>
      <c r="M117" s="242"/>
      <c r="N117" s="167">
        <f>#REF!</f>
      </c>
      <c r="O117" s="167">
        <f>#REF!</f>
      </c>
      <c r="P117" s="260">
        <f>#REF!</f>
      </c>
      <c r="Q117" s="168">
        <f>P117*N117</f>
      </c>
      <c r="R117" s="425">
        <f>IFERROR(Q117/$Q$166,0)</f>
      </c>
      <c r="S117" s="371">
        <f ca="1">IF($AL$5&lt;=1,0,SUM(OFFSET('rincian '!#REF!,0,0,1,$AL$5-1)))</f>
      </c>
      <c r="T117" s="425">
        <f ca="1">IFERROR(S117/N117*R117,0)</f>
      </c>
      <c r="U117" s="372" cm="1">
        <f t="array" ref="U117">IFERROR(INDEX('rincian '!#REF!,$AL$5),0)</f>
      </c>
      <c r="V117" s="425">
        <f>IFERROR(U117/N117*R117,0)</f>
      </c>
      <c r="W117" s="244">
        <f ca="1">S117+U117</f>
      </c>
      <c r="X117" s="202">
        <f ca="1">T117+V117</f>
      </c>
      <c r="AL117" s="460"/>
      <c r="AM117" s="460"/>
      <c r="AN117" s="460"/>
      <c r="AO117" s="460"/>
      <c r="AP117" s="460"/>
      <c r="AQ117" s="460"/>
    </row>
    <row r="118" spans="2:43" s="105" customFormat="1" ht="27" customHeight="1">
      <c r="B118" s="401">
        <f>#REF!</f>
      </c>
      <c r="C118" s="373"/>
      <c r="D118" s="374">
        <f>IF(#REF!&lt;&gt;"",#REF!,IF(#REF!&lt;&gt;"",#REF!,""))</f>
      </c>
      <c r="E118" s="375"/>
      <c r="F118" s="376"/>
      <c r="G118" s="376"/>
      <c r="H118" s="377"/>
      <c r="I118" s="378"/>
      <c r="J118" s="379"/>
      <c r="K118" s="380"/>
      <c r="L118" s="381"/>
      <c r="M118" s="382"/>
      <c r="N118" s="167"/>
      <c r="O118" s="167"/>
      <c r="P118" s="260"/>
      <c r="Q118" s="168"/>
      <c r="R118" s="425"/>
      <c r="S118" s="371"/>
      <c r="T118" s="425"/>
      <c r="U118" s="372"/>
      <c r="V118" s="425"/>
      <c r="W118" s="244"/>
      <c r="X118" s="202"/>
      <c r="AL118" s="460"/>
      <c r="AM118" s="460"/>
      <c r="AN118" s="460"/>
      <c r="AO118" s="460"/>
      <c r="AP118" s="460"/>
      <c r="AQ118" s="460"/>
    </row>
    <row r="119" spans="2:43" s="105" customFormat="1" ht="27" customHeight="1">
      <c r="B119" s="370">
        <f>#REF!</f>
      </c>
      <c r="C119" s="232"/>
      <c r="D119" s="164">
        <f>IF(#REF!&lt;&gt;"",#REF!,IF(#REF!&lt;&gt;"",#REF!,""))</f>
      </c>
      <c r="E119" s="235"/>
      <c r="F119" s="236"/>
      <c r="G119" s="236"/>
      <c r="H119" s="237"/>
      <c r="I119" s="238"/>
      <c r="J119" s="239"/>
      <c r="K119" s="240"/>
      <c r="L119" s="241"/>
      <c r="M119" s="242"/>
      <c r="N119" s="167">
        <f>#REF!</f>
      </c>
      <c r="O119" s="167">
        <f>#REF!</f>
      </c>
      <c r="P119" s="260">
        <f>#REF!</f>
      </c>
      <c r="Q119" s="168">
        <f>P119*N119</f>
      </c>
      <c r="R119" s="425">
        <f>IFERROR(Q119/$Q$166,0)</f>
      </c>
      <c r="S119" s="371">
        <f ca="1">IF($AL$5&lt;=1,0,SUM(OFFSET('rincian '!#REF!,0,0,1,$AL$5-1)))</f>
      </c>
      <c r="T119" s="425">
        <f ca="1">IFERROR(S119/N119*R119,0)</f>
      </c>
      <c r="U119" s="372" cm="1">
        <f t="array" ref="U119">IFERROR(INDEX('rincian '!#REF!,$AL$5),0)</f>
      </c>
      <c r="V119" s="425">
        <f>IFERROR(U119/N119*R119,0)</f>
      </c>
      <c r="W119" s="244">
        <f t="shared" ref="W119:X123" ca="1" si="26">S119+U119</f>
      </c>
      <c r="X119" s="202">
        <f t="shared" ca="1" si="26"/>
      </c>
      <c r="AL119" s="460"/>
      <c r="AM119" s="460"/>
      <c r="AN119" s="460"/>
      <c r="AO119" s="460"/>
      <c r="AP119" s="460"/>
      <c r="AQ119" s="460"/>
    </row>
    <row r="120" spans="2:43" s="105" customFormat="1" ht="27" customHeight="1">
      <c r="B120" s="370">
        <f>#REF!</f>
      </c>
      <c r="C120" s="232"/>
      <c r="D120" s="164">
        <f>IF(#REF!&lt;&gt;"",#REF!,IF(#REF!&lt;&gt;"",#REF!,""))</f>
      </c>
      <c r="E120" s="235"/>
      <c r="F120" s="236"/>
      <c r="G120" s="236"/>
      <c r="H120" s="237"/>
      <c r="I120" s="238"/>
      <c r="J120" s="239"/>
      <c r="K120" s="240"/>
      <c r="L120" s="241"/>
      <c r="M120" s="242"/>
      <c r="N120" s="167">
        <f>#REF!</f>
      </c>
      <c r="O120" s="167">
        <f>#REF!</f>
      </c>
      <c r="P120" s="260">
        <f>#REF!</f>
      </c>
      <c r="Q120" s="168">
        <f>P120*N120</f>
      </c>
      <c r="R120" s="425">
        <f>IFERROR(Q120/$Q$166,0)</f>
      </c>
      <c r="S120" s="371">
        <f ca="1">IF($AL$5&lt;=1,0,SUM(OFFSET('rincian '!#REF!,0,0,1,$AL$5-1)))</f>
      </c>
      <c r="T120" s="425">
        <f ca="1">IFERROR(S120/N120*R120,0)</f>
      </c>
      <c r="U120" s="372" cm="1">
        <f t="array" ref="U120">IFERROR(INDEX('rincian '!#REF!,$AL$5),0)</f>
      </c>
      <c r="V120" s="425">
        <f>IFERROR(U120/N120*R120,0)</f>
      </c>
      <c r="W120" s="244">
        <f t="shared" ca="1" si="26"/>
      </c>
      <c r="X120" s="202">
        <f t="shared" ca="1" si="26"/>
      </c>
      <c r="AL120" s="460"/>
      <c r="AM120" s="460"/>
      <c r="AN120" s="460"/>
      <c r="AO120" s="460"/>
      <c r="AP120" s="460"/>
      <c r="AQ120" s="460"/>
    </row>
    <row r="121" spans="2:43" s="105" customFormat="1" ht="27" customHeight="1">
      <c r="B121" s="370">
        <f>#REF!</f>
      </c>
      <c r="C121" s="232"/>
      <c r="D121" s="164">
        <f>IF(#REF!&lt;&gt;"",#REF!,IF(#REF!&lt;&gt;"",#REF!,""))</f>
      </c>
      <c r="E121" s="235"/>
      <c r="F121" s="236"/>
      <c r="G121" s="236"/>
      <c r="H121" s="237"/>
      <c r="I121" s="238"/>
      <c r="J121" s="239"/>
      <c r="K121" s="240"/>
      <c r="L121" s="241"/>
      <c r="M121" s="242"/>
      <c r="N121" s="167">
        <f>#REF!</f>
      </c>
      <c r="O121" s="167">
        <f>#REF!</f>
      </c>
      <c r="P121" s="260">
        <f>#REF!</f>
      </c>
      <c r="Q121" s="168">
        <f>P121*N121</f>
      </c>
      <c r="R121" s="425">
        <f>IFERROR(Q121/$Q$166,0)</f>
      </c>
      <c r="S121" s="371">
        <f ca="1">IF($AL$5&lt;=1,0,SUM(OFFSET('rincian '!#REF!,0,0,1,$AL$5-1)))</f>
      </c>
      <c r="T121" s="425">
        <f ca="1">IFERROR(S121/N121*R121,0)</f>
      </c>
      <c r="U121" s="372" cm="1">
        <f t="array" ref="U121">IFERROR(INDEX('rincian '!#REF!,$AL$5),0)</f>
      </c>
      <c r="V121" s="425">
        <f>IFERROR(U121/N121*R121,0)</f>
      </c>
      <c r="W121" s="244">
        <f t="shared" ca="1" si="26"/>
      </c>
      <c r="X121" s="202">
        <f t="shared" ca="1" si="26"/>
      </c>
      <c r="AL121" s="460"/>
      <c r="AM121" s="460"/>
      <c r="AN121" s="460"/>
      <c r="AO121" s="460"/>
      <c r="AP121" s="460"/>
      <c r="AQ121" s="460"/>
    </row>
    <row r="122" spans="2:43" s="105" customFormat="1" ht="27" customHeight="1">
      <c r="B122" s="370">
        <f>#REF!</f>
      </c>
      <c r="C122" s="232"/>
      <c r="D122" s="164">
        <f>IF(#REF!&lt;&gt;"",#REF!,IF(#REF!&lt;&gt;"",#REF!,""))</f>
      </c>
      <c r="E122" s="235"/>
      <c r="F122" s="236"/>
      <c r="G122" s="236"/>
      <c r="H122" s="237"/>
      <c r="I122" s="238"/>
      <c r="J122" s="239"/>
      <c r="K122" s="240"/>
      <c r="L122" s="241"/>
      <c r="M122" s="242"/>
      <c r="N122" s="167">
        <f>#REF!</f>
      </c>
      <c r="O122" s="167">
        <f>#REF!</f>
      </c>
      <c r="P122" s="260">
        <f>#REF!</f>
      </c>
      <c r="Q122" s="168">
        <f>P122*N122</f>
      </c>
      <c r="R122" s="425">
        <f>IFERROR(Q122/$Q$166,0)</f>
      </c>
      <c r="S122" s="371">
        <f ca="1">IF($AL$5&lt;=1,0,SUM(OFFSET('rincian '!#REF!,0,0,1,$AL$5-1)))</f>
      </c>
      <c r="T122" s="425">
        <f ca="1">IFERROR(S122/N122*R122,0)</f>
      </c>
      <c r="U122" s="372" cm="1">
        <f t="array" ref="U122">IFERROR(INDEX('rincian '!#REF!,$AL$5),0)</f>
      </c>
      <c r="V122" s="425">
        <f>IFERROR(U122/N122*R122,0)</f>
      </c>
      <c r="W122" s="244">
        <f t="shared" ca="1" si="26"/>
      </c>
      <c r="X122" s="202">
        <f t="shared" ca="1" si="26"/>
      </c>
      <c r="AL122" s="460"/>
      <c r="AM122" s="460"/>
      <c r="AN122" s="460"/>
      <c r="AO122" s="460"/>
      <c r="AP122" s="460"/>
      <c r="AQ122" s="460"/>
    </row>
    <row r="123" spans="2:43" s="105" customFormat="1" ht="27" customHeight="1">
      <c r="B123" s="370">
        <f>#REF!</f>
      </c>
      <c r="C123" s="232"/>
      <c r="D123" s="164">
        <f>IF(#REF!&lt;&gt;"",#REF!,IF(#REF!&lt;&gt;"",#REF!,""))</f>
      </c>
      <c r="E123" s="235"/>
      <c r="F123" s="236"/>
      <c r="G123" s="236"/>
      <c r="H123" s="237"/>
      <c r="I123" s="238"/>
      <c r="J123" s="239"/>
      <c r="K123" s="240"/>
      <c r="L123" s="241"/>
      <c r="M123" s="242"/>
      <c r="N123" s="167">
        <f>#REF!</f>
      </c>
      <c r="O123" s="167">
        <f>#REF!</f>
      </c>
      <c r="P123" s="260">
        <f>#REF!</f>
      </c>
      <c r="Q123" s="168">
        <f>P123*N123</f>
      </c>
      <c r="R123" s="425">
        <f>IFERROR(Q123/$Q$166,0)</f>
      </c>
      <c r="S123" s="371">
        <f ca="1">IF($AL$5&lt;=1,0,SUM(OFFSET('rincian '!#REF!,0,0,1,$AL$5-1)))</f>
      </c>
      <c r="T123" s="425">
        <f ca="1">IFERROR(S123/N123*R123,0)</f>
      </c>
      <c r="U123" s="372" cm="1">
        <f t="array" ref="U123">IFERROR(INDEX('rincian '!#REF!,$AL$5),0)</f>
      </c>
      <c r="V123" s="425">
        <f>IFERROR(U123/N123*R123,0)</f>
      </c>
      <c r="W123" s="244">
        <f t="shared" ca="1" si="26"/>
      </c>
      <c r="X123" s="202">
        <f t="shared" ca="1" si="26"/>
      </c>
      <c r="AL123" s="460"/>
      <c r="AM123" s="460"/>
      <c r="AN123" s="460"/>
      <c r="AO123" s="460"/>
      <c r="AP123" s="460"/>
      <c r="AQ123" s="460"/>
    </row>
    <row r="124" spans="2:43" s="105" customFormat="1" ht="27" customHeight="1">
      <c r="B124" s="401">
        <f>#REF!</f>
      </c>
      <c r="C124" s="373"/>
      <c r="D124" s="374">
        <f>IF(#REF!&lt;&gt;"",#REF!,IF(#REF!&lt;&gt;"",#REF!,""))</f>
      </c>
      <c r="E124" s="375"/>
      <c r="F124" s="376"/>
      <c r="G124" s="376"/>
      <c r="H124" s="377"/>
      <c r="I124" s="378"/>
      <c r="J124" s="379"/>
      <c r="K124" s="380"/>
      <c r="L124" s="381"/>
      <c r="M124" s="382"/>
      <c r="N124" s="167"/>
      <c r="O124" s="167"/>
      <c r="P124" s="260"/>
      <c r="Q124" s="168"/>
      <c r="R124" s="425"/>
      <c r="S124" s="371"/>
      <c r="T124" s="425"/>
      <c r="U124" s="372"/>
      <c r="V124" s="425"/>
      <c r="W124" s="244"/>
      <c r="X124" s="202"/>
      <c r="AL124" s="460"/>
      <c r="AM124" s="460"/>
      <c r="AN124" s="460"/>
      <c r="AO124" s="460"/>
      <c r="AP124" s="460"/>
      <c r="AQ124" s="460"/>
    </row>
    <row r="125" spans="2:43" s="105" customFormat="1" ht="27" customHeight="1">
      <c r="B125" s="370">
        <f>#REF!</f>
      </c>
      <c r="C125" s="232"/>
      <c r="D125" s="164">
        <f>IF(#REF!&lt;&gt;"",#REF!,IF(#REF!&lt;&gt;"",#REF!,""))</f>
      </c>
      <c r="E125" s="235"/>
      <c r="F125" s="236"/>
      <c r="G125" s="236"/>
      <c r="H125" s="237"/>
      <c r="I125" s="238"/>
      <c r="J125" s="239"/>
      <c r="K125" s="240"/>
      <c r="L125" s="241"/>
      <c r="M125" s="242"/>
      <c r="N125" s="167">
        <f>#REF!</f>
      </c>
      <c r="O125" s="167">
        <f>#REF!</f>
      </c>
      <c r="P125" s="260">
        <f>#REF!</f>
      </c>
      <c r="Q125" s="168">
        <f>P125*N125</f>
      </c>
      <c r="R125" s="425">
        <f>IFERROR(Q125/$Q$166,0)</f>
      </c>
      <c r="S125" s="371">
        <f ca="1">IF($AL$5&lt;=1,0,SUM(OFFSET('rincian '!#REF!,0,0,1,$AL$5-1)))</f>
      </c>
      <c r="T125" s="425">
        <f ca="1">IFERROR(S125/N125*R125,0)</f>
      </c>
      <c r="U125" s="372" cm="1">
        <f t="array" ref="U125">IFERROR(INDEX('rincian '!#REF!,$AL$5),0)</f>
      </c>
      <c r="V125" s="425">
        <f>IFERROR(U125/N125*R125,0)</f>
      </c>
      <c r="W125" s="244">
        <f ca="1">S125+U125</f>
      </c>
      <c r="X125" s="202">
        <f ca="1">T125+V125</f>
      </c>
      <c r="AL125" s="460"/>
      <c r="AM125" s="460"/>
      <c r="AN125" s="460"/>
      <c r="AO125" s="460"/>
      <c r="AP125" s="460"/>
      <c r="AQ125" s="460"/>
    </row>
    <row r="126" spans="2:43" s="105" customFormat="1" ht="27" customHeight="1">
      <c r="B126" s="370">
        <f>#REF!</f>
      </c>
      <c r="C126" s="232"/>
      <c r="D126" s="164">
        <f>IF(#REF!&lt;&gt;"",#REF!,IF(#REF!&lt;&gt;"",#REF!,""))</f>
      </c>
      <c r="E126" s="235"/>
      <c r="F126" s="236"/>
      <c r="G126" s="236"/>
      <c r="H126" s="237"/>
      <c r="I126" s="238"/>
      <c r="J126" s="239"/>
      <c r="K126" s="240"/>
      <c r="L126" s="241"/>
      <c r="M126" s="242"/>
      <c r="N126" s="167">
        <f>#REF!</f>
      </c>
      <c r="O126" s="167">
        <f>#REF!</f>
      </c>
      <c r="P126" s="260">
        <f>#REF!</f>
      </c>
      <c r="Q126" s="168">
        <f>P126*N126</f>
      </c>
      <c r="R126" s="425">
        <f>IFERROR(Q126/$Q$166,0)</f>
      </c>
      <c r="S126" s="371">
        <f ca="1">IF($AL$5&lt;=1,0,SUM(OFFSET('rincian '!#REF!,0,0,1,$AL$5-1)))</f>
      </c>
      <c r="T126" s="425">
        <f ca="1">IFERROR(S126/N126*R126,0)</f>
      </c>
      <c r="U126" s="372" cm="1">
        <f t="array" ref="U126">IFERROR(INDEX('rincian '!#REF!,$AL$5),0)</f>
      </c>
      <c r="V126" s="425">
        <f>IFERROR(U126/N126*R126,0)</f>
      </c>
      <c r="W126" s="244">
        <f ca="1">S126+U126</f>
      </c>
      <c r="X126" s="202">
        <f ca="1">T126+V126</f>
      </c>
      <c r="AL126" s="460"/>
      <c r="AM126" s="460"/>
      <c r="AN126" s="460"/>
      <c r="AO126" s="460"/>
      <c r="AP126" s="460"/>
      <c r="AQ126" s="460"/>
    </row>
    <row r="127" spans="2:43" s="105" customFormat="1" ht="27" customHeight="1">
      <c r="B127" s="401">
        <f>#REF!</f>
      </c>
      <c r="C127" s="373"/>
      <c r="D127" s="374">
        <f>IF(#REF!&lt;&gt;"",#REF!,IF(#REF!&lt;&gt;"",#REF!,""))</f>
      </c>
      <c r="E127" s="375"/>
      <c r="F127" s="376"/>
      <c r="G127" s="376"/>
      <c r="H127" s="377"/>
      <c r="I127" s="378"/>
      <c r="J127" s="379"/>
      <c r="K127" s="380"/>
      <c r="L127" s="381"/>
      <c r="M127" s="382"/>
      <c r="N127" s="167"/>
      <c r="O127" s="167"/>
      <c r="P127" s="260"/>
      <c r="Q127" s="168"/>
      <c r="R127" s="425"/>
      <c r="S127" s="371"/>
      <c r="T127" s="425"/>
      <c r="U127" s="372"/>
      <c r="V127" s="425"/>
      <c r="W127" s="244"/>
      <c r="X127" s="202"/>
      <c r="AL127" s="460"/>
      <c r="AM127" s="460"/>
      <c r="AN127" s="460"/>
      <c r="AO127" s="460"/>
      <c r="AP127" s="460"/>
      <c r="AQ127" s="460"/>
    </row>
    <row r="128" spans="2:43" s="105" customFormat="1" ht="27" customHeight="1">
      <c r="B128" s="370">
        <f>#REF!</f>
      </c>
      <c r="C128" s="232"/>
      <c r="D128" s="164">
        <f>IF(#REF!&lt;&gt;"",#REF!,IF(#REF!&lt;&gt;"",#REF!,""))</f>
      </c>
      <c r="E128" s="235"/>
      <c r="F128" s="236"/>
      <c r="G128" s="236"/>
      <c r="H128" s="237"/>
      <c r="I128" s="238"/>
      <c r="J128" s="239"/>
      <c r="K128" s="240"/>
      <c r="L128" s="241"/>
      <c r="M128" s="242"/>
      <c r="N128" s="167">
        <f>#REF!</f>
      </c>
      <c r="O128" s="167">
        <f>#REF!</f>
      </c>
      <c r="P128" s="260">
        <f>#REF!</f>
      </c>
      <c r="Q128" s="168">
        <f>P128*N128</f>
      </c>
      <c r="R128" s="425">
        <f>IFERROR(Q128/$Q$166,0)</f>
      </c>
      <c r="S128" s="371">
        <f ca="1">IF($AL$5&lt;=1,0,SUM(OFFSET('rincian '!#REF!,0,0,1,$AL$5-1)))</f>
      </c>
      <c r="T128" s="425">
        <f ca="1">IFERROR(S128/N128*R128,0)</f>
      </c>
      <c r="U128" s="372" cm="1">
        <f t="array" ref="U128">IFERROR(INDEX('rincian '!#REF!,$AL$5),0)</f>
      </c>
      <c r="V128" s="425">
        <f>IFERROR(U128/N128*R128,0)</f>
      </c>
      <c r="W128" s="244">
        <f t="shared" ref="W128:X130" ca="1" si="27">S128+U128</f>
      </c>
      <c r="X128" s="202">
        <f t="shared" ca="1" si="27"/>
      </c>
      <c r="AL128" s="460"/>
      <c r="AM128" s="460"/>
      <c r="AN128" s="460"/>
      <c r="AO128" s="460"/>
      <c r="AP128" s="460"/>
      <c r="AQ128" s="460"/>
    </row>
    <row r="129" spans="2:43" s="105" customFormat="1" ht="27" customHeight="1">
      <c r="B129" s="370">
        <f>#REF!</f>
      </c>
      <c r="C129" s="232"/>
      <c r="D129" s="164">
        <f>IF(#REF!&lt;&gt;"",#REF!,IF(#REF!&lt;&gt;"",#REF!,""))</f>
      </c>
      <c r="E129" s="235"/>
      <c r="F129" s="236"/>
      <c r="G129" s="236"/>
      <c r="H129" s="237"/>
      <c r="I129" s="238"/>
      <c r="J129" s="239"/>
      <c r="K129" s="240"/>
      <c r="L129" s="241"/>
      <c r="M129" s="242"/>
      <c r="N129" s="167">
        <f>#REF!</f>
      </c>
      <c r="O129" s="167">
        <f>#REF!</f>
      </c>
      <c r="P129" s="260">
        <f>#REF!</f>
      </c>
      <c r="Q129" s="168">
        <f>P129*N129</f>
      </c>
      <c r="R129" s="425">
        <f>IFERROR(Q129/$Q$166,0)</f>
      </c>
      <c r="S129" s="371">
        <f ca="1">IF($AL$5&lt;=1,0,SUM(OFFSET('rincian '!#REF!,0,0,1,$AL$5-1)))</f>
      </c>
      <c r="T129" s="425">
        <f ca="1">IFERROR(S129/N129*R129,0)</f>
      </c>
      <c r="U129" s="372" cm="1">
        <f t="array" ref="U129">IFERROR(INDEX('rincian '!#REF!,$AL$5),0)</f>
      </c>
      <c r="V129" s="425">
        <f>IFERROR(U129/N129*R129,0)</f>
      </c>
      <c r="W129" s="244">
        <f t="shared" ca="1" si="27"/>
      </c>
      <c r="X129" s="202">
        <f t="shared" ca="1" si="27"/>
      </c>
      <c r="AL129" s="460"/>
      <c r="AM129" s="460"/>
      <c r="AN129" s="460"/>
      <c r="AO129" s="460"/>
      <c r="AP129" s="460"/>
      <c r="AQ129" s="460"/>
    </row>
    <row r="130" spans="2:43" s="105" customFormat="1" ht="27" customHeight="1">
      <c r="B130" s="370">
        <f>#REF!</f>
      </c>
      <c r="C130" s="232"/>
      <c r="D130" s="164">
        <f>IF(#REF!&lt;&gt;"",#REF!,IF(#REF!&lt;&gt;"",#REF!,""))</f>
      </c>
      <c r="E130" s="235"/>
      <c r="F130" s="236"/>
      <c r="G130" s="236"/>
      <c r="H130" s="237"/>
      <c r="I130" s="238"/>
      <c r="J130" s="239"/>
      <c r="K130" s="240"/>
      <c r="L130" s="241"/>
      <c r="M130" s="242"/>
      <c r="N130" s="167">
        <f>#REF!</f>
      </c>
      <c r="O130" s="167">
        <f>#REF!</f>
      </c>
      <c r="P130" s="260">
        <f>#REF!</f>
      </c>
      <c r="Q130" s="168">
        <f>P130*N130</f>
      </c>
      <c r="R130" s="425">
        <f>IFERROR(Q130/$Q$166,0)</f>
      </c>
      <c r="S130" s="371">
        <f ca="1">IF($AL$5&lt;=1,0,SUM(OFFSET('rincian '!#REF!,0,0,1,$AL$5-1)))</f>
      </c>
      <c r="T130" s="425">
        <f ca="1">IFERROR(S130/N130*R130,0)</f>
      </c>
      <c r="U130" s="372" cm="1">
        <f t="array" ref="U130">IFERROR(INDEX('rincian '!#REF!,$AL$5),0)</f>
      </c>
      <c r="V130" s="425">
        <f>IFERROR(U130/N130*R130,0)</f>
      </c>
      <c r="W130" s="244">
        <f t="shared" ca="1" si="27"/>
      </c>
      <c r="X130" s="202">
        <f t="shared" ca="1" si="27"/>
      </c>
      <c r="AL130" s="460"/>
      <c r="AM130" s="460"/>
      <c r="AN130" s="460"/>
      <c r="AO130" s="460"/>
      <c r="AP130" s="460"/>
      <c r="AQ130" s="460"/>
    </row>
    <row r="131" spans="2:43" s="105" customFormat="1" ht="27" customHeight="1">
      <c r="B131" s="401">
        <f>#REF!</f>
      </c>
      <c r="C131" s="373"/>
      <c r="D131" s="374">
        <f>IF(#REF!&lt;&gt;"",#REF!,IF(#REF!&lt;&gt;"",#REF!,""))</f>
      </c>
      <c r="E131" s="375"/>
      <c r="F131" s="376"/>
      <c r="G131" s="376"/>
      <c r="H131" s="377"/>
      <c r="I131" s="378"/>
      <c r="J131" s="379"/>
      <c r="K131" s="380"/>
      <c r="L131" s="381"/>
      <c r="M131" s="382"/>
      <c r="N131" s="167"/>
      <c r="O131" s="167"/>
      <c r="P131" s="260"/>
      <c r="Q131" s="168"/>
      <c r="R131" s="425"/>
      <c r="S131" s="371"/>
      <c r="T131" s="425"/>
      <c r="U131" s="372"/>
      <c r="V131" s="425"/>
      <c r="W131" s="244"/>
      <c r="X131" s="202"/>
      <c r="AL131" s="460"/>
      <c r="AM131" s="460"/>
      <c r="AN131" s="460"/>
      <c r="AO131" s="460"/>
      <c r="AP131" s="460"/>
      <c r="AQ131" s="460"/>
    </row>
    <row r="132" spans="2:43" s="105" customFormat="1" ht="27" customHeight="1">
      <c r="B132" s="370">
        <f>#REF!</f>
      </c>
      <c r="C132" s="232"/>
      <c r="D132" s="164">
        <f>IF(#REF!&lt;&gt;"",#REF!,IF(#REF!&lt;&gt;"",#REF!,""))</f>
      </c>
      <c r="E132" s="235"/>
      <c r="F132" s="236"/>
      <c r="G132" s="236"/>
      <c r="H132" s="237"/>
      <c r="I132" s="238"/>
      <c r="J132" s="239"/>
      <c r="K132" s="240"/>
      <c r="L132" s="241"/>
      <c r="M132" s="242"/>
      <c r="N132" s="167">
        <f>#REF!</f>
      </c>
      <c r="O132" s="167">
        <f>#REF!</f>
      </c>
      <c r="P132" s="260">
        <f>#REF!</f>
      </c>
      <c r="Q132" s="168">
        <f>P132*N132</f>
      </c>
      <c r="R132" s="425">
        <f>IFERROR(Q132/$Q$166,0)</f>
      </c>
      <c r="S132" s="371">
        <f ca="1">IF($AL$5&lt;=1,0,SUM(OFFSET('rincian '!#REF!,0,0,1,$AL$5-1)))</f>
      </c>
      <c r="T132" s="425">
        <f ca="1">IFERROR(S132/N132*R132,0)</f>
      </c>
      <c r="U132" s="372" cm="1">
        <f t="array" ref="U132">IFERROR(INDEX('rincian '!#REF!,$AL$5),0)</f>
      </c>
      <c r="V132" s="425">
        <f>IFERROR(U132/N132*R132,0)</f>
      </c>
      <c r="W132" s="244">
        <f ca="1">S132+U132</f>
      </c>
      <c r="X132" s="202">
        <f ca="1">T132+V132</f>
      </c>
      <c r="AL132" s="460"/>
      <c r="AM132" s="460"/>
      <c r="AN132" s="460"/>
      <c r="AO132" s="460"/>
      <c r="AP132" s="460"/>
      <c r="AQ132" s="460"/>
    </row>
    <row r="133" spans="2:43" s="105" customFormat="1" ht="27" customHeight="1">
      <c r="B133" s="370">
        <f>#REF!</f>
      </c>
      <c r="C133" s="232"/>
      <c r="D133" s="164">
        <f>IF(#REF!&lt;&gt;"",#REF!,IF(#REF!&lt;&gt;"",#REF!,""))</f>
      </c>
      <c r="E133" s="235"/>
      <c r="F133" s="236"/>
      <c r="G133" s="236"/>
      <c r="H133" s="237"/>
      <c r="I133" s="238"/>
      <c r="J133" s="239"/>
      <c r="K133" s="240"/>
      <c r="L133" s="241"/>
      <c r="M133" s="242"/>
      <c r="N133" s="167">
        <f>#REF!</f>
      </c>
      <c r="O133" s="167">
        <f>#REF!</f>
      </c>
      <c r="P133" s="260">
        <f>#REF!</f>
      </c>
      <c r="Q133" s="168">
        <f>P133*N133</f>
      </c>
      <c r="R133" s="425">
        <f>IFERROR(Q133/$Q$166,0)</f>
      </c>
      <c r="S133" s="371">
        <f ca="1">IF($AL$5&lt;=1,0,SUM(OFFSET('rincian '!#REF!,0,0,1,$AL$5-1)))</f>
      </c>
      <c r="T133" s="425">
        <f ca="1">IFERROR(S133/N133*R133,0)</f>
      </c>
      <c r="U133" s="372" cm="1">
        <f t="array" ref="U133">IFERROR(INDEX('rincian '!#REF!,$AL$5),0)</f>
      </c>
      <c r="V133" s="425">
        <f>IFERROR(U133/N133*R133,0)</f>
      </c>
      <c r="W133" s="244">
        <f ca="1">S133+U133</f>
      </c>
      <c r="X133" s="202">
        <f ca="1">T133+V133</f>
      </c>
      <c r="AL133" s="460"/>
      <c r="AM133" s="460"/>
      <c r="AN133" s="460"/>
      <c r="AO133" s="460"/>
      <c r="AP133" s="460"/>
      <c r="AQ133" s="460"/>
    </row>
    <row r="134" spans="2:43" s="105" customFormat="1" ht="27" customHeight="1">
      <c r="B134" s="401">
        <f>#REF!</f>
      </c>
      <c r="C134" s="373"/>
      <c r="D134" s="374">
        <f>IF(#REF!&lt;&gt;"",#REF!,IF(#REF!&lt;&gt;"",#REF!,""))</f>
      </c>
      <c r="E134" s="375"/>
      <c r="F134" s="376"/>
      <c r="G134" s="376"/>
      <c r="H134" s="377"/>
      <c r="I134" s="378"/>
      <c r="J134" s="379"/>
      <c r="K134" s="380"/>
      <c r="L134" s="381"/>
      <c r="M134" s="382"/>
      <c r="N134" s="167"/>
      <c r="O134" s="167"/>
      <c r="P134" s="260"/>
      <c r="Q134" s="168"/>
      <c r="R134" s="425"/>
      <c r="S134" s="371"/>
      <c r="T134" s="425"/>
      <c r="U134" s="372"/>
      <c r="V134" s="425"/>
      <c r="W134" s="244"/>
      <c r="X134" s="202"/>
      <c r="AL134" s="460"/>
      <c r="AM134" s="460"/>
      <c r="AN134" s="460"/>
      <c r="AO134" s="460"/>
      <c r="AP134" s="460"/>
      <c r="AQ134" s="460"/>
    </row>
    <row r="135" spans="2:43" s="105" customFormat="1" ht="27" customHeight="1">
      <c r="B135" s="370">
        <f>#REF!</f>
      </c>
      <c r="C135" s="232"/>
      <c r="D135" s="164">
        <f>IF(#REF!&lt;&gt;"",#REF!,IF(#REF!&lt;&gt;"",#REF!,""))</f>
      </c>
      <c r="E135" s="235"/>
      <c r="F135" s="236"/>
      <c r="G135" s="236"/>
      <c r="H135" s="237"/>
      <c r="I135" s="238"/>
      <c r="J135" s="239"/>
      <c r="K135" s="240"/>
      <c r="L135" s="241"/>
      <c r="M135" s="242"/>
      <c r="N135" s="167">
        <f>#REF!</f>
      </c>
      <c r="O135" s="167">
        <f>#REF!</f>
      </c>
      <c r="P135" s="260">
        <f>#REF!</f>
      </c>
      <c r="Q135" s="168">
        <f>P135*N135</f>
      </c>
      <c r="R135" s="425">
        <f>IFERROR(Q135/$Q$166,0)</f>
      </c>
      <c r="S135" s="371">
        <f ca="1">IF($AL$5&lt;=1,0,SUM(OFFSET('rincian '!#REF!,0,0,1,$AL$5-1)))</f>
      </c>
      <c r="T135" s="425">
        <f ca="1">IFERROR(S135/N135*R135,0)</f>
      </c>
      <c r="U135" s="372" cm="1">
        <f t="array" ref="U135">IFERROR(INDEX('rincian '!#REF!,$AL$5),0)</f>
      </c>
      <c r="V135" s="425">
        <f>IFERROR(U135/N135*R135,0)</f>
      </c>
      <c r="W135" s="244">
        <f t="shared" ref="W135:X137" ca="1" si="28">S135+U135</f>
      </c>
      <c r="X135" s="202">
        <f t="shared" ca="1" si="28"/>
      </c>
      <c r="AL135" s="460"/>
      <c r="AM135" s="460"/>
      <c r="AN135" s="460"/>
      <c r="AO135" s="460"/>
      <c r="AP135" s="460"/>
      <c r="AQ135" s="460"/>
    </row>
    <row r="136" spans="2:43" s="105" customFormat="1" ht="27" customHeight="1">
      <c r="B136" s="370">
        <f>#REF!</f>
      </c>
      <c r="C136" s="232"/>
      <c r="D136" s="164">
        <f>IF(#REF!&lt;&gt;"",#REF!,IF(#REF!&lt;&gt;"",#REF!,""))</f>
      </c>
      <c r="E136" s="235"/>
      <c r="F136" s="236"/>
      <c r="G136" s="236"/>
      <c r="H136" s="237"/>
      <c r="I136" s="238"/>
      <c r="J136" s="239"/>
      <c r="K136" s="240"/>
      <c r="L136" s="241"/>
      <c r="M136" s="242"/>
      <c r="N136" s="167">
        <f>#REF!</f>
      </c>
      <c r="O136" s="167">
        <f>#REF!</f>
      </c>
      <c r="P136" s="260">
        <f>#REF!</f>
      </c>
      <c r="Q136" s="168">
        <f>P136*N136</f>
      </c>
      <c r="R136" s="425">
        <f>IFERROR(Q136/$Q$166,0)</f>
      </c>
      <c r="S136" s="371">
        <f ca="1">IF($AL$5&lt;=1,0,SUM(OFFSET('rincian '!#REF!,0,0,1,$AL$5-1)))</f>
      </c>
      <c r="T136" s="425">
        <f ca="1">IFERROR(S136/N136*R136,0)</f>
      </c>
      <c r="U136" s="372" cm="1">
        <f t="array" ref="U136">IFERROR(INDEX('rincian '!#REF!,$AL$5),0)</f>
      </c>
      <c r="V136" s="425">
        <f>IFERROR(U136/N136*R136,0)</f>
      </c>
      <c r="W136" s="244">
        <f t="shared" ca="1" si="28"/>
      </c>
      <c r="X136" s="202">
        <f t="shared" ca="1" si="28"/>
      </c>
      <c r="AL136" s="460"/>
      <c r="AM136" s="460"/>
      <c r="AN136" s="460"/>
      <c r="AO136" s="460"/>
      <c r="AP136" s="460"/>
      <c r="AQ136" s="460"/>
    </row>
    <row r="137" spans="2:43" s="105" customFormat="1" ht="27" customHeight="1">
      <c r="B137" s="370">
        <f>#REF!</f>
      </c>
      <c r="C137" s="232"/>
      <c r="D137" s="164">
        <f>IF(#REF!&lt;&gt;"",#REF!,IF(#REF!&lt;&gt;"",#REF!,""))</f>
      </c>
      <c r="E137" s="235"/>
      <c r="F137" s="236"/>
      <c r="G137" s="236"/>
      <c r="H137" s="237"/>
      <c r="I137" s="238"/>
      <c r="J137" s="239"/>
      <c r="K137" s="240"/>
      <c r="L137" s="241"/>
      <c r="M137" s="242"/>
      <c r="N137" s="167">
        <f>#REF!</f>
      </c>
      <c r="O137" s="167">
        <f>#REF!</f>
      </c>
      <c r="P137" s="260">
        <f>#REF!</f>
      </c>
      <c r="Q137" s="168">
        <f>P137*N137</f>
      </c>
      <c r="R137" s="425">
        <f>IFERROR(Q137/$Q$166,0)</f>
      </c>
      <c r="S137" s="371">
        <f ca="1">IF($AL$5&lt;=1,0,SUM(OFFSET('rincian '!#REF!,0,0,1,$AL$5-1)))</f>
      </c>
      <c r="T137" s="425">
        <f ca="1">IFERROR(S137/N137*R137,0)</f>
      </c>
      <c r="U137" s="372" cm="1">
        <f t="array" ref="U137">IFERROR(INDEX('rincian '!#REF!,$AL$5),0)</f>
      </c>
      <c r="V137" s="425">
        <f>IFERROR(U137/N137*R137,0)</f>
      </c>
      <c r="W137" s="244">
        <f t="shared" ca="1" si="28"/>
      </c>
      <c r="X137" s="202">
        <f t="shared" ca="1" si="28"/>
      </c>
      <c r="AL137" s="460"/>
      <c r="AM137" s="460"/>
      <c r="AN137" s="460"/>
      <c r="AO137" s="460"/>
      <c r="AP137" s="460"/>
      <c r="AQ137" s="460"/>
    </row>
    <row r="138" spans="2:43" s="105" customFormat="1" ht="27" customHeight="1">
      <c r="B138" s="402">
        <f>#REF!</f>
      </c>
      <c r="C138" s="384"/>
      <c r="D138" s="385">
        <f>IF(#REF!&lt;&gt;"",#REF!,IF(#REF!&lt;&gt;"",#REF!,""))</f>
      </c>
      <c r="E138" s="386"/>
      <c r="F138" s="387"/>
      <c r="G138" s="387"/>
      <c r="H138" s="388"/>
      <c r="I138" s="389"/>
      <c r="J138" s="390"/>
      <c r="K138" s="391"/>
      <c r="L138" s="392"/>
      <c r="M138" s="393"/>
      <c r="N138" s="394"/>
      <c r="O138" s="394"/>
      <c r="P138" s="395"/>
      <c r="Q138" s="396"/>
      <c r="R138" s="426"/>
      <c r="S138" s="403"/>
      <c r="T138" s="426"/>
      <c r="U138" s="403"/>
      <c r="V138" s="426"/>
      <c r="W138" s="399"/>
      <c r="X138" s="400"/>
      <c r="AL138" s="460"/>
      <c r="AM138" s="460"/>
      <c r="AN138" s="460"/>
      <c r="AO138" s="460"/>
      <c r="AP138" s="460"/>
      <c r="AQ138" s="460"/>
    </row>
    <row r="139" spans="2:43" s="105" customFormat="1" ht="27" customHeight="1">
      <c r="B139" s="401">
        <f>#REF!</f>
      </c>
      <c r="C139" s="373"/>
      <c r="D139" s="374">
        <f>IF(#REF!&lt;&gt;"",#REF!,IF(#REF!&lt;&gt;"",#REF!,""))</f>
      </c>
      <c r="E139" s="375"/>
      <c r="F139" s="376"/>
      <c r="G139" s="376"/>
      <c r="H139" s="377"/>
      <c r="I139" s="378"/>
      <c r="J139" s="379"/>
      <c r="K139" s="380"/>
      <c r="L139" s="381"/>
      <c r="M139" s="382"/>
      <c r="N139" s="167"/>
      <c r="O139" s="167"/>
      <c r="P139" s="260"/>
      <c r="Q139" s="168"/>
      <c r="R139" s="425"/>
      <c r="S139" s="371"/>
      <c r="T139" s="425"/>
      <c r="U139" s="372"/>
      <c r="V139" s="425"/>
      <c r="W139" s="244"/>
      <c r="X139" s="202"/>
      <c r="AL139" s="460"/>
      <c r="AM139" s="460"/>
      <c r="AN139" s="460"/>
      <c r="AO139" s="460"/>
      <c r="AP139" s="460"/>
      <c r="AQ139" s="460"/>
    </row>
    <row r="140" spans="2:43" s="105" customFormat="1" ht="27" customHeight="1">
      <c r="B140" s="370">
        <f>#REF!</f>
      </c>
      <c r="C140" s="232"/>
      <c r="D140" s="164">
        <f>IF(#REF!&lt;&gt;"",#REF!,IF(#REF!&lt;&gt;"",#REF!,""))</f>
      </c>
      <c r="E140" s="235"/>
      <c r="F140" s="236"/>
      <c r="G140" s="236"/>
      <c r="H140" s="237"/>
      <c r="I140" s="238"/>
      <c r="J140" s="239"/>
      <c r="K140" s="240"/>
      <c r="L140" s="241"/>
      <c r="M140" s="242"/>
      <c r="N140" s="167">
        <f>#REF!</f>
      </c>
      <c r="O140" s="167">
        <f>#REF!</f>
      </c>
      <c r="P140" s="260">
        <f>#REF!</f>
      </c>
      <c r="Q140" s="168">
        <f>P140*N140</f>
      </c>
      <c r="R140" s="425">
        <f>IFERROR(Q140/$Q$166,0)</f>
      </c>
      <c r="S140" s="371">
        <f ca="1">IF($AL$5&lt;=1,0,SUM(OFFSET('rincian '!#REF!,0,0,1,$AL$5-1)))</f>
      </c>
      <c r="T140" s="425">
        <f ca="1">IFERROR(S140/N140*R140,0)</f>
      </c>
      <c r="U140" s="372" cm="1">
        <f t="array" ref="U140">IFERROR(INDEX('rincian '!#REF!,$AL$5),0)</f>
      </c>
      <c r="V140" s="425">
        <f>IFERROR(U140/N140*R140,0)</f>
      </c>
      <c r="W140" s="244">
        <f t="shared" ref="W140:X143" ca="1" si="29">S140+U140</f>
      </c>
      <c r="X140" s="202">
        <f t="shared" ca="1" si="29"/>
      </c>
      <c r="AL140" s="460"/>
      <c r="AM140" s="460"/>
      <c r="AN140" s="460"/>
      <c r="AO140" s="460"/>
      <c r="AP140" s="460"/>
      <c r="AQ140" s="460"/>
    </row>
    <row r="141" spans="2:43" s="105" customFormat="1" ht="27" customHeight="1">
      <c r="B141" s="370">
        <f>#REF!</f>
      </c>
      <c r="C141" s="232"/>
      <c r="D141" s="164">
        <f>IF(#REF!&lt;&gt;"",#REF!,IF(#REF!&lt;&gt;"",#REF!,""))</f>
      </c>
      <c r="E141" s="235"/>
      <c r="F141" s="236"/>
      <c r="G141" s="236"/>
      <c r="H141" s="237"/>
      <c r="I141" s="238"/>
      <c r="J141" s="239"/>
      <c r="K141" s="240"/>
      <c r="L141" s="241"/>
      <c r="M141" s="242"/>
      <c r="N141" s="167">
        <f>#REF!</f>
      </c>
      <c r="O141" s="167">
        <f>#REF!</f>
      </c>
      <c r="P141" s="260">
        <f>#REF!</f>
      </c>
      <c r="Q141" s="168">
        <f>P141*N141</f>
      </c>
      <c r="R141" s="425">
        <f>IFERROR(Q141/$Q$166,0)</f>
      </c>
      <c r="S141" s="371">
        <f ca="1">IF($AL$5&lt;=1,0,SUM(OFFSET('rincian '!#REF!,0,0,1,$AL$5-1)))</f>
      </c>
      <c r="T141" s="425">
        <f ca="1">IFERROR(S141/N141*R141,0)</f>
      </c>
      <c r="U141" s="372" cm="1">
        <f t="array" ref="U141">IFERROR(INDEX('rincian '!#REF!,$AL$5),0)</f>
      </c>
      <c r="V141" s="425">
        <f>IFERROR(U141/N141*R141,0)</f>
      </c>
      <c r="W141" s="244">
        <f t="shared" ca="1" si="29"/>
      </c>
      <c r="X141" s="202">
        <f t="shared" ca="1" si="29"/>
      </c>
      <c r="AL141" s="460"/>
      <c r="AM141" s="460"/>
      <c r="AN141" s="460"/>
      <c r="AO141" s="460"/>
      <c r="AP141" s="460"/>
      <c r="AQ141" s="460"/>
    </row>
    <row r="142" spans="2:43" s="105" customFormat="1" ht="27" customHeight="1">
      <c r="B142" s="370">
        <f>#REF!</f>
      </c>
      <c r="C142" s="232"/>
      <c r="D142" s="164">
        <f>IF(#REF!&lt;&gt;"",#REF!,IF(#REF!&lt;&gt;"",#REF!,""))</f>
      </c>
      <c r="E142" s="235"/>
      <c r="F142" s="236"/>
      <c r="G142" s="236"/>
      <c r="H142" s="237"/>
      <c r="I142" s="238"/>
      <c r="J142" s="239"/>
      <c r="K142" s="240"/>
      <c r="L142" s="241"/>
      <c r="M142" s="242"/>
      <c r="N142" s="167">
        <f>#REF!</f>
      </c>
      <c r="O142" s="167">
        <f>#REF!</f>
      </c>
      <c r="P142" s="260">
        <f>#REF!</f>
      </c>
      <c r="Q142" s="168">
        <f>P142*N142</f>
      </c>
      <c r="R142" s="425">
        <f>IFERROR(Q142/$Q$166,0)</f>
      </c>
      <c r="S142" s="371">
        <f ca="1">IF($AL$5&lt;=1,0,SUM(OFFSET('rincian '!#REF!,0,0,1,$AL$5-1)))</f>
      </c>
      <c r="T142" s="425">
        <f ca="1">IFERROR(S142/N142*R142,0)</f>
      </c>
      <c r="U142" s="372" cm="1">
        <f t="array" ref="U142">IFERROR(INDEX('rincian '!#REF!,$AL$5),0)</f>
      </c>
      <c r="V142" s="425">
        <f>IFERROR(U142/N142*R142,0)</f>
      </c>
      <c r="W142" s="244">
        <f t="shared" ca="1" si="29"/>
      </c>
      <c r="X142" s="202">
        <f t="shared" ca="1" si="29"/>
      </c>
      <c r="AL142" s="460"/>
      <c r="AM142" s="460"/>
      <c r="AN142" s="460"/>
      <c r="AO142" s="460"/>
      <c r="AP142" s="460"/>
      <c r="AQ142" s="460"/>
    </row>
    <row r="143" spans="2:43" s="105" customFormat="1" ht="27" customHeight="1">
      <c r="B143" s="370">
        <f>#REF!</f>
      </c>
      <c r="C143" s="232"/>
      <c r="D143" s="164">
        <f>IF(#REF!&lt;&gt;"",#REF!,IF(#REF!&lt;&gt;"",#REF!,""))</f>
      </c>
      <c r="E143" s="235"/>
      <c r="F143" s="236"/>
      <c r="G143" s="236"/>
      <c r="H143" s="237"/>
      <c r="I143" s="238"/>
      <c r="J143" s="239"/>
      <c r="K143" s="240"/>
      <c r="L143" s="241"/>
      <c r="M143" s="242"/>
      <c r="N143" s="167">
        <f>#REF!</f>
      </c>
      <c r="O143" s="167">
        <f>#REF!</f>
      </c>
      <c r="P143" s="260">
        <f>#REF!</f>
      </c>
      <c r="Q143" s="168">
        <f>P143*N143</f>
      </c>
      <c r="R143" s="425">
        <f>IFERROR(Q143/$Q$166,0)</f>
      </c>
      <c r="S143" s="371">
        <f ca="1">IF($AL$5&lt;=1,0,SUM(OFFSET('rincian '!#REF!,0,0,1,$AL$5-1)))</f>
      </c>
      <c r="T143" s="425">
        <f ca="1">IFERROR(S143/N143*R143,0)</f>
      </c>
      <c r="U143" s="372" cm="1">
        <f t="array" ref="U143">IFERROR(INDEX('rincian '!#REF!,$AL$5),0)</f>
      </c>
      <c r="V143" s="425">
        <f>IFERROR(U143/N143*R143,0)</f>
      </c>
      <c r="W143" s="244">
        <f t="shared" ca="1" si="29"/>
      </c>
      <c r="X143" s="202">
        <f t="shared" ca="1" si="29"/>
      </c>
      <c r="AL143" s="460"/>
      <c r="AM143" s="460"/>
      <c r="AN143" s="460"/>
      <c r="AO143" s="460"/>
      <c r="AP143" s="460"/>
      <c r="AQ143" s="460"/>
    </row>
    <row r="144" spans="2:43" s="105" customFormat="1" ht="27" customHeight="1">
      <c r="B144" s="370">
        <f>#REF!</f>
      </c>
      <c r="C144" s="232"/>
      <c r="D144" s="164">
        <f>IF(#REF!&lt;&gt;"",#REF!,IF(#REF!&lt;&gt;"",#REF!,""))</f>
      </c>
      <c r="E144" s="235"/>
      <c r="F144" s="236"/>
      <c r="G144" s="236"/>
      <c r="H144" s="237"/>
      <c r="I144" s="238"/>
      <c r="J144" s="239"/>
      <c r="K144" s="240"/>
      <c r="L144" s="241"/>
      <c r="M144" s="242"/>
      <c r="N144" s="167"/>
      <c r="O144" s="167"/>
      <c r="P144" s="260"/>
      <c r="Q144" s="168"/>
      <c r="R144" s="425"/>
      <c r="S144" s="371"/>
      <c r="T144" s="425"/>
      <c r="U144" s="372"/>
      <c r="V144" s="425"/>
      <c r="W144" s="244"/>
      <c r="X144" s="202"/>
      <c r="AL144" s="460"/>
      <c r="AM144" s="460"/>
      <c r="AN144" s="460"/>
      <c r="AO144" s="460"/>
      <c r="AP144" s="460"/>
      <c r="AQ144" s="460"/>
    </row>
    <row r="145" spans="2:43" s="105" customFormat="1" ht="27" customHeight="1">
      <c r="B145" s="370">
        <f>#REF!</f>
      </c>
      <c r="C145" s="232"/>
      <c r="D145" s="164">
        <f>IF(#REF!&lt;&gt;"",#REF!,IF(#REF!&lt;&gt;"",#REF!,""))</f>
      </c>
      <c r="E145" s="235"/>
      <c r="F145" s="236"/>
      <c r="G145" s="236"/>
      <c r="H145" s="237"/>
      <c r="I145" s="238"/>
      <c r="J145" s="239"/>
      <c r="K145" s="240"/>
      <c r="L145" s="241"/>
      <c r="M145" s="242"/>
      <c r="N145" s="167"/>
      <c r="O145" s="167"/>
      <c r="P145" s="260"/>
      <c r="Q145" s="168"/>
      <c r="R145" s="425"/>
      <c r="S145" s="371"/>
      <c r="T145" s="425"/>
      <c r="U145" s="372"/>
      <c r="V145" s="425"/>
      <c r="W145" s="244"/>
      <c r="X145" s="202"/>
      <c r="AL145" s="460"/>
      <c r="AM145" s="460"/>
      <c r="AN145" s="460"/>
      <c r="AO145" s="460"/>
      <c r="AP145" s="460"/>
      <c r="AQ145" s="460"/>
    </row>
    <row r="146" spans="2:43" s="105" customFormat="1" ht="21" customHeight="1">
      <c r="B146" s="370">
        <f>#REF!</f>
      </c>
      <c r="C146" s="232"/>
      <c r="D146" s="704">
        <f>IF(#REF!&lt;&gt;"",#REF!,IF(#REF!&lt;&gt;"",#REF!,""))</f>
      </c>
      <c r="E146" s="704"/>
      <c r="F146" s="704"/>
      <c r="G146" s="704"/>
      <c r="H146" s="704"/>
      <c r="I146" s="704"/>
      <c r="J146" s="704"/>
      <c r="K146" s="704"/>
      <c r="L146" s="704"/>
      <c r="M146" s="705"/>
      <c r="N146" s="167"/>
      <c r="O146" s="167"/>
      <c r="P146" s="260"/>
      <c r="Q146" s="168"/>
      <c r="R146" s="425"/>
      <c r="S146" s="371"/>
      <c r="T146" s="425"/>
      <c r="U146" s="372"/>
      <c r="V146" s="425"/>
      <c r="W146" s="244"/>
      <c r="X146" s="202"/>
      <c r="AL146" s="460"/>
      <c r="AM146" s="460"/>
      <c r="AN146" s="460"/>
      <c r="AO146" s="460"/>
      <c r="AP146" s="460"/>
      <c r="AQ146" s="460"/>
    </row>
    <row r="147" spans="2:43" s="105" customFormat="1" ht="27" customHeight="1">
      <c r="B147" s="370">
        <f>#REF!</f>
      </c>
      <c r="C147" s="232"/>
      <c r="D147" s="164">
        <f>IF(#REF!&lt;&gt;"",#REF!,IF(#REF!&lt;&gt;"",#REF!,""))</f>
      </c>
      <c r="E147" s="235"/>
      <c r="F147" s="236"/>
      <c r="G147" s="236"/>
      <c r="H147" s="237"/>
      <c r="I147" s="238"/>
      <c r="J147" s="239"/>
      <c r="K147" s="240"/>
      <c r="L147" s="241"/>
      <c r="M147" s="242"/>
      <c r="N147" s="167">
        <f>#REF!</f>
      </c>
      <c r="O147" s="167">
        <f>#REF!</f>
      </c>
      <c r="P147" s="260">
        <f>#REF!</f>
      </c>
      <c r="Q147" s="168">
        <f>P147*N147</f>
      </c>
      <c r="R147" s="425">
        <f>IFERROR(Q147/$Q$166,0)</f>
      </c>
      <c r="S147" s="371">
        <f ca="1">IF($AL$5&lt;=1,0,SUM(OFFSET('rincian '!#REF!,0,0,1,$AL$5-1)))</f>
      </c>
      <c r="T147" s="425">
        <f ca="1">IFERROR(S147/N147*R147,0)</f>
      </c>
      <c r="U147" s="372" cm="1">
        <f t="array" ref="U147">IFERROR(INDEX('rincian '!#REF!,$AL$5),0)</f>
      </c>
      <c r="V147" s="425">
        <f>IFERROR(U147/N147*R147,0)</f>
      </c>
      <c r="W147" s="244">
        <f ca="1">S147+U147</f>
      </c>
      <c r="X147" s="202">
        <f ca="1">T147+V147</f>
      </c>
      <c r="AL147" s="460"/>
      <c r="AM147" s="460"/>
      <c r="AN147" s="460"/>
      <c r="AO147" s="460"/>
      <c r="AP147" s="460"/>
      <c r="AQ147" s="460"/>
    </row>
    <row r="148" spans="2:43" s="105" customFormat="1" ht="27" customHeight="1">
      <c r="B148" s="370">
        <f>#REF!</f>
      </c>
      <c r="C148" s="232"/>
      <c r="D148" s="164">
        <f>IF(#REF!&lt;&gt;"",#REF!,IF(#REF!&lt;&gt;"",#REF!,""))</f>
      </c>
      <c r="E148" s="235"/>
      <c r="F148" s="236"/>
      <c r="G148" s="236"/>
      <c r="H148" s="237"/>
      <c r="I148" s="238"/>
      <c r="J148" s="239"/>
      <c r="K148" s="240"/>
      <c r="L148" s="241"/>
      <c r="M148" s="242"/>
      <c r="N148" s="167"/>
      <c r="O148" s="167"/>
      <c r="P148" s="260"/>
      <c r="Q148" s="168"/>
      <c r="R148" s="425"/>
      <c r="S148" s="371"/>
      <c r="T148" s="425"/>
      <c r="U148" s="372"/>
      <c r="V148" s="425"/>
      <c r="W148" s="244"/>
      <c r="X148" s="202"/>
      <c r="AL148" s="460"/>
      <c r="AM148" s="460"/>
      <c r="AN148" s="460"/>
      <c r="AO148" s="460"/>
      <c r="AP148" s="460"/>
      <c r="AQ148" s="460"/>
    </row>
    <row r="149" spans="2:43" s="105" customFormat="1" ht="27" customHeight="1">
      <c r="B149" s="370">
        <f>#REF!</f>
      </c>
      <c r="C149" s="232"/>
      <c r="D149" s="164">
        <f>IF(#REF!&lt;&gt;"",#REF!,IF(#REF!&lt;&gt;"",#REF!,""))</f>
      </c>
      <c r="E149" s="235"/>
      <c r="F149" s="236"/>
      <c r="G149" s="236"/>
      <c r="H149" s="237"/>
      <c r="I149" s="238"/>
      <c r="J149" s="239"/>
      <c r="K149" s="240"/>
      <c r="L149" s="241"/>
      <c r="M149" s="242"/>
      <c r="N149" s="167"/>
      <c r="O149" s="167"/>
      <c r="P149" s="260"/>
      <c r="Q149" s="168"/>
      <c r="R149" s="425"/>
      <c r="S149" s="371"/>
      <c r="T149" s="425"/>
      <c r="U149" s="372"/>
      <c r="V149" s="425"/>
      <c r="W149" s="244"/>
      <c r="X149" s="202"/>
      <c r="AL149" s="460"/>
      <c r="AM149" s="460"/>
      <c r="AN149" s="460"/>
      <c r="AO149" s="460"/>
      <c r="AP149" s="460"/>
      <c r="AQ149" s="460"/>
    </row>
    <row r="150" spans="2:43" s="105" customFormat="1" ht="27" customHeight="1">
      <c r="B150" s="370">
        <f>#REF!</f>
      </c>
      <c r="C150" s="232"/>
      <c r="D150" s="164">
        <f>IF(#REF!&lt;&gt;"",#REF!,IF(#REF!&lt;&gt;"",#REF!,""))</f>
      </c>
      <c r="E150" s="235"/>
      <c r="F150" s="236"/>
      <c r="G150" s="236"/>
      <c r="H150" s="237"/>
      <c r="I150" s="238"/>
      <c r="J150" s="239"/>
      <c r="K150" s="240"/>
      <c r="L150" s="241"/>
      <c r="M150" s="242"/>
      <c r="N150" s="167"/>
      <c r="O150" s="167"/>
      <c r="P150" s="260"/>
      <c r="Q150" s="168"/>
      <c r="R150" s="425"/>
      <c r="S150" s="371"/>
      <c r="T150" s="425"/>
      <c r="U150" s="372"/>
      <c r="V150" s="425"/>
      <c r="W150" s="244"/>
      <c r="X150" s="202"/>
      <c r="AL150" s="460"/>
      <c r="AM150" s="460"/>
      <c r="AN150" s="460"/>
      <c r="AO150" s="460"/>
      <c r="AP150" s="460"/>
      <c r="AQ150" s="460"/>
    </row>
    <row r="151" spans="2:43" s="105" customFormat="1" ht="27" customHeight="1">
      <c r="B151" s="370">
        <f>#REF!</f>
      </c>
      <c r="C151" s="232"/>
      <c r="D151" s="164">
        <f>IF(#REF!&lt;&gt;"",#REF!,IF(#REF!&lt;&gt;"",#REF!,""))</f>
      </c>
      <c r="E151" s="235"/>
      <c r="F151" s="236"/>
      <c r="G151" s="236"/>
      <c r="H151" s="237"/>
      <c r="I151" s="238"/>
      <c r="J151" s="239"/>
      <c r="K151" s="240"/>
      <c r="L151" s="241"/>
      <c r="M151" s="242"/>
      <c r="N151" s="167"/>
      <c r="O151" s="167"/>
      <c r="P151" s="260"/>
      <c r="Q151" s="168"/>
      <c r="R151" s="425"/>
      <c r="S151" s="371"/>
      <c r="T151" s="425"/>
      <c r="U151" s="372"/>
      <c r="V151" s="425"/>
      <c r="W151" s="244"/>
      <c r="X151" s="202"/>
      <c r="AL151" s="460"/>
      <c r="AM151" s="460"/>
      <c r="AN151" s="460"/>
      <c r="AO151" s="460"/>
      <c r="AP151" s="460"/>
      <c r="AQ151" s="460"/>
    </row>
    <row r="152" spans="2:43" s="105" customFormat="1" ht="27" customHeight="1">
      <c r="B152" s="370">
        <f>#REF!</f>
      </c>
      <c r="C152" s="232"/>
      <c r="D152" s="164">
        <f>IF(#REF!&lt;&gt;"",#REF!,IF(#REF!&lt;&gt;"",#REF!,""))</f>
      </c>
      <c r="E152" s="235"/>
      <c r="F152" s="236"/>
      <c r="G152" s="236"/>
      <c r="H152" s="237"/>
      <c r="I152" s="238"/>
      <c r="J152" s="239"/>
      <c r="K152" s="240"/>
      <c r="L152" s="241"/>
      <c r="M152" s="242"/>
      <c r="N152" s="167">
        <f>#REF!</f>
      </c>
      <c r="O152" s="167">
        <f>#REF!</f>
      </c>
      <c r="P152" s="260">
        <f>#REF!</f>
      </c>
      <c r="Q152" s="168">
        <f>P152*N152</f>
      </c>
      <c r="R152" s="425">
        <f>IFERROR(Q152/$Q$166,0)</f>
      </c>
      <c r="S152" s="371">
        <f ca="1">IF($AL$5&lt;=1,0,SUM(OFFSET('rincian '!#REF!,0,0,1,$AL$5-1)))</f>
      </c>
      <c r="T152" s="425">
        <f ca="1">IFERROR(S152/N152*R152,0)</f>
      </c>
      <c r="U152" s="372" cm="1">
        <f t="array" ref="U152">IFERROR(INDEX('rincian '!#REF!,$AL$5),0)</f>
      </c>
      <c r="V152" s="425">
        <f>IFERROR(U152/N152*R152,0)</f>
      </c>
      <c r="W152" s="244">
        <f ca="1">S152+U152</f>
      </c>
      <c r="X152" s="202">
        <f ca="1">T152+V152</f>
      </c>
      <c r="AL152" s="460"/>
      <c r="AM152" s="460"/>
      <c r="AN152" s="460"/>
      <c r="AO152" s="460"/>
      <c r="AP152" s="460"/>
      <c r="AQ152" s="460"/>
    </row>
    <row r="153" spans="2:43" s="105" customFormat="1" ht="27" customHeight="1">
      <c r="B153" s="401">
        <f>#REF!</f>
      </c>
      <c r="C153" s="373"/>
      <c r="D153" s="374">
        <f>IF(#REF!&lt;&gt;"",#REF!,IF(#REF!&lt;&gt;"",#REF!,""))</f>
      </c>
      <c r="E153" s="375"/>
      <c r="F153" s="376"/>
      <c r="G153" s="376"/>
      <c r="H153" s="377"/>
      <c r="I153" s="378"/>
      <c r="J153" s="379"/>
      <c r="K153" s="380"/>
      <c r="L153" s="381"/>
      <c r="M153" s="382"/>
      <c r="N153" s="167"/>
      <c r="O153" s="167"/>
      <c r="P153" s="260"/>
      <c r="Q153" s="168"/>
      <c r="R153" s="425"/>
      <c r="S153" s="371"/>
      <c r="T153" s="425"/>
      <c r="U153" s="372"/>
      <c r="V153" s="425"/>
      <c r="W153" s="244"/>
      <c r="X153" s="202"/>
      <c r="AL153" s="460"/>
      <c r="AM153" s="460"/>
      <c r="AN153" s="460"/>
      <c r="AO153" s="460"/>
      <c r="AP153" s="460"/>
      <c r="AQ153" s="460"/>
    </row>
    <row r="154" spans="2:43" s="105" customFormat="1" ht="27" customHeight="1">
      <c r="B154" s="370">
        <f>#REF!</f>
      </c>
      <c r="C154" s="232"/>
      <c r="D154" s="164">
        <f>IF(#REF!&lt;&gt;"",#REF!,IF(#REF!&lt;&gt;"",#REF!,""))</f>
      </c>
      <c r="E154" s="235"/>
      <c r="F154" s="236"/>
      <c r="G154" s="236"/>
      <c r="H154" s="237"/>
      <c r="I154" s="238"/>
      <c r="J154" s="239"/>
      <c r="K154" s="240"/>
      <c r="L154" s="241"/>
      <c r="M154" s="242"/>
      <c r="N154" s="167">
        <f>#REF!</f>
      </c>
      <c r="O154" s="167">
        <f>#REF!</f>
      </c>
      <c r="P154" s="260">
        <f>#REF!</f>
      </c>
      <c r="Q154" s="168">
        <f>P154*N154</f>
      </c>
      <c r="R154" s="425">
        <f>IFERROR(Q154/$Q$166,0)</f>
      </c>
      <c r="S154" s="371">
        <f ca="1">IF($AL$5&lt;=1,0,SUM(OFFSET('rincian '!#REF!,0,0,1,$AL$5-1)))</f>
      </c>
      <c r="T154" s="425">
        <f ca="1">IFERROR(S154/N154*R154,0)</f>
      </c>
      <c r="U154" s="372" cm="1">
        <f t="array" ref="U154">IFERROR(INDEX('rincian '!#REF!,$AL$5),0)</f>
      </c>
      <c r="V154" s="425">
        <f>IFERROR(U154/N154*R154,0)</f>
      </c>
      <c r="W154" s="244">
        <f ca="1">S154+U154</f>
      </c>
      <c r="X154" s="202">
        <f ca="1">T154+V154</f>
      </c>
      <c r="AL154" s="460"/>
      <c r="AM154" s="460"/>
      <c r="AN154" s="460"/>
      <c r="AO154" s="460"/>
      <c r="AP154" s="460"/>
      <c r="AQ154" s="460"/>
    </row>
    <row r="155" spans="2:43" s="105" customFormat="1" ht="27" customHeight="1">
      <c r="B155" s="370">
        <f>#REF!</f>
      </c>
      <c r="C155" s="232"/>
      <c r="D155" s="164">
        <f>IF(#REF!&lt;&gt;"",#REF!,IF(#REF!&lt;&gt;"",#REF!,""))</f>
      </c>
      <c r="E155" s="235"/>
      <c r="F155" s="236"/>
      <c r="G155" s="236"/>
      <c r="H155" s="237"/>
      <c r="I155" s="238"/>
      <c r="J155" s="239"/>
      <c r="K155" s="240"/>
      <c r="L155" s="241"/>
      <c r="M155" s="242"/>
      <c r="N155" s="167">
        <f>#REF!</f>
      </c>
      <c r="O155" s="167">
        <f>#REF!</f>
      </c>
      <c r="P155" s="260">
        <f>#REF!</f>
      </c>
      <c r="Q155" s="168">
        <f>P155*N155</f>
      </c>
      <c r="R155" s="425">
        <f>IFERROR(Q155/$Q$166,0)</f>
      </c>
      <c r="S155" s="371">
        <f ca="1">IF($AL$5&lt;=1,0,SUM(OFFSET('rincian '!#REF!,0,0,1,$AL$5-1)))</f>
      </c>
      <c r="T155" s="425">
        <f ca="1">IFERROR(S155/N155*R155,0)</f>
      </c>
      <c r="U155" s="372" cm="1">
        <f t="array" ref="U155">IFERROR(INDEX('rincian '!#REF!,$AL$5),0)</f>
      </c>
      <c r="V155" s="425">
        <f>IFERROR(U155/N155*R155,0)</f>
      </c>
      <c r="W155" s="244">
        <f ca="1">S155+U155</f>
      </c>
      <c r="X155" s="202">
        <f ca="1">T155+V155</f>
      </c>
      <c r="AL155" s="460"/>
      <c r="AM155" s="460"/>
      <c r="AN155" s="460"/>
      <c r="AO155" s="460"/>
      <c r="AP155" s="460"/>
      <c r="AQ155" s="460"/>
    </row>
    <row r="156" spans="2:43" s="105" customFormat="1" ht="27" customHeight="1">
      <c r="B156" s="370">
        <f>#REF!</f>
      </c>
      <c r="C156" s="232"/>
      <c r="D156" s="164">
        <f>IF(#REF!&lt;&gt;"",#REF!,IF(#REF!&lt;&gt;"",#REF!,""))</f>
      </c>
      <c r="E156" s="235"/>
      <c r="F156" s="236"/>
      <c r="G156" s="236"/>
      <c r="H156" s="237"/>
      <c r="I156" s="238"/>
      <c r="J156" s="239"/>
      <c r="K156" s="240"/>
      <c r="L156" s="241"/>
      <c r="M156" s="242"/>
      <c r="N156" s="167"/>
      <c r="O156" s="167"/>
      <c r="P156" s="260"/>
      <c r="Q156" s="168"/>
      <c r="R156" s="425"/>
      <c r="S156" s="371"/>
      <c r="T156" s="425"/>
      <c r="U156" s="372"/>
      <c r="V156" s="425"/>
      <c r="W156" s="244"/>
      <c r="X156" s="202"/>
      <c r="AL156" s="460"/>
      <c r="AM156" s="460"/>
      <c r="AN156" s="460"/>
      <c r="AO156" s="460"/>
      <c r="AP156" s="460"/>
      <c r="AQ156" s="460"/>
    </row>
    <row r="157" spans="2:43" s="105" customFormat="1" ht="27" customHeight="1">
      <c r="B157" s="370">
        <f>#REF!</f>
      </c>
      <c r="C157" s="232"/>
      <c r="D157" s="164">
        <f>IF(#REF!&lt;&gt;"",#REF!,IF(#REF!&lt;&gt;"",#REF!,""))</f>
      </c>
      <c r="E157" s="235"/>
      <c r="F157" s="236"/>
      <c r="G157" s="236"/>
      <c r="H157" s="237"/>
      <c r="I157" s="238"/>
      <c r="J157" s="239"/>
      <c r="K157" s="240"/>
      <c r="L157" s="241"/>
      <c r="M157" s="242"/>
      <c r="N157" s="167"/>
      <c r="O157" s="167"/>
      <c r="P157" s="260"/>
      <c r="Q157" s="168"/>
      <c r="R157" s="425"/>
      <c r="S157" s="371"/>
      <c r="T157" s="425"/>
      <c r="U157" s="372"/>
      <c r="V157" s="425"/>
      <c r="W157" s="244"/>
      <c r="X157" s="202"/>
      <c r="AL157" s="460"/>
      <c r="AM157" s="460"/>
      <c r="AN157" s="460"/>
      <c r="AO157" s="460"/>
      <c r="AP157" s="460"/>
      <c r="AQ157" s="460"/>
    </row>
    <row r="158" spans="2:43" s="105" customFormat="1" ht="27" customHeight="1">
      <c r="B158" s="370">
        <f>#REF!</f>
      </c>
      <c r="C158" s="232"/>
      <c r="D158" s="164">
        <f>IF(#REF!&lt;&gt;"",#REF!,IF(#REF!&lt;&gt;"",#REF!,""))</f>
      </c>
      <c r="E158" s="235"/>
      <c r="F158" s="236"/>
      <c r="G158" s="236"/>
      <c r="H158" s="237"/>
      <c r="I158" s="238"/>
      <c r="J158" s="239"/>
      <c r="K158" s="240"/>
      <c r="L158" s="241"/>
      <c r="M158" s="242"/>
      <c r="N158" s="167"/>
      <c r="O158" s="167"/>
      <c r="P158" s="260"/>
      <c r="Q158" s="168"/>
      <c r="R158" s="425"/>
      <c r="S158" s="371"/>
      <c r="T158" s="425"/>
      <c r="U158" s="372"/>
      <c r="V158" s="425"/>
      <c r="W158" s="244"/>
      <c r="X158" s="202"/>
      <c r="AL158" s="460"/>
      <c r="AM158" s="460"/>
      <c r="AN158" s="460"/>
      <c r="AO158" s="460"/>
      <c r="AP158" s="460"/>
      <c r="AQ158" s="460"/>
    </row>
    <row r="159" spans="2:43" s="105" customFormat="1" ht="27" customHeight="1">
      <c r="B159" s="370">
        <f>#REF!</f>
      </c>
      <c r="C159" s="232"/>
      <c r="D159" s="164">
        <f>IF(#REF!&lt;&gt;"",#REF!,IF(#REF!&lt;&gt;"",#REF!,""))</f>
      </c>
      <c r="E159" s="235"/>
      <c r="F159" s="236"/>
      <c r="G159" s="236"/>
      <c r="H159" s="237"/>
      <c r="I159" s="238"/>
      <c r="J159" s="239"/>
      <c r="K159" s="240"/>
      <c r="L159" s="241"/>
      <c r="M159" s="242"/>
      <c r="N159" s="167">
        <f>#REF!</f>
      </c>
      <c r="O159" s="167">
        <f>#REF!</f>
      </c>
      <c r="P159" s="260">
        <f>#REF!</f>
      </c>
      <c r="Q159" s="168">
        <f>P159*N159</f>
      </c>
      <c r="R159" s="425">
        <f>IFERROR(Q159/$Q$166,0)</f>
      </c>
      <c r="S159" s="371">
        <f ca="1">IF($AL$5&lt;=1,0,SUM(OFFSET('rincian '!#REF!,0,0,1,$AL$5-1)))</f>
      </c>
      <c r="T159" s="425">
        <f ca="1">IFERROR(S159/N159*R159,0)</f>
      </c>
      <c r="U159" s="372" cm="1">
        <f t="array" ref="U159">IFERROR(INDEX('rincian '!#REF!,$AL$5),0)</f>
      </c>
      <c r="V159" s="425">
        <f>IFERROR(U159/N159*R159,0)</f>
      </c>
      <c r="W159" s="244">
        <f ca="1">S159+U159</f>
      </c>
      <c r="X159" s="202">
        <f ca="1">T159+V159</f>
      </c>
      <c r="AL159" s="460"/>
      <c r="AM159" s="460"/>
      <c r="AN159" s="460"/>
      <c r="AO159" s="460"/>
      <c r="AP159" s="460"/>
      <c r="AQ159" s="460"/>
    </row>
    <row r="160" spans="2:43" s="105" customFormat="1" ht="27" customHeight="1">
      <c r="B160" s="370">
        <f>#REF!</f>
      </c>
      <c r="C160" s="232"/>
      <c r="D160" s="164">
        <f>IF(#REF!&lt;&gt;"",#REF!,IF(#REF!&lt;&gt;"",#REF!,""))</f>
      </c>
      <c r="E160" s="235"/>
      <c r="F160" s="236"/>
      <c r="G160" s="236"/>
      <c r="H160" s="237"/>
      <c r="I160" s="238"/>
      <c r="J160" s="239"/>
      <c r="K160" s="240"/>
      <c r="L160" s="241"/>
      <c r="M160" s="242"/>
      <c r="N160" s="167"/>
      <c r="O160" s="167"/>
      <c r="P160" s="260"/>
      <c r="Q160" s="168"/>
      <c r="R160" s="425"/>
      <c r="S160" s="371"/>
      <c r="T160" s="425"/>
      <c r="U160" s="372"/>
      <c r="V160" s="425"/>
      <c r="W160" s="244"/>
      <c r="X160" s="202"/>
      <c r="AL160" s="460"/>
      <c r="AM160" s="460"/>
      <c r="AN160" s="460"/>
      <c r="AO160" s="460"/>
      <c r="AP160" s="460"/>
      <c r="AQ160" s="460"/>
    </row>
    <row r="161" spans="2:43" s="105" customFormat="1" ht="27" customHeight="1">
      <c r="B161" s="370">
        <f>#REF!</f>
      </c>
      <c r="C161" s="232"/>
      <c r="D161" s="164">
        <f>IF(#REF!&lt;&gt;"",#REF!,IF(#REF!&lt;&gt;"",#REF!,""))</f>
      </c>
      <c r="E161" s="235"/>
      <c r="F161" s="236"/>
      <c r="G161" s="236"/>
      <c r="H161" s="237"/>
      <c r="I161" s="238"/>
      <c r="J161" s="239"/>
      <c r="K161" s="240"/>
      <c r="L161" s="241"/>
      <c r="M161" s="242"/>
      <c r="N161" s="167"/>
      <c r="O161" s="167"/>
      <c r="P161" s="260"/>
      <c r="Q161" s="168"/>
      <c r="R161" s="425"/>
      <c r="S161" s="371"/>
      <c r="T161" s="425"/>
      <c r="U161" s="372"/>
      <c r="V161" s="425"/>
      <c r="W161" s="244"/>
      <c r="X161" s="202"/>
      <c r="AL161" s="460"/>
      <c r="AM161" s="460"/>
      <c r="AN161" s="460"/>
      <c r="AO161" s="460"/>
      <c r="AP161" s="460"/>
      <c r="AQ161" s="460"/>
    </row>
    <row r="162" spans="2:43" s="105" customFormat="1" ht="27" customHeight="1">
      <c r="B162" s="370">
        <f>#REF!</f>
      </c>
      <c r="C162" s="232"/>
      <c r="D162" s="164">
        <f>IF(#REF!&lt;&gt;"",#REF!,IF(#REF!&lt;&gt;"",#REF!,""))</f>
      </c>
      <c r="E162" s="235"/>
      <c r="F162" s="236"/>
      <c r="G162" s="236"/>
      <c r="H162" s="237"/>
      <c r="I162" s="238"/>
      <c r="J162" s="239"/>
      <c r="K162" s="240"/>
      <c r="L162" s="241"/>
      <c r="M162" s="242"/>
      <c r="N162" s="167">
        <f>#REF!</f>
      </c>
      <c r="O162" s="167">
        <f>#REF!</f>
      </c>
      <c r="P162" s="260">
        <f>#REF!</f>
      </c>
      <c r="Q162" s="168">
        <f>P162*N162</f>
      </c>
      <c r="R162" s="425">
        <f>IFERROR(Q162/$Q$166,0)</f>
      </c>
      <c r="S162" s="371">
        <f ca="1">IF($AL$5&lt;=1,0,SUM(OFFSET('rincian '!#REF!,0,0,1,$AL$5-1)))</f>
      </c>
      <c r="T162" s="425">
        <f ca="1">IFERROR(S162/N162*R162,0)</f>
      </c>
      <c r="U162" s="372" cm="1">
        <f t="array" ref="U162">IFERROR(INDEX('rincian '!#REF!,$AL$5),0)</f>
      </c>
      <c r="V162" s="425">
        <f>IFERROR(U162/N162*R162,0)</f>
      </c>
      <c r="W162" s="244">
        <f t="shared" ref="W162:X164" ca="1" si="30">S162+U162</f>
      </c>
      <c r="X162" s="202">
        <f t="shared" ca="1" si="30"/>
      </c>
      <c r="AL162" s="460"/>
      <c r="AM162" s="460"/>
      <c r="AN162" s="460"/>
      <c r="AO162" s="460"/>
      <c r="AP162" s="460"/>
      <c r="AQ162" s="460"/>
    </row>
    <row r="163" spans="2:43" s="105" customFormat="1" ht="27" customHeight="1">
      <c r="B163" s="370">
        <f>#REF!</f>
      </c>
      <c r="C163" s="232"/>
      <c r="D163" s="164">
        <f>IF(#REF!&lt;&gt;"",#REF!,IF(#REF!&lt;&gt;"",#REF!,""))</f>
      </c>
      <c r="E163" s="235"/>
      <c r="F163" s="236"/>
      <c r="G163" s="236"/>
      <c r="H163" s="237"/>
      <c r="I163" s="238"/>
      <c r="J163" s="239"/>
      <c r="K163" s="240"/>
      <c r="L163" s="241"/>
      <c r="M163" s="242"/>
      <c r="N163" s="167">
        <f>#REF!</f>
      </c>
      <c r="O163" s="167">
        <f>#REF!</f>
      </c>
      <c r="P163" s="260">
        <f>#REF!</f>
      </c>
      <c r="Q163" s="168">
        <f>P163*N163</f>
      </c>
      <c r="R163" s="425">
        <f>IFERROR(Q163/$Q$166,0)</f>
      </c>
      <c r="S163" s="371">
        <f ca="1">IF($AL$5&lt;=1,0,SUM(OFFSET('rincian '!#REF!,0,0,1,$AL$5-1)))</f>
      </c>
      <c r="T163" s="425">
        <f ca="1">IFERROR(S163/N163*R163,0)</f>
      </c>
      <c r="U163" s="372" cm="1">
        <f t="array" ref="U163">IFERROR(INDEX('rincian '!#REF!,$AL$5),0)</f>
      </c>
      <c r="V163" s="425">
        <f>IFERROR(U163/N163*R163,0)</f>
      </c>
      <c r="W163" s="244">
        <f t="shared" ca="1" si="30"/>
      </c>
      <c r="X163" s="202">
        <f t="shared" ca="1" si="30"/>
      </c>
      <c r="AL163" s="460"/>
      <c r="AM163" s="460"/>
      <c r="AN163" s="460"/>
      <c r="AO163" s="460"/>
      <c r="AP163" s="460"/>
      <c r="AQ163" s="460"/>
    </row>
    <row r="164" spans="2:43" s="105" customFormat="1" ht="27" customHeight="1">
      <c r="B164" s="370">
        <f>#REF!</f>
      </c>
      <c r="C164" s="232"/>
      <c r="D164" s="164">
        <f>IF(#REF!&lt;&gt;"",#REF!,IF(#REF!&lt;&gt;"",#REF!,""))</f>
      </c>
      <c r="E164" s="235"/>
      <c r="F164" s="236"/>
      <c r="G164" s="236"/>
      <c r="H164" s="237"/>
      <c r="I164" s="238"/>
      <c r="J164" s="239"/>
      <c r="K164" s="240"/>
      <c r="L164" s="241"/>
      <c r="M164" s="242"/>
      <c r="N164" s="167">
        <f>#REF!</f>
      </c>
      <c r="O164" s="167">
        <f>#REF!</f>
      </c>
      <c r="P164" s="260">
        <f>#REF!</f>
      </c>
      <c r="Q164" s="168">
        <f>P164*N164</f>
      </c>
      <c r="R164" s="425">
        <f>IFERROR(Q164/$Q$166,0)</f>
      </c>
      <c r="S164" s="371">
        <f ca="1">IF($AL$5&lt;=1,0,SUM(OFFSET('rincian '!#REF!,0,0,1,$AL$5-1)))</f>
      </c>
      <c r="T164" s="425">
        <f ca="1">IFERROR(S164/N164*R164,0)</f>
      </c>
      <c r="U164" s="372" cm="1">
        <f t="array" ref="U164">IFERROR(INDEX('rincian '!#REF!,$AL$5),0)</f>
      </c>
      <c r="V164" s="425">
        <f>IFERROR(U164/N164*R164,0)</f>
      </c>
      <c r="W164" s="244">
        <f t="shared" ca="1" si="30"/>
      </c>
      <c r="X164" s="202">
        <f t="shared" ca="1" si="30"/>
      </c>
      <c r="AL164" s="460"/>
      <c r="AM164" s="460"/>
      <c r="AN164" s="460"/>
      <c r="AO164" s="460"/>
      <c r="AP164" s="460"/>
      <c r="AQ164" s="460"/>
    </row>
    <row r="165" spans="2:43" s="105" customFormat="1" ht="25.2" customHeight="1">
      <c r="B165" s="140"/>
      <c r="C165" s="200"/>
      <c r="D165" s="196"/>
      <c r="E165" s="141"/>
      <c r="F165" s="141"/>
      <c r="G165" s="141"/>
      <c r="H165" s="141"/>
      <c r="I165" s="142"/>
      <c r="J165" s="143"/>
      <c r="K165" s="144"/>
      <c r="L165" s="145"/>
      <c r="M165" s="145"/>
      <c r="N165" s="167"/>
      <c r="O165" s="132"/>
      <c r="P165" s="133"/>
      <c r="Q165" s="168"/>
      <c r="R165" s="427"/>
      <c r="S165" s="146"/>
      <c r="T165" s="427"/>
      <c r="U165" s="146"/>
      <c r="V165" s="427"/>
      <c r="W165" s="170"/>
      <c r="X165" s="171"/>
    </row>
    <row r="166" spans="2:43" ht="25.2" customHeight="1" thickBot="1">
      <c r="B166" s="147"/>
      <c r="C166" s="148" t="s">
        <v>123</v>
      </c>
      <c r="D166" s="149"/>
      <c r="E166" s="150"/>
      <c r="F166" s="150"/>
      <c r="G166" s="150"/>
      <c r="H166" s="150"/>
      <c r="I166" s="150"/>
      <c r="J166" s="151"/>
      <c r="K166" s="152"/>
      <c r="L166" s="153"/>
      <c r="M166" s="154"/>
      <c r="N166" s="155"/>
      <c r="O166" s="151"/>
      <c r="P166" s="156"/>
      <c r="Q166" s="169">
        <f>SUM(Q12:Q165)</f>
      </c>
      <c r="R166" s="428">
        <f>SUM(R12:R165)</f>
      </c>
      <c r="S166" s="197"/>
      <c r="T166" s="428">
        <f ca="1">SUM(T12:T165)</f>
      </c>
      <c r="U166" s="198"/>
      <c r="V166" s="428">
        <f>SUM(V12:V165)</f>
      </c>
      <c r="W166" s="197"/>
      <c r="X166" s="199">
        <f ca="1">SUM(X12:X165)</f>
      </c>
      <c r="Z166" s="666" cm="1">
        <f t="array" aca="1" ref="Z166" ca="1">IF(SUMPRODUCT(--(W12:W165&gt;IFERROR(N12:N165*1,0)))&gt;0,"DITOLAK: ada item dengan progres s/d periode ini MELEBIHI volume kontrak",IF(ROUND(X166,6)&gt;1,"DITOLAK: bobot s/d periode ini "&amp;TEXT(X166,"0.00%")&amp;" sudah melebihi 100%",IF(ROUND(X166,6)=1,"PROGRES SUDAH 100% - VOLUME KONTRAK HABIS, penambahan progres ditolak","SISA BOBOT BELUM DITAGIH: "&amp;TEXT(1-X166,"0.00%"))))</f>
      </c>
      <c r="AA166" s="665"/>
      <c r="AB166" s="665"/>
      <c r="AC166" s="665"/>
      <c r="AD166" s="665"/>
      <c r="AE166" s="665"/>
      <c r="AF166" s="665"/>
      <c r="AG166" s="665"/>
      <c r="AH166" s="665"/>
    </row>
    <row r="167" spans="2:43" ht="25.2" customHeight="1">
      <c r="B167" s="157"/>
      <c r="C167" s="158"/>
      <c r="D167" s="159"/>
      <c r="E167" s="158"/>
      <c r="F167" s="158"/>
      <c r="G167" s="158"/>
      <c r="H167" s="158"/>
      <c r="I167" s="158"/>
      <c r="J167" s="160"/>
      <c r="K167" s="158"/>
      <c r="L167" s="158"/>
      <c r="M167" s="158"/>
      <c r="N167" s="161"/>
      <c r="O167" s="160"/>
      <c r="P167" s="161"/>
      <c r="Q167" s="161"/>
      <c r="R167" s="162"/>
      <c r="S167" s="120"/>
      <c r="T167" s="120"/>
      <c r="U167" s="120"/>
      <c r="V167" s="120"/>
      <c r="W167" s="120"/>
      <c r="X167" s="120"/>
      <c r="Z167" s="665"/>
      <c r="AA167" s="665"/>
      <c r="AB167" s="665"/>
      <c r="AC167" s="665"/>
      <c r="AD167" s="665"/>
      <c r="AE167" s="665"/>
      <c r="AF167" s="665"/>
      <c r="AG167" s="665"/>
      <c r="AH167" s="665"/>
    </row>
    <row r="168" spans="2:43" ht="25.2" customHeight="1">
      <c r="B168" s="157"/>
      <c r="C168" s="158"/>
      <c r="D168" s="159"/>
      <c r="E168" s="158"/>
      <c r="F168" s="158"/>
      <c r="G168" s="158"/>
      <c r="H168" s="158"/>
      <c r="I168" s="158"/>
      <c r="J168" s="160"/>
      <c r="K168" s="158"/>
      <c r="L168" s="158"/>
      <c r="M168" s="158"/>
      <c r="N168" s="163"/>
      <c r="O168" s="160"/>
      <c r="P168" s="161"/>
      <c r="Q168" s="161"/>
      <c r="R168" s="120"/>
      <c r="S168" s="120"/>
      <c r="T168" s="120"/>
      <c r="U168" s="120"/>
      <c r="V168" s="172"/>
      <c r="W168" s="203">
        <f>DATA!$B$36&amp;", "&amp;'BAPP 4'!W2</f>
      </c>
      <c r="X168" s="172"/>
    </row>
    <row r="169" spans="2:43" ht="25.2" customHeight="1">
      <c r="B169" s="658" t="s">
        <v>166</v>
      </c>
      <c r="C169" s="658"/>
      <c r="D169" s="658"/>
      <c r="E169" s="658"/>
      <c r="F169" s="658"/>
      <c r="G169" s="658"/>
      <c r="H169" s="658"/>
      <c r="I169" s="173"/>
      <c r="J169" s="173"/>
      <c r="K169" s="173"/>
      <c r="L169" s="173"/>
      <c r="M169" s="173"/>
      <c r="N169" s="658" t="s">
        <v>167</v>
      </c>
      <c r="O169" s="658"/>
      <c r="P169" s="658"/>
      <c r="Q169" s="658"/>
      <c r="R169" s="658"/>
      <c r="S169" s="658"/>
      <c r="T169" s="658"/>
      <c r="U169" s="120"/>
      <c r="V169" s="658" t="s">
        <v>168</v>
      </c>
      <c r="W169" s="658"/>
      <c r="X169" s="658"/>
    </row>
    <row r="170" spans="2:43" ht="25.2" hidden="1" customHeight="1">
      <c r="B170" s="658">
        <f>DATA!$B$107</f>
      </c>
      <c r="C170" s="658"/>
      <c r="D170" s="658"/>
      <c r="E170" s="658"/>
      <c r="F170" s="658"/>
      <c r="G170" s="658"/>
      <c r="H170" s="658"/>
      <c r="I170" s="173"/>
      <c r="J170" s="173"/>
      <c r="K170" s="173"/>
      <c r="L170" s="173"/>
      <c r="M170" s="173"/>
      <c r="N170" s="658">
        <f>B170</f>
      </c>
      <c r="O170" s="658"/>
      <c r="P170" s="658"/>
      <c r="Q170" s="161"/>
      <c r="R170" s="655">
        <f>N170</f>
      </c>
      <c r="S170" s="655"/>
      <c r="T170" s="655"/>
      <c r="U170" s="120"/>
      <c r="V170" s="655" t="s">
        <v>169</v>
      </c>
      <c r="W170" s="655"/>
      <c r="X170" s="655"/>
    </row>
    <row r="171" spans="2:43" ht="25.2" hidden="1" customHeight="1">
      <c r="B171" s="658">
        <f>DATA!$B$108</f>
      </c>
      <c r="C171" s="658"/>
      <c r="D171" s="658"/>
      <c r="E171" s="658"/>
      <c r="F171" s="658"/>
      <c r="G171" s="658"/>
      <c r="H171" s="658"/>
      <c r="I171" s="173"/>
      <c r="J171" s="173"/>
      <c r="K171" s="173"/>
      <c r="L171" s="173"/>
      <c r="M171" s="173"/>
      <c r="N171" s="658">
        <f>$B$171</f>
      </c>
      <c r="O171" s="658"/>
      <c r="P171" s="658"/>
      <c r="Q171" s="161"/>
      <c r="R171" s="655">
        <f>$B$171</f>
      </c>
      <c r="S171" s="655"/>
      <c r="T171" s="655"/>
      <c r="U171" s="120"/>
      <c r="V171" s="655"/>
      <c r="W171" s="655"/>
      <c r="X171" s="655"/>
    </row>
    <row r="172" spans="2:43" ht="25.2" customHeight="1">
      <c r="B172" s="157"/>
      <c r="C172" s="158"/>
      <c r="D172" s="159"/>
      <c r="E172" s="158"/>
      <c r="F172" s="158"/>
      <c r="G172" s="158"/>
      <c r="H172" s="158"/>
      <c r="I172" s="158"/>
      <c r="J172" s="158"/>
      <c r="K172" s="158"/>
      <c r="L172" s="158"/>
      <c r="M172" s="158"/>
      <c r="N172" s="161"/>
      <c r="O172" s="158"/>
      <c r="P172" s="161"/>
      <c r="Q172" s="161"/>
      <c r="R172" s="120"/>
      <c r="S172" s="120"/>
      <c r="T172" s="120"/>
      <c r="U172" s="120"/>
      <c r="V172" s="120"/>
      <c r="W172" s="120"/>
      <c r="X172" s="120"/>
    </row>
    <row r="173" spans="2:43" ht="25.2" customHeight="1">
      <c r="B173" s="157"/>
      <c r="C173" s="158"/>
      <c r="D173" s="159"/>
      <c r="E173" s="158"/>
      <c r="F173" s="158"/>
      <c r="G173" s="158"/>
      <c r="H173" s="158"/>
      <c r="I173" s="158"/>
      <c r="J173" s="158"/>
      <c r="K173" s="158"/>
      <c r="L173" s="158"/>
      <c r="M173" s="158"/>
      <c r="N173" s="161"/>
      <c r="O173" s="158"/>
      <c r="P173" s="161"/>
      <c r="Q173" s="161"/>
      <c r="R173" s="120"/>
      <c r="S173" s="120"/>
      <c r="T173" s="120"/>
      <c r="U173" s="120"/>
      <c r="V173" s="120"/>
      <c r="W173" s="120"/>
      <c r="X173" s="120"/>
    </row>
    <row r="174" spans="2:43" ht="25.2" customHeight="1">
      <c r="B174" s="157"/>
      <c r="C174" s="158"/>
      <c r="D174" s="159"/>
      <c r="E174" s="158"/>
      <c r="F174" s="158"/>
      <c r="G174" s="158"/>
      <c r="H174" s="158"/>
      <c r="I174" s="158"/>
      <c r="J174" s="158"/>
      <c r="K174" s="158"/>
      <c r="L174" s="158"/>
      <c r="M174" s="158"/>
      <c r="N174" s="161"/>
      <c r="O174" s="158"/>
      <c r="P174" s="161"/>
      <c r="Q174" s="161"/>
      <c r="R174" s="120"/>
      <c r="S174" s="120"/>
      <c r="T174" s="120"/>
      <c r="U174" s="120"/>
      <c r="V174" s="120"/>
      <c r="W174" s="120"/>
      <c r="X174" s="120"/>
    </row>
    <row r="175" spans="2:43" ht="25.2" customHeight="1">
      <c r="B175" s="157"/>
      <c r="C175" s="158"/>
      <c r="D175" s="159"/>
      <c r="E175" s="158"/>
      <c r="F175" s="158"/>
      <c r="G175" s="158"/>
      <c r="H175" s="158"/>
      <c r="I175" s="158"/>
      <c r="J175" s="158"/>
      <c r="K175" s="158"/>
      <c r="L175" s="158"/>
      <c r="M175" s="158"/>
      <c r="N175" s="161"/>
      <c r="O175" s="158"/>
      <c r="P175" s="161"/>
      <c r="Q175" s="161"/>
      <c r="R175" s="120"/>
      <c r="S175" s="120"/>
      <c r="T175" s="120"/>
      <c r="U175" s="120"/>
      <c r="V175" s="120"/>
      <c r="W175" s="120"/>
      <c r="X175" s="120"/>
    </row>
    <row r="176" spans="2:43" ht="25.2" customHeight="1">
      <c r="B176" s="157"/>
      <c r="C176" s="158"/>
      <c r="D176" s="159"/>
      <c r="E176" s="158"/>
      <c r="F176" s="158"/>
      <c r="G176" s="158"/>
      <c r="H176" s="158"/>
      <c r="I176" s="158"/>
      <c r="J176" s="158"/>
      <c r="K176" s="158"/>
      <c r="L176" s="158"/>
      <c r="M176" s="158"/>
      <c r="N176" s="161"/>
      <c r="O176" s="158"/>
      <c r="P176" s="161"/>
      <c r="Q176" s="161"/>
      <c r="R176" s="120"/>
      <c r="S176" s="120"/>
      <c r="T176" s="120"/>
      <c r="U176" s="120"/>
      <c r="V176" s="120"/>
      <c r="W176" s="120"/>
      <c r="X176" s="120"/>
    </row>
    <row r="177" spans="2:24" ht="25.2" customHeight="1">
      <c r="B177" s="157"/>
      <c r="C177" s="158"/>
      <c r="D177" s="159"/>
      <c r="E177" s="158"/>
      <c r="F177" s="158"/>
      <c r="G177" s="158"/>
      <c r="H177" s="158"/>
      <c r="I177" s="158"/>
      <c r="J177" s="158"/>
      <c r="K177" s="158"/>
      <c r="L177" s="158"/>
      <c r="M177" s="158"/>
      <c r="N177" s="161"/>
      <c r="O177" s="158"/>
      <c r="P177" s="161"/>
      <c r="Q177" s="161"/>
      <c r="R177" s="120"/>
      <c r="S177" s="120"/>
      <c r="T177" s="120"/>
      <c r="U177" s="120"/>
      <c r="V177" s="120"/>
      <c r="W177" s="120"/>
      <c r="X177" s="120"/>
    </row>
    <row r="178" spans="2:24" ht="25.2" customHeight="1">
      <c r="B178" s="659">
        <f>DATA!$B$109</f>
      </c>
      <c r="C178" s="660"/>
      <c r="D178" s="660"/>
      <c r="E178" s="660"/>
      <c r="F178" s="660"/>
      <c r="G178" s="660"/>
      <c r="H178" s="660"/>
      <c r="I178" s="174"/>
      <c r="J178" s="174"/>
      <c r="K178" s="174"/>
      <c r="L178" s="174"/>
      <c r="M178" s="174"/>
      <c r="N178" s="659">
        <f>DATA!$B$111</f>
      </c>
      <c r="O178" s="660"/>
      <c r="P178" s="660"/>
      <c r="Q178" s="218"/>
      <c r="R178" s="664">
        <f>DATA!$B$113</f>
      </c>
      <c r="S178" s="665"/>
      <c r="T178" s="665"/>
      <c r="U178" s="665"/>
      <c r="V178" s="663">
        <f>#REF!</f>
      </c>
      <c r="W178" s="663"/>
      <c r="X178" s="663"/>
    </row>
    <row r="179" spans="2:24" ht="25.2" customHeight="1">
      <c r="B179" s="658">
        <f>DATA!$B$110</f>
      </c>
      <c r="C179" s="658"/>
      <c r="D179" s="658"/>
      <c r="E179" s="658"/>
      <c r="F179" s="658"/>
      <c r="G179" s="658"/>
      <c r="H179" s="658"/>
      <c r="I179" s="173"/>
      <c r="J179" s="173"/>
      <c r="K179" s="173"/>
      <c r="L179" s="173"/>
      <c r="M179" s="173"/>
      <c r="N179" s="658">
        <f>DATA!$B$112</f>
      </c>
      <c r="O179" s="658"/>
      <c r="P179" s="658"/>
      <c r="Q179" s="219"/>
      <c r="R179" s="710">
        <f>DATA!$B$114</f>
      </c>
      <c r="S179" s="665"/>
      <c r="T179" s="665"/>
      <c r="U179" s="665"/>
      <c r="V179" s="709">
        <f>#REF!</f>
      </c>
      <c r="W179" s="709"/>
      <c r="X179" s="709"/>
    </row>
    <row r="182" spans="2:24" ht="25.2" customHeight="1">
      <c r="P182" s="166"/>
    </row>
    <row r="183" spans="2:24" ht="25.2" customHeight="1">
      <c r="J183" s="165" t="s">
        <v>170</v>
      </c>
      <c r="O183" s="165"/>
      <c r="P183" s="165"/>
    </row>
    <row r="184" spans="2:24" ht="25.2" customHeight="1">
      <c r="J184" s="165">
        <f>DATA!$B$62</f>
      </c>
      <c r="O184" s="165"/>
    </row>
    <row r="185" spans="2:24" ht="25.2" customHeight="1">
      <c r="J185" s="165">
        <f>DATA!$B$108</f>
      </c>
      <c r="O185" s="165"/>
    </row>
  </sheetData>
  <mergeCells count="53">
    <mergeCell ref="B179:H179"/>
    <mergeCell ref="N179:P179"/>
    <mergeCell ref="V179:X179"/>
    <mergeCell ref="B171:H171"/>
    <mergeCell ref="N171:P171"/>
    <mergeCell ref="R171:T171"/>
    <mergeCell ref="V171:X171"/>
    <mergeCell ref="B178:H178"/>
    <mergeCell ref="N178:P178"/>
    <mergeCell ref="V178:X178"/>
    <mergeCell ref="R178:U178"/>
    <mergeCell ref="R179:U179"/>
    <mergeCell ref="B169:H169"/>
    <mergeCell ref="V169:X169"/>
    <mergeCell ref="B170:H170"/>
    <mergeCell ref="N170:P170"/>
    <mergeCell ref="R170:T170"/>
    <mergeCell ref="V170:X170"/>
    <mergeCell ref="D40:M40"/>
    <mergeCell ref="D58:M58"/>
    <mergeCell ref="D59:M59"/>
    <mergeCell ref="D60:M60"/>
    <mergeCell ref="D101:M101"/>
    <mergeCell ref="X8:X9"/>
    <mergeCell ref="C11:I11"/>
    <mergeCell ref="D15:M15"/>
    <mergeCell ref="D16:M16"/>
    <mergeCell ref="D17:M17"/>
    <mergeCell ref="P7:P9"/>
    <mergeCell ref="Q7:Q9"/>
    <mergeCell ref="S7:T7"/>
    <mergeCell ref="U7:V7"/>
    <mergeCell ref="W7:X7"/>
    <mergeCell ref="R8:R9"/>
    <mergeCell ref="S8:S9"/>
    <mergeCell ref="T8:T9"/>
    <mergeCell ref="U8:U9"/>
    <mergeCell ref="Z166:AH166"/>
    <mergeCell ref="Z167:AH167"/>
    <mergeCell ref="N169:T169"/>
    <mergeCell ref="V8:V9"/>
    <mergeCell ref="B2:X2"/>
    <mergeCell ref="B3:X3"/>
    <mergeCell ref="B4:X4"/>
    <mergeCell ref="B5:X5"/>
    <mergeCell ref="B7:B9"/>
    <mergeCell ref="C7:I9"/>
    <mergeCell ref="J7:J9"/>
    <mergeCell ref="K7:M8"/>
    <mergeCell ref="N7:N9"/>
    <mergeCell ref="O7:O9"/>
    <mergeCell ref="D146:M146"/>
    <mergeCell ref="W8:W9"/>
  </mergeCells>
  <conditionalFormatting sqref="Z166:AH167">
    <cfRule type="containsText" dxfId="15" priority="1" operator="containsText" text="DITOLAK">
      <formula>NOT(ISERROR(SEARCH("DITOLAK",Z166)))</formula>
    </cfRule>
    <cfRule type="containsText" dxfId="14" priority="2" operator="containsText" text="HABIS">
      <formula>NOT(ISERROR(SEARCH("HABIS",Z166)))</formula>
    </cfRule>
    <cfRule type="containsText" dxfId="13" priority="3" operator="containsText" text="SISA">
      <formula>NOT(ISERROR(SEARCH("SISA",Z166)))</formula>
    </cfRule>
  </conditionalFormatting>
  <printOptions horizontalCentered="1"/>
  <pageMargins left="0.18" right="0.14000000000000001" top="0.39370078740157499" bottom="0.39370078740157499" header="0.31496062992126" footer="0.31496062992126"/>
  <pageSetup paperSize="9" scale="39" fitToHeight="0" orientation="landscape" r:id="rId1"/>
  <rowBreaks count="3" manualBreakCount="3">
    <brk id="50" min="1" max="23" man="1"/>
    <brk id="100" min="1" max="23" man="1"/>
    <brk id="147" min="1" max="23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3F47-AC6F-4392-9D34-80282EC50649}">
  <sheetPr>
    <tabColor rgb="FF0070C0"/>
  </sheetPr>
  <dimension ref="B2:AQ185"/>
  <sheetViews>
    <sheetView view="pageBreakPreview" topLeftCell="A161" zoomScale="40" zoomScaleNormal="60" zoomScaleSheetLayoutView="40" workbookViewId="0">
      <selection activeCell="B3" sqref="B3:K3"/>
    </sheetView>
  </sheetViews>
  <sheetFormatPr defaultColWidth="4.1796875" defaultRowHeight="25.2" customHeight="1"/>
  <cols>
    <col min="1" max="1" width="5.453125" style="101" customWidth="1"/>
    <col min="2" max="2" width="5.54296875" style="106" customWidth="1"/>
    <col min="3" max="3" width="3.453125" style="107" customWidth="1"/>
    <col min="4" max="4" width="3.81640625" style="108" customWidth="1"/>
    <col min="5" max="5" width="5.1796875" style="107" customWidth="1"/>
    <col min="6" max="6" width="3.81640625" style="107" customWidth="1"/>
    <col min="7" max="7" width="3.08984375" style="107" customWidth="1"/>
    <col min="8" max="8" width="23" style="107" customWidth="1"/>
    <col min="9" max="9" width="29.1796875" style="107" customWidth="1"/>
    <col min="10" max="10" width="6.1796875" style="109" hidden="1" customWidth="1"/>
    <col min="11" max="11" width="12.81640625" style="109" hidden="1" customWidth="1"/>
    <col min="12" max="12" width="17" style="110" hidden="1" customWidth="1"/>
    <col min="13" max="13" width="22.1796875" style="110" hidden="1" customWidth="1"/>
    <col min="14" max="14" width="13.81640625" style="102" customWidth="1"/>
    <col min="15" max="15" width="14.54296875" style="109" bestFit="1" customWidth="1"/>
    <col min="16" max="16" width="24.81640625" style="111" customWidth="1"/>
    <col min="17" max="17" width="26.81640625" style="111" customWidth="1"/>
    <col min="18" max="18" width="14.81640625" style="102" bestFit="1" customWidth="1"/>
    <col min="19" max="21" width="13.453125" style="102" customWidth="1"/>
    <col min="22" max="22" width="14.453125" style="102" customWidth="1"/>
    <col min="23" max="23" width="13.453125" style="102" customWidth="1"/>
    <col min="24" max="24" width="14.81640625" style="102" bestFit="1" customWidth="1"/>
    <col min="25" max="25" width="9" style="101" customWidth="1"/>
    <col min="26" max="27" width="7.08984375" style="101" customWidth="1"/>
    <col min="28" max="28" width="14.453125" style="101" bestFit="1" customWidth="1"/>
    <col min="29" max="29" width="17.81640625" style="101" bestFit="1" customWidth="1"/>
    <col min="30" max="30" width="15.1796875" style="101" bestFit="1" customWidth="1"/>
    <col min="31" max="31" width="17.81640625" style="101" bestFit="1" customWidth="1"/>
    <col min="32" max="32" width="9.81640625" style="101" bestFit="1" customWidth="1"/>
    <col min="33" max="35" width="7.08984375" style="101" customWidth="1"/>
    <col min="36" max="36" width="15.1796875" style="101" bestFit="1" customWidth="1"/>
    <col min="37" max="37" width="7.08984375" style="101" customWidth="1"/>
    <col min="38" max="43" width="10.36328125" style="101" customWidth="1"/>
    <col min="44" max="128" width="7.08984375" style="101" customWidth="1"/>
    <col min="129" max="129" width="5.453125" style="101" customWidth="1"/>
    <col min="130" max="130" width="6.1796875" style="101" customWidth="1"/>
    <col min="131" max="131" width="4.81640625" style="101" customWidth="1"/>
    <col min="132" max="132" width="6" style="101" customWidth="1"/>
    <col min="133" max="16384" width="4.1796875" style="101"/>
  </cols>
  <sheetData>
    <row r="2" spans="2:43" ht="25.2" customHeight="1"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7"/>
      <c r="U2" s="667"/>
      <c r="V2" s="667"/>
      <c r="W2" s="667"/>
      <c r="X2" s="667"/>
    </row>
    <row r="3" spans="2:43" ht="25.2" customHeight="1">
      <c r="B3" s="668" t="s">
        <v>137</v>
      </c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  <c r="N3" s="668"/>
      <c r="O3" s="668"/>
      <c r="P3" s="668"/>
      <c r="Q3" s="668"/>
      <c r="R3" s="668"/>
      <c r="S3" s="668"/>
      <c r="T3" s="668"/>
      <c r="U3" s="668"/>
      <c r="V3" s="668"/>
      <c r="W3" s="668"/>
      <c r="X3" s="668"/>
    </row>
    <row r="4" spans="2:43" ht="25.2" customHeight="1">
      <c r="B4" s="668">
        <f>UPPER(""&amp;#REF!)</f>
      </c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  <c r="N4" s="668"/>
      <c r="O4" s="668"/>
      <c r="P4" s="668"/>
      <c r="Q4" s="668"/>
      <c r="R4" s="668"/>
      <c r="S4" s="668"/>
      <c r="T4" s="668"/>
      <c r="U4" s="668"/>
      <c r="V4" s="668"/>
      <c r="W4" s="668"/>
      <c r="X4" s="668"/>
      <c r="AC4" s="251"/>
      <c r="AI4" s="247"/>
      <c r="AJ4" s="248"/>
      <c r="AL4" s="466" t="s">
        <v>51</v>
      </c>
    </row>
    <row r="5" spans="2:43" ht="25.2" customHeight="1">
      <c r="B5" s="668" t="s">
        <v>138</v>
      </c>
      <c r="C5" s="668"/>
      <c r="D5" s="668"/>
      <c r="E5" s="668"/>
      <c r="F5" s="668"/>
      <c r="G5" s="668"/>
      <c r="H5" s="668"/>
      <c r="I5" s="668"/>
      <c r="J5" s="668"/>
      <c r="K5" s="668"/>
      <c r="L5" s="668"/>
      <c r="M5" s="668"/>
      <c r="N5" s="668"/>
      <c r="O5" s="668"/>
      <c r="P5" s="668"/>
      <c r="Q5" s="668"/>
      <c r="R5" s="668"/>
      <c r="S5" s="668"/>
      <c r="T5" s="668"/>
      <c r="U5" s="668"/>
      <c r="V5" s="668"/>
      <c r="W5" s="668"/>
      <c r="X5" s="668"/>
      <c r="AC5" s="251"/>
      <c r="AG5" s="247"/>
      <c r="AI5" s="247"/>
      <c r="AJ5" s="249"/>
      <c r="AL5" s="467">
        <v>5</v>
      </c>
    </row>
    <row r="6" spans="2:43" ht="15" customHeight="1" thickBot="1">
      <c r="B6" s="112"/>
      <c r="C6" s="113"/>
      <c r="D6" s="114"/>
      <c r="E6" s="113"/>
      <c r="F6" s="113"/>
      <c r="G6" s="113"/>
      <c r="H6" s="113"/>
      <c r="I6" s="113"/>
      <c r="J6" s="115"/>
      <c r="K6" s="116"/>
      <c r="L6" s="117"/>
      <c r="M6" s="117"/>
      <c r="N6" s="118"/>
      <c r="O6" s="115"/>
      <c r="P6" s="119"/>
      <c r="Q6" s="119"/>
      <c r="R6" s="120"/>
      <c r="S6" s="120"/>
      <c r="T6" s="120"/>
      <c r="U6" s="120"/>
      <c r="V6" s="120"/>
      <c r="W6" s="120"/>
      <c r="X6" s="120"/>
    </row>
    <row r="7" spans="2:43" s="103" customFormat="1" ht="25.2" customHeight="1">
      <c r="B7" s="669" t="s">
        <v>139</v>
      </c>
      <c r="C7" s="672" t="s">
        <v>140</v>
      </c>
      <c r="D7" s="673"/>
      <c r="E7" s="673"/>
      <c r="F7" s="673"/>
      <c r="G7" s="673"/>
      <c r="H7" s="673"/>
      <c r="I7" s="674"/>
      <c r="J7" s="681" t="s">
        <v>141</v>
      </c>
      <c r="K7" s="684" t="s">
        <v>142</v>
      </c>
      <c r="L7" s="685"/>
      <c r="M7" s="686"/>
      <c r="N7" s="690" t="s">
        <v>143</v>
      </c>
      <c r="O7" s="681" t="s">
        <v>141</v>
      </c>
      <c r="P7" s="693" t="s">
        <v>144</v>
      </c>
      <c r="Q7" s="693" t="s">
        <v>145</v>
      </c>
      <c r="R7" s="121" t="s">
        <v>146</v>
      </c>
      <c r="S7" s="696" t="s">
        <v>147</v>
      </c>
      <c r="T7" s="696"/>
      <c r="U7" s="696" t="s">
        <v>148</v>
      </c>
      <c r="V7" s="696"/>
      <c r="W7" s="696" t="s">
        <v>149</v>
      </c>
      <c r="X7" s="697"/>
      <c r="AJ7" s="250"/>
      <c r="AL7" s="457" t="s">
        <v>171</v>
      </c>
    </row>
    <row r="8" spans="2:43" s="103" customFormat="1" ht="25.2" customHeight="1">
      <c r="B8" s="670"/>
      <c r="C8" s="675"/>
      <c r="D8" s="676"/>
      <c r="E8" s="676"/>
      <c r="F8" s="676"/>
      <c r="G8" s="676"/>
      <c r="H8" s="676"/>
      <c r="I8" s="677"/>
      <c r="J8" s="682"/>
      <c r="K8" s="687"/>
      <c r="L8" s="688"/>
      <c r="M8" s="689"/>
      <c r="N8" s="691"/>
      <c r="O8" s="682"/>
      <c r="P8" s="694"/>
      <c r="Q8" s="694"/>
      <c r="R8" s="698" t="s">
        <v>152</v>
      </c>
      <c r="S8" s="661" t="s">
        <v>153</v>
      </c>
      <c r="T8" s="661" t="s">
        <v>146</v>
      </c>
      <c r="U8" s="661" t="s">
        <v>153</v>
      </c>
      <c r="V8" s="661" t="s">
        <v>146</v>
      </c>
      <c r="W8" s="661" t="s">
        <v>153</v>
      </c>
      <c r="X8" s="656" t="s">
        <v>146</v>
      </c>
    </row>
    <row r="9" spans="2:43" s="103" customFormat="1" ht="32.25" customHeight="1" thickBot="1">
      <c r="B9" s="671"/>
      <c r="C9" s="678"/>
      <c r="D9" s="679"/>
      <c r="E9" s="679"/>
      <c r="F9" s="679"/>
      <c r="G9" s="679"/>
      <c r="H9" s="679"/>
      <c r="I9" s="680"/>
      <c r="J9" s="683"/>
      <c r="K9" s="122" t="s">
        <v>143</v>
      </c>
      <c r="L9" s="122" t="s">
        <v>154</v>
      </c>
      <c r="M9" s="122" t="s">
        <v>155</v>
      </c>
      <c r="N9" s="692"/>
      <c r="O9" s="683"/>
      <c r="P9" s="695"/>
      <c r="Q9" s="695"/>
      <c r="R9" s="662"/>
      <c r="S9" s="662"/>
      <c r="T9" s="662"/>
      <c r="U9" s="662"/>
      <c r="V9" s="662"/>
      <c r="W9" s="662"/>
      <c r="X9" s="657"/>
      <c r="AL9" s="458" t="s">
        <v>156</v>
      </c>
      <c r="AM9" s="458" t="s">
        <v>157</v>
      </c>
      <c r="AN9" s="458" t="s">
        <v>158</v>
      </c>
      <c r="AO9" s="458" t="s">
        <v>159</v>
      </c>
      <c r="AP9" s="458" t="s">
        <v>160</v>
      </c>
      <c r="AQ9" s="458" t="s">
        <v>161</v>
      </c>
    </row>
    <row r="10" spans="2:43" s="104" customFormat="1" ht="25.2" customHeight="1">
      <c r="B10" s="123"/>
      <c r="C10" s="124"/>
      <c r="D10" s="125"/>
      <c r="E10" s="126"/>
      <c r="F10" s="126"/>
      <c r="G10" s="126"/>
      <c r="H10" s="126"/>
      <c r="I10" s="126"/>
      <c r="J10" s="127"/>
      <c r="K10" s="127"/>
      <c r="L10" s="128"/>
      <c r="M10" s="127"/>
      <c r="N10" s="129"/>
      <c r="O10" s="127"/>
      <c r="P10" s="130"/>
      <c r="Q10" s="130"/>
      <c r="R10" s="129"/>
      <c r="S10" s="129"/>
      <c r="T10" s="129"/>
      <c r="U10" s="129"/>
      <c r="V10" s="129"/>
      <c r="W10" s="129"/>
      <c r="X10" s="131"/>
      <c r="AL10" s="459"/>
      <c r="AM10" s="459"/>
      <c r="AN10" s="459"/>
      <c r="AO10" s="459"/>
      <c r="AP10" s="459"/>
      <c r="AQ10" s="459"/>
    </row>
    <row r="11" spans="2:43" s="105" customFormat="1" ht="64.8" customHeight="1">
      <c r="B11" s="123"/>
      <c r="C11" s="706">
        <f>DATA!$B$6</f>
      </c>
      <c r="D11" s="707"/>
      <c r="E11" s="707"/>
      <c r="F11" s="707"/>
      <c r="G11" s="707"/>
      <c r="H11" s="707"/>
      <c r="I11" s="708"/>
      <c r="J11" s="136"/>
      <c r="K11" s="137"/>
      <c r="L11" s="138"/>
      <c r="M11" s="139"/>
      <c r="N11" s="167"/>
      <c r="O11" s="167"/>
      <c r="P11" s="134"/>
      <c r="Q11" s="167"/>
      <c r="R11" s="201"/>
      <c r="S11" s="135"/>
      <c r="T11" s="201"/>
      <c r="U11" s="213"/>
      <c r="V11" s="201"/>
      <c r="W11" s="170"/>
      <c r="X11" s="202"/>
      <c r="AC11" s="105" t="s">
        <v>165</v>
      </c>
      <c r="AL11" s="460"/>
      <c r="AM11" s="460"/>
      <c r="AN11" s="460"/>
      <c r="AO11" s="460"/>
      <c r="AP11" s="460"/>
      <c r="AQ11" s="460"/>
    </row>
    <row r="12" spans="2:43" s="105" customFormat="1" ht="27" customHeight="1">
      <c r="B12" s="383">
        <f>#REF!</f>
      </c>
      <c r="C12" s="384"/>
      <c r="D12" s="385">
        <f>IF(#REF!&lt;&gt;"",#REF!,IF(#REF!&lt;&gt;"",#REF!,""))</f>
      </c>
      <c r="E12" s="386"/>
      <c r="F12" s="387"/>
      <c r="G12" s="387"/>
      <c r="H12" s="388"/>
      <c r="I12" s="389"/>
      <c r="J12" s="390"/>
      <c r="K12" s="391"/>
      <c r="L12" s="392"/>
      <c r="M12" s="393"/>
      <c r="N12" s="394"/>
      <c r="O12" s="394"/>
      <c r="P12" s="395"/>
      <c r="Q12" s="396"/>
      <c r="R12" s="397"/>
      <c r="S12" s="398"/>
      <c r="T12" s="397"/>
      <c r="U12" s="398"/>
      <c r="V12" s="397"/>
      <c r="W12" s="399"/>
      <c r="X12" s="400"/>
      <c r="AL12" s="460"/>
      <c r="AM12" s="460"/>
      <c r="AN12" s="460"/>
      <c r="AO12" s="460"/>
      <c r="AP12" s="460"/>
      <c r="AQ12" s="460"/>
    </row>
    <row r="13" spans="2:43" s="105" customFormat="1" ht="27" customHeight="1">
      <c r="B13" s="123">
        <f>#REF!</f>
      </c>
      <c r="C13" s="373"/>
      <c r="D13" s="374">
        <f>IF(#REF!&lt;&gt;"",#REF!,IF(#REF!&lt;&gt;"",#REF!,""))</f>
      </c>
      <c r="E13" s="375"/>
      <c r="F13" s="376"/>
      <c r="G13" s="376"/>
      <c r="H13" s="377"/>
      <c r="I13" s="378"/>
      <c r="J13" s="379"/>
      <c r="K13" s="380"/>
      <c r="L13" s="381"/>
      <c r="M13" s="382"/>
      <c r="N13" s="167"/>
      <c r="O13" s="167"/>
      <c r="P13" s="260"/>
      <c r="Q13" s="168"/>
      <c r="R13" s="201"/>
      <c r="S13" s="135"/>
      <c r="T13" s="201"/>
      <c r="U13" s="213"/>
      <c r="V13" s="201"/>
      <c r="W13" s="244"/>
      <c r="X13" s="202"/>
      <c r="AL13" s="460"/>
      <c r="AM13" s="460"/>
      <c r="AN13" s="460"/>
      <c r="AO13" s="460"/>
      <c r="AP13" s="460"/>
      <c r="AQ13" s="460"/>
    </row>
    <row r="14" spans="2:43" s="105" customFormat="1" ht="27" customHeight="1">
      <c r="B14" s="243">
        <f>#REF!</f>
      </c>
      <c r="C14" s="232"/>
      <c r="D14" s="164">
        <f>IF(#REF!&lt;&gt;"",#REF!,IF(#REF!&lt;&gt;"",#REF!,""))</f>
      </c>
      <c r="E14" s="235"/>
      <c r="F14" s="236"/>
      <c r="G14" s="236"/>
      <c r="H14" s="237"/>
      <c r="I14" s="238"/>
      <c r="J14" s="239"/>
      <c r="K14" s="240"/>
      <c r="L14" s="241"/>
      <c r="M14" s="242"/>
      <c r="N14" s="167">
        <f>#REF!</f>
      </c>
      <c r="O14" s="167">
        <f>#REF!</f>
      </c>
      <c r="P14" s="260">
        <f>#REF!</f>
      </c>
      <c r="Q14" s="168">
        <f>P14*N14</f>
      </c>
      <c r="R14" s="425">
        <f>IFERROR(Q14/$Q$166,0)</f>
      </c>
      <c r="S14" s="135">
        <f ca="1">IF($AL$5&lt;=1,0,SUM(OFFSET('rincian '!#REF!,0,0,1,$AL$5-1)))</f>
      </c>
      <c r="T14" s="425">
        <f ca="1">IFERROR(S14/N14*R14,0)</f>
      </c>
      <c r="U14" s="213" cm="1">
        <f t="array" ref="U14">IFERROR(INDEX('rincian '!#REF!,$AL$5),0)</f>
      </c>
      <c r="V14" s="425">
        <f>IFERROR(U14/N14*R14,0)</f>
      </c>
      <c r="W14" s="244">
        <f t="shared" ref="W14:X17" ca="1" si="0">S14+U14</f>
      </c>
      <c r="X14" s="202">
        <f t="shared" ca="1" si="0"/>
      </c>
      <c r="AL14" s="460"/>
      <c r="AM14" s="460"/>
      <c r="AN14" s="460"/>
      <c r="AO14" s="460"/>
      <c r="AP14" s="460"/>
      <c r="AQ14" s="460"/>
    </row>
    <row r="15" spans="2:43" s="105" customFormat="1" ht="40.049999999999997" customHeight="1">
      <c r="B15" s="243">
        <f>#REF!</f>
      </c>
      <c r="C15" s="232"/>
      <c r="D15" s="704">
        <f>IF(#REF!&lt;&gt;"",#REF!,IF(#REF!&lt;&gt;"",#REF!,""))</f>
      </c>
      <c r="E15" s="704"/>
      <c r="F15" s="704"/>
      <c r="G15" s="704"/>
      <c r="H15" s="704"/>
      <c r="I15" s="704"/>
      <c r="J15" s="704"/>
      <c r="K15" s="704"/>
      <c r="L15" s="704"/>
      <c r="M15" s="705"/>
      <c r="N15" s="167">
        <f>#REF!</f>
      </c>
      <c r="O15" s="167">
        <f>#REF!</f>
      </c>
      <c r="P15" s="260">
        <f>#REF!</f>
      </c>
      <c r="Q15" s="168">
        <f>P15*N15</f>
      </c>
      <c r="R15" s="425">
        <f>IFERROR(Q15/$Q$166,0)</f>
      </c>
      <c r="S15" s="135">
        <f ca="1">IF($AL$5&lt;=1,0,SUM(OFFSET('rincian '!$AL15,0,0,1,$AL$5-1)))</f>
      </c>
      <c r="T15" s="425">
        <f ca="1">IFERROR(S15/N15*R15,0)</f>
      </c>
      <c r="U15" s="213" cm="1">
        <f t="array" ref="U15">IFERROR(INDEX('rincian '!$AL15:$AQ15,$AL$5),0)</f>
      </c>
      <c r="V15" s="425">
        <f>IFERROR(U15/N15*R15,0)</f>
      </c>
      <c r="W15" s="244">
        <f t="shared" ca="1" si="0"/>
      </c>
      <c r="X15" s="202">
        <f t="shared" ca="1" si="0"/>
      </c>
      <c r="AL15" s="460"/>
      <c r="AM15" s="460"/>
      <c r="AN15" s="460"/>
      <c r="AO15" s="460"/>
      <c r="AP15" s="460"/>
      <c r="AQ15" s="460"/>
    </row>
    <row r="16" spans="2:43" s="105" customFormat="1" ht="40.049999999999997" customHeight="1">
      <c r="B16" s="243">
        <f>#REF!</f>
      </c>
      <c r="C16" s="232"/>
      <c r="D16" s="704">
        <f>IF(#REF!&lt;&gt;"",#REF!,IF(#REF!&lt;&gt;"",#REF!,""))</f>
      </c>
      <c r="E16" s="704"/>
      <c r="F16" s="704"/>
      <c r="G16" s="704"/>
      <c r="H16" s="704"/>
      <c r="I16" s="704"/>
      <c r="J16" s="704"/>
      <c r="K16" s="704"/>
      <c r="L16" s="704"/>
      <c r="M16" s="705"/>
      <c r="N16" s="167">
        <f>#REF!</f>
      </c>
      <c r="O16" s="167">
        <f>#REF!</f>
      </c>
      <c r="P16" s="260">
        <f>#REF!</f>
      </c>
      <c r="Q16" s="168">
        <f>P16*N16</f>
      </c>
      <c r="R16" s="425">
        <f>IFERROR(Q16/$Q$166,0)</f>
      </c>
      <c r="S16" s="135">
        <f ca="1">IF($AL$5&lt;=1,0,SUM(OFFSET('rincian '!$AL16,0,0,1,$AL$5-1)))</f>
      </c>
      <c r="T16" s="425">
        <f ca="1">IFERROR(S16/N16*R16,0)</f>
      </c>
      <c r="U16" s="213" cm="1">
        <f t="array" ref="U16">IFERROR(INDEX('rincian '!$AL16:$AQ16,$AL$5),0)</f>
      </c>
      <c r="V16" s="425">
        <f>IFERROR(U16/N16*R16,0)</f>
      </c>
      <c r="W16" s="244">
        <f t="shared" ca="1" si="0"/>
      </c>
      <c r="X16" s="202">
        <f t="shared" ca="1" si="0"/>
      </c>
      <c r="AL16" s="460"/>
      <c r="AM16" s="460"/>
      <c r="AN16" s="460"/>
      <c r="AO16" s="460"/>
      <c r="AP16" s="460"/>
      <c r="AQ16" s="460"/>
    </row>
    <row r="17" spans="2:43" s="105" customFormat="1" ht="40.049999999999997" customHeight="1">
      <c r="B17" s="243">
        <f>#REF!</f>
      </c>
      <c r="C17" s="232"/>
      <c r="D17" s="704">
        <f>IF(#REF!&lt;&gt;"",#REF!,IF(#REF!&lt;&gt;"",#REF!,""))</f>
      </c>
      <c r="E17" s="704"/>
      <c r="F17" s="704"/>
      <c r="G17" s="704"/>
      <c r="H17" s="704"/>
      <c r="I17" s="704"/>
      <c r="J17" s="704"/>
      <c r="K17" s="704"/>
      <c r="L17" s="704"/>
      <c r="M17" s="705"/>
      <c r="N17" s="167">
        <f>#REF!</f>
      </c>
      <c r="O17" s="167">
        <f>#REF!</f>
      </c>
      <c r="P17" s="260">
        <f>#REF!</f>
      </c>
      <c r="Q17" s="168">
        <f>P17*N17</f>
      </c>
      <c r="R17" s="425">
        <f>IFERROR(Q17/$Q$166,0)</f>
      </c>
      <c r="S17" s="135">
        <f ca="1">IF($AL$5&lt;=1,0,SUM(OFFSET('rincian '!$AL17,0,0,1,$AL$5-1)))</f>
      </c>
      <c r="T17" s="425">
        <f ca="1">IFERROR(S17/N17*R17,0)</f>
      </c>
      <c r="U17" s="213" cm="1">
        <f t="array" ref="U17">IFERROR(INDEX('rincian '!$AL17:$AQ17,$AL$5),0)</f>
      </c>
      <c r="V17" s="425">
        <f>IFERROR(U17/N17*R17,0)</f>
      </c>
      <c r="W17" s="244">
        <f t="shared" ca="1" si="0"/>
      </c>
      <c r="X17" s="202">
        <f t="shared" ca="1" si="0"/>
      </c>
      <c r="AL17" s="460"/>
      <c r="AM17" s="460"/>
      <c r="AN17" s="460"/>
      <c r="AO17" s="460"/>
      <c r="AP17" s="460"/>
      <c r="AQ17" s="460"/>
    </row>
    <row r="18" spans="2:43" s="105" customFormat="1" ht="27" customHeight="1">
      <c r="B18" s="123">
        <f>#REF!</f>
      </c>
      <c r="C18" s="373"/>
      <c r="D18" s="374">
        <f>IF(#REF!&lt;&gt;"",#REF!,IF(#REF!&lt;&gt;"",#REF!,""))</f>
      </c>
      <c r="E18" s="375"/>
      <c r="F18" s="376"/>
      <c r="G18" s="376"/>
      <c r="H18" s="377"/>
      <c r="I18" s="378"/>
      <c r="J18" s="379"/>
      <c r="K18" s="380"/>
      <c r="L18" s="381"/>
      <c r="M18" s="382"/>
      <c r="N18" s="167"/>
      <c r="O18" s="167"/>
      <c r="P18" s="260"/>
      <c r="Q18" s="168"/>
      <c r="R18" s="425"/>
      <c r="S18" s="135"/>
      <c r="T18" s="425"/>
      <c r="U18" s="213"/>
      <c r="V18" s="425"/>
      <c r="W18" s="244"/>
      <c r="X18" s="202"/>
      <c r="AL18" s="460"/>
      <c r="AM18" s="460"/>
      <c r="AN18" s="460"/>
      <c r="AO18" s="460"/>
      <c r="AP18" s="460"/>
      <c r="AQ18" s="460"/>
    </row>
    <row r="19" spans="2:43" s="105" customFormat="1" ht="27" customHeight="1">
      <c r="B19" s="370">
        <f>#REF!</f>
      </c>
      <c r="C19" s="232"/>
      <c r="D19" s="164">
        <f>IF(#REF!&lt;&gt;"",#REF!,IF(#REF!&lt;&gt;"",#REF!,""))</f>
      </c>
      <c r="E19" s="235"/>
      <c r="F19" s="236"/>
      <c r="G19" s="236"/>
      <c r="H19" s="237"/>
      <c r="I19" s="238"/>
      <c r="J19" s="239"/>
      <c r="K19" s="240"/>
      <c r="L19" s="241"/>
      <c r="M19" s="242"/>
      <c r="N19" s="167">
        <f>#REF!</f>
      </c>
      <c r="O19" s="167">
        <f>#REF!</f>
      </c>
      <c r="P19" s="260">
        <f>#REF!</f>
      </c>
      <c r="Q19" s="168">
        <f t="shared" ref="Q19:Q24" si="1">P19*N19</f>
      </c>
      <c r="R19" s="425">
        <f t="shared" ref="R19:R24" si="2">IFERROR(Q19/$Q$166,0)</f>
      </c>
      <c r="S19" s="371">
        <f ca="1">IF($AL$5&lt;=1,0,SUM(OFFSET('rincian '!$AL19,0,0,1,$AL$5-1)))</f>
      </c>
      <c r="T19" s="425">
        <f t="shared" ref="T19:T24" ca="1" si="3">IFERROR(S19/N19*R19,0)</f>
      </c>
      <c r="U19" s="372" cm="1">
        <f t="array" ref="U19">IFERROR(INDEX('rincian '!$AL19:$AQ19,$AL$5),0)</f>
      </c>
      <c r="V19" s="425">
        <f>IFERROR(U19/N19*R19,0)</f>
      </c>
      <c r="W19" s="244">
        <f t="shared" ref="W19:X24" ca="1" si="4">S19+U19</f>
      </c>
      <c r="X19" s="202">
        <f t="shared" ca="1" si="4"/>
      </c>
      <c r="AL19" s="460"/>
      <c r="AM19" s="460"/>
      <c r="AN19" s="460"/>
      <c r="AO19" s="460"/>
      <c r="AP19" s="460"/>
      <c r="AQ19" s="460"/>
    </row>
    <row r="20" spans="2:43" s="105" customFormat="1" ht="27" customHeight="1">
      <c r="B20" s="370">
        <f>#REF!</f>
      </c>
      <c r="C20" s="232"/>
      <c r="D20" s="164">
        <f>IF(#REF!&lt;&gt;"",#REF!,IF(#REF!&lt;&gt;"",#REF!,""))</f>
      </c>
      <c r="E20" s="235"/>
      <c r="F20" s="236"/>
      <c r="G20" s="236"/>
      <c r="H20" s="237"/>
      <c r="I20" s="238"/>
      <c r="J20" s="239"/>
      <c r="K20" s="240"/>
      <c r="L20" s="241"/>
      <c r="M20" s="242"/>
      <c r="N20" s="167">
        <f>#REF!</f>
      </c>
      <c r="O20" s="167">
        <f>#REF!</f>
      </c>
      <c r="P20" s="260">
        <f>#REF!</f>
      </c>
      <c r="Q20" s="168">
        <f t="shared" si="1"/>
      </c>
      <c r="R20" s="425">
        <f t="shared" si="2"/>
      </c>
      <c r="S20" s="371">
        <f ca="1">IF($AL$5&lt;=1,0,SUM(OFFSET('rincian '!$AL20,0,0,1,$AL$5-1)))</f>
      </c>
      <c r="T20" s="425">
        <f t="shared" ca="1" si="3"/>
      </c>
      <c r="U20" s="372" cm="1">
        <f t="array" ref="U20">IFERROR(INDEX('rincian '!$AL20:$AQ20,$AL$5),0)</f>
      </c>
      <c r="V20" s="425">
        <f t="shared" ref="V20:V24" si="5">IFERROR(U20/N20*R20,0)</f>
      </c>
      <c r="W20" s="244">
        <f t="shared" ca="1" si="4"/>
      </c>
      <c r="X20" s="202">
        <f t="shared" ca="1" si="4"/>
      </c>
      <c r="AL20" s="460"/>
      <c r="AM20" s="460"/>
      <c r="AN20" s="460"/>
      <c r="AO20" s="460"/>
      <c r="AP20" s="460"/>
      <c r="AQ20" s="460"/>
    </row>
    <row r="21" spans="2:43" s="105" customFormat="1" ht="27" customHeight="1">
      <c r="B21" s="370">
        <f>#REF!</f>
      </c>
      <c r="C21" s="232"/>
      <c r="D21" s="164">
        <f>IF(#REF!&lt;&gt;"",#REF!,IF(#REF!&lt;&gt;"",#REF!,""))</f>
      </c>
      <c r="E21" s="235"/>
      <c r="F21" s="236"/>
      <c r="G21" s="236"/>
      <c r="H21" s="237"/>
      <c r="I21" s="238"/>
      <c r="J21" s="239"/>
      <c r="K21" s="240"/>
      <c r="L21" s="241"/>
      <c r="M21" s="242"/>
      <c r="N21" s="167">
        <f>#REF!</f>
      </c>
      <c r="O21" s="167">
        <f>#REF!</f>
      </c>
      <c r="P21" s="260">
        <f>#REF!</f>
      </c>
      <c r="Q21" s="168">
        <f t="shared" si="1"/>
      </c>
      <c r="R21" s="425">
        <f t="shared" si="2"/>
      </c>
      <c r="S21" s="371">
        <f ca="1">IF($AL$5&lt;=1,0,SUM(OFFSET('rincian '!$AL21,0,0,1,$AL$5-1)))</f>
      </c>
      <c r="T21" s="425">
        <f t="shared" ca="1" si="3"/>
      </c>
      <c r="U21" s="372" cm="1">
        <f t="array" ref="U21">IFERROR(INDEX('rincian '!$AL21:$AQ21,$AL$5),0)</f>
      </c>
      <c r="V21" s="425">
        <f t="shared" si="5"/>
      </c>
      <c r="W21" s="244">
        <f t="shared" ca="1" si="4"/>
      </c>
      <c r="X21" s="202">
        <f t="shared" ca="1" si="4"/>
      </c>
      <c r="AL21" s="460"/>
      <c r="AM21" s="460"/>
      <c r="AN21" s="460"/>
      <c r="AO21" s="460"/>
      <c r="AP21" s="460"/>
      <c r="AQ21" s="460"/>
    </row>
    <row r="22" spans="2:43" s="105" customFormat="1" ht="27" customHeight="1">
      <c r="B22" s="370">
        <f>#REF!</f>
      </c>
      <c r="C22" s="232"/>
      <c r="D22" s="164">
        <f>IF(#REF!&lt;&gt;"",#REF!,IF(#REF!&lt;&gt;"",#REF!,""))</f>
      </c>
      <c r="E22" s="235"/>
      <c r="F22" s="236"/>
      <c r="G22" s="236"/>
      <c r="H22" s="237"/>
      <c r="I22" s="238"/>
      <c r="J22" s="239"/>
      <c r="K22" s="240"/>
      <c r="L22" s="241"/>
      <c r="M22" s="242"/>
      <c r="N22" s="167">
        <f>#REF!</f>
      </c>
      <c r="O22" s="167">
        <f>#REF!</f>
      </c>
      <c r="P22" s="260">
        <f>#REF!</f>
      </c>
      <c r="Q22" s="168">
        <f t="shared" si="1"/>
      </c>
      <c r="R22" s="425">
        <f t="shared" si="2"/>
      </c>
      <c r="S22" s="371">
        <f ca="1">IF($AL$5&lt;=1,0,SUM(OFFSET('rincian '!$AL22,0,0,1,$AL$5-1)))</f>
      </c>
      <c r="T22" s="425">
        <f t="shared" ca="1" si="3"/>
      </c>
      <c r="U22" s="372" cm="1">
        <f t="array" ref="U22">IFERROR(INDEX('rincian '!$AL22:$AQ22,$AL$5),0)</f>
      </c>
      <c r="V22" s="425">
        <f t="shared" si="5"/>
      </c>
      <c r="W22" s="244">
        <f t="shared" ca="1" si="4"/>
      </c>
      <c r="X22" s="202">
        <f t="shared" ca="1" si="4"/>
      </c>
      <c r="AL22" s="460"/>
      <c r="AM22" s="460"/>
      <c r="AN22" s="460"/>
      <c r="AO22" s="460"/>
      <c r="AP22" s="460"/>
      <c r="AQ22" s="460"/>
    </row>
    <row r="23" spans="2:43" s="105" customFormat="1" ht="27" customHeight="1">
      <c r="B23" s="370">
        <f>#REF!</f>
      </c>
      <c r="C23" s="232"/>
      <c r="D23" s="164">
        <f>IF(#REF!&lt;&gt;"",#REF!,IF(#REF!&lt;&gt;"",#REF!,""))</f>
      </c>
      <c r="E23" s="235"/>
      <c r="F23" s="236"/>
      <c r="G23" s="236"/>
      <c r="H23" s="237"/>
      <c r="I23" s="238"/>
      <c r="J23" s="239"/>
      <c r="K23" s="240"/>
      <c r="L23" s="241"/>
      <c r="M23" s="242"/>
      <c r="N23" s="167">
        <f>#REF!</f>
      </c>
      <c r="O23" s="167">
        <f>#REF!</f>
      </c>
      <c r="P23" s="260">
        <f>#REF!</f>
      </c>
      <c r="Q23" s="168">
        <f t="shared" si="1"/>
      </c>
      <c r="R23" s="425">
        <f t="shared" si="2"/>
      </c>
      <c r="S23" s="371">
        <f ca="1">IF($AL$5&lt;=1,0,SUM(OFFSET('rincian '!#REF!,0,0,1,$AL$5-1)))</f>
      </c>
      <c r="T23" s="425">
        <f t="shared" ca="1" si="3"/>
      </c>
      <c r="U23" s="372" cm="1">
        <f t="array" ref="U23">IFERROR(INDEX('rincian '!#REF!,$AL$5),0)</f>
      </c>
      <c r="V23" s="425">
        <f t="shared" si="5"/>
      </c>
      <c r="W23" s="244">
        <f t="shared" ca="1" si="4"/>
      </c>
      <c r="X23" s="202">
        <f t="shared" ca="1" si="4"/>
      </c>
      <c r="AL23" s="460"/>
      <c r="AM23" s="460"/>
      <c r="AN23" s="460"/>
      <c r="AO23" s="460"/>
      <c r="AP23" s="460"/>
      <c r="AQ23" s="460"/>
    </row>
    <row r="24" spans="2:43" s="105" customFormat="1" ht="27" customHeight="1">
      <c r="B24" s="401">
        <f>#REF!</f>
      </c>
      <c r="C24" s="373"/>
      <c r="D24" s="374">
        <f>IF(#REF!&lt;&gt;"",#REF!,IF(#REF!&lt;&gt;"",#REF!,""))</f>
      </c>
      <c r="E24" s="375"/>
      <c r="F24" s="376"/>
      <c r="G24" s="376"/>
      <c r="H24" s="377"/>
      <c r="I24" s="378"/>
      <c r="J24" s="379"/>
      <c r="K24" s="380"/>
      <c r="L24" s="381"/>
      <c r="M24" s="382"/>
      <c r="N24" s="167">
        <f>#REF!</f>
      </c>
      <c r="O24" s="167">
        <f>#REF!</f>
      </c>
      <c r="P24" s="260">
        <f>#REF!</f>
      </c>
      <c r="Q24" s="168">
        <f t="shared" si="1"/>
      </c>
      <c r="R24" s="425">
        <f t="shared" si="2"/>
      </c>
      <c r="S24" s="371">
        <f ca="1">IF($AL$5&lt;=1,0,SUM(OFFSET('rincian '!$AL24,0,0,1,$AL$5-1)))</f>
      </c>
      <c r="T24" s="425">
        <f t="shared" ca="1" si="3"/>
      </c>
      <c r="U24" s="372" cm="1">
        <f t="array" ref="U24">IFERROR(INDEX('rincian '!$AL24:$AQ24,$AL$5),0)</f>
      </c>
      <c r="V24" s="425">
        <f t="shared" si="5"/>
      </c>
      <c r="W24" s="244">
        <f t="shared" ca="1" si="4"/>
      </c>
      <c r="X24" s="202">
        <f t="shared" ca="1" si="4"/>
      </c>
      <c r="AL24" s="460"/>
      <c r="AM24" s="460"/>
      <c r="AN24" s="460"/>
      <c r="AO24" s="460"/>
      <c r="AP24" s="460"/>
      <c r="AQ24" s="460"/>
    </row>
    <row r="25" spans="2:43" s="105" customFormat="1" ht="27" customHeight="1">
      <c r="B25" s="401">
        <f>#REF!</f>
      </c>
      <c r="C25" s="373"/>
      <c r="D25" s="374">
        <f>IF(#REF!&lt;&gt;"",#REF!,IF(#REF!&lt;&gt;"",#REF!,""))</f>
      </c>
      <c r="E25" s="375"/>
      <c r="F25" s="376"/>
      <c r="G25" s="376"/>
      <c r="H25" s="377"/>
      <c r="I25" s="378"/>
      <c r="J25" s="379"/>
      <c r="K25" s="380"/>
      <c r="L25" s="381"/>
      <c r="M25" s="382"/>
      <c r="N25" s="167"/>
      <c r="O25" s="167"/>
      <c r="P25" s="260"/>
      <c r="Q25" s="168"/>
      <c r="R25" s="425"/>
      <c r="S25" s="371"/>
      <c r="T25" s="425"/>
      <c r="U25" s="372"/>
      <c r="V25" s="425"/>
      <c r="W25" s="244"/>
      <c r="X25" s="202"/>
      <c r="AL25" s="460"/>
      <c r="AM25" s="460"/>
      <c r="AN25" s="460"/>
      <c r="AO25" s="460"/>
      <c r="AP25" s="460"/>
      <c r="AQ25" s="460"/>
    </row>
    <row r="26" spans="2:43" s="105" customFormat="1" ht="27" customHeight="1">
      <c r="B26" s="370">
        <f>#REF!</f>
      </c>
      <c r="C26" s="232"/>
      <c r="D26" s="164">
        <f>IF(#REF!&lt;&gt;"",#REF!,IF(#REF!&lt;&gt;"",#REF!,""))</f>
      </c>
      <c r="E26" s="235"/>
      <c r="F26" s="236"/>
      <c r="G26" s="236"/>
      <c r="H26" s="237"/>
      <c r="I26" s="238"/>
      <c r="J26" s="239"/>
      <c r="K26" s="240"/>
      <c r="L26" s="241"/>
      <c r="M26" s="242"/>
      <c r="N26" s="167">
        <f>#REF!</f>
      </c>
      <c r="O26" s="167">
        <f>#REF!</f>
      </c>
      <c r="P26" s="260">
        <f>#REF!</f>
      </c>
      <c r="Q26" s="168">
        <f>P26*N26</f>
      </c>
      <c r="R26" s="425">
        <f>IFERROR(Q26/$Q$166,0)</f>
      </c>
      <c r="S26" s="371">
        <f ca="1">IF($AL$5&lt;=1,0,SUM(OFFSET('rincian '!$AL36,0,0,1,$AL$5-1)))</f>
      </c>
      <c r="T26" s="425">
        <f ca="1">IFERROR(S26/N26*R26,0)</f>
      </c>
      <c r="U26" s="372" cm="1">
        <f t="array" ref="U26">IFERROR(INDEX('rincian '!$AL36:$AQ36,$AL$5),0)</f>
      </c>
      <c r="V26" s="425">
        <f>IFERROR(U26/N26*R26,0)</f>
      </c>
      <c r="W26" s="244">
        <f t="shared" ref="W26:X29" ca="1" si="6">S26+U26</f>
      </c>
      <c r="X26" s="202">
        <f t="shared" ca="1" si="6"/>
      </c>
      <c r="AB26" s="424">
        <f>Q26/Q166</f>
      </c>
      <c r="AL26" s="460"/>
      <c r="AM26" s="460"/>
      <c r="AN26" s="460"/>
      <c r="AO26" s="460"/>
      <c r="AP26" s="460"/>
      <c r="AQ26" s="460"/>
    </row>
    <row r="27" spans="2:43" s="105" customFormat="1" ht="27" customHeight="1">
      <c r="B27" s="370">
        <f>#REF!</f>
      </c>
      <c r="C27" s="232"/>
      <c r="D27" s="164">
        <f>IF(#REF!&lt;&gt;"",#REF!,IF(#REF!&lt;&gt;"",#REF!,""))</f>
      </c>
      <c r="E27" s="235"/>
      <c r="F27" s="236"/>
      <c r="G27" s="236"/>
      <c r="H27" s="237"/>
      <c r="I27" s="238"/>
      <c r="J27" s="239"/>
      <c r="K27" s="240"/>
      <c r="L27" s="241"/>
      <c r="M27" s="242"/>
      <c r="N27" s="167">
        <f>#REF!</f>
      </c>
      <c r="O27" s="167">
        <f>#REF!</f>
      </c>
      <c r="P27" s="260">
        <f>#REF!</f>
      </c>
      <c r="Q27" s="168">
        <f>P27*N27</f>
      </c>
      <c r="R27" s="425">
        <f>IFERROR(Q27/$Q$166,0)</f>
      </c>
      <c r="S27" s="371">
        <f ca="1">IF($AL$5&lt;=1,0,SUM(OFFSET('rincian '!#REF!,0,0,1,$AL$5-1)))</f>
      </c>
      <c r="T27" s="425">
        <f ca="1">IFERROR(S27/N27*R27,0)</f>
      </c>
      <c r="U27" s="372" cm="1">
        <f t="array" ref="U27">IFERROR(INDEX('rincian '!#REF!,$AL$5),0)</f>
      </c>
      <c r="V27" s="425">
        <f t="shared" ref="V27:V29" si="7">IFERROR(U27/N27*R27,0)</f>
      </c>
      <c r="W27" s="244">
        <f t="shared" ca="1" si="6"/>
      </c>
      <c r="X27" s="202">
        <f t="shared" ca="1" si="6"/>
      </c>
      <c r="AL27" s="460"/>
      <c r="AM27" s="460"/>
      <c r="AN27" s="460"/>
      <c r="AO27" s="460"/>
      <c r="AP27" s="460"/>
      <c r="AQ27" s="460"/>
    </row>
    <row r="28" spans="2:43" s="105" customFormat="1" ht="27" customHeight="1">
      <c r="B28" s="370">
        <f>#REF!</f>
      </c>
      <c r="C28" s="232"/>
      <c r="D28" s="164">
        <f>IF(#REF!&lt;&gt;"",#REF!,IF(#REF!&lt;&gt;"",#REF!,""))</f>
      </c>
      <c r="E28" s="235"/>
      <c r="F28" s="236"/>
      <c r="G28" s="236"/>
      <c r="H28" s="237"/>
      <c r="I28" s="238"/>
      <c r="J28" s="239"/>
      <c r="K28" s="240"/>
      <c r="L28" s="241"/>
      <c r="M28" s="242"/>
      <c r="N28" s="167">
        <f>#REF!</f>
      </c>
      <c r="O28" s="167">
        <f>#REF!</f>
      </c>
      <c r="P28" s="260">
        <f>#REF!</f>
      </c>
      <c r="Q28" s="168">
        <f>P28*N28</f>
      </c>
      <c r="R28" s="425">
        <f>IFERROR(Q28/$Q$166,0)</f>
      </c>
      <c r="S28" s="371">
        <f ca="1">IF($AL$5&lt;=1,0,SUM(OFFSET('rincian '!#REF!,0,0,1,$AL$5-1)))</f>
      </c>
      <c r="T28" s="425">
        <f ca="1">IFERROR(S28/N28*R28,0)</f>
      </c>
      <c r="U28" s="372" cm="1">
        <f t="array" ref="U28">IFERROR(INDEX('rincian '!#REF!,$AL$5),0)</f>
      </c>
      <c r="V28" s="425">
        <f t="shared" si="7"/>
      </c>
      <c r="W28" s="244">
        <f t="shared" ca="1" si="6"/>
      </c>
      <c r="X28" s="202">
        <f t="shared" ca="1" si="6"/>
      </c>
      <c r="AL28" s="460"/>
      <c r="AM28" s="460"/>
      <c r="AN28" s="460"/>
      <c r="AO28" s="460"/>
      <c r="AP28" s="460"/>
      <c r="AQ28" s="460"/>
    </row>
    <row r="29" spans="2:43" s="105" customFormat="1" ht="27" customHeight="1">
      <c r="B29" s="370">
        <f>#REF!</f>
      </c>
      <c r="C29" s="232"/>
      <c r="D29" s="164">
        <f>IF(#REF!&lt;&gt;"",#REF!,IF(#REF!&lt;&gt;"",#REF!,""))</f>
      </c>
      <c r="E29" s="235"/>
      <c r="F29" s="236"/>
      <c r="G29" s="236"/>
      <c r="H29" s="237"/>
      <c r="I29" s="238"/>
      <c r="J29" s="239"/>
      <c r="K29" s="240"/>
      <c r="L29" s="241"/>
      <c r="M29" s="242"/>
      <c r="N29" s="167">
        <f>#REF!</f>
      </c>
      <c r="O29" s="167">
        <f>#REF!</f>
      </c>
      <c r="P29" s="260">
        <f>#REF!</f>
      </c>
      <c r="Q29" s="168">
        <f>P29*N29</f>
      </c>
      <c r="R29" s="425">
        <f>IFERROR(Q29/$Q$166,0)</f>
      </c>
      <c r="S29" s="371">
        <f ca="1">IF($AL$5&lt;=1,0,SUM(OFFSET('rincian '!#REF!,0,0,1,$AL$5-1)))</f>
      </c>
      <c r="T29" s="425">
        <f ca="1">IFERROR(S29/N29*R29,0)</f>
      </c>
      <c r="U29" s="372" cm="1">
        <f t="array" ref="U29">IFERROR(INDEX('rincian '!#REF!,$AL$5),0)</f>
      </c>
      <c r="V29" s="425">
        <f t="shared" si="7"/>
      </c>
      <c r="W29" s="244">
        <f t="shared" ca="1" si="6"/>
      </c>
      <c r="X29" s="202">
        <f t="shared" ca="1" si="6"/>
      </c>
      <c r="AL29" s="460"/>
      <c r="AM29" s="460"/>
      <c r="AN29" s="460"/>
      <c r="AO29" s="460"/>
      <c r="AP29" s="460"/>
      <c r="AQ29" s="460"/>
    </row>
    <row r="30" spans="2:43" s="105" customFormat="1" ht="27" customHeight="1">
      <c r="B30" s="401">
        <f>#REF!</f>
      </c>
      <c r="C30" s="373"/>
      <c r="D30" s="374">
        <f>IF(#REF!&lt;&gt;"",#REF!,IF(#REF!&lt;&gt;"",#REF!,""))</f>
      </c>
      <c r="E30" s="375"/>
      <c r="F30" s="376"/>
      <c r="G30" s="376"/>
      <c r="H30" s="377"/>
      <c r="I30" s="378"/>
      <c r="J30" s="379"/>
      <c r="K30" s="380"/>
      <c r="L30" s="381"/>
      <c r="M30" s="382"/>
      <c r="N30" s="167"/>
      <c r="O30" s="167"/>
      <c r="P30" s="260"/>
      <c r="Q30" s="168"/>
      <c r="R30" s="425"/>
      <c r="S30" s="371"/>
      <c r="T30" s="425"/>
      <c r="U30" s="372"/>
      <c r="V30" s="425"/>
      <c r="W30" s="244"/>
      <c r="X30" s="202"/>
      <c r="AL30" s="460"/>
      <c r="AM30" s="460"/>
      <c r="AN30" s="460"/>
      <c r="AO30" s="460"/>
      <c r="AP30" s="460"/>
      <c r="AQ30" s="460"/>
    </row>
    <row r="31" spans="2:43" s="105" customFormat="1" ht="27" customHeight="1">
      <c r="B31" s="370">
        <f>#REF!</f>
      </c>
      <c r="C31" s="232"/>
      <c r="D31" s="164">
        <f>IF(#REF!&lt;&gt;"",#REF!,IF(#REF!&lt;&gt;"",#REF!,""))</f>
      </c>
      <c r="E31" s="235"/>
      <c r="F31" s="236"/>
      <c r="G31" s="236"/>
      <c r="H31" s="237"/>
      <c r="I31" s="238"/>
      <c r="J31" s="239"/>
      <c r="K31" s="240"/>
      <c r="L31" s="241"/>
      <c r="M31" s="242"/>
      <c r="N31" s="167">
        <f>#REF!</f>
      </c>
      <c r="O31" s="167">
        <f>#REF!</f>
      </c>
      <c r="P31" s="260">
        <f>#REF!</f>
      </c>
      <c r="Q31" s="168">
        <f>P31*N31</f>
      </c>
      <c r="R31" s="425">
        <f>IFERROR(Q31/$Q$166,0)</f>
      </c>
      <c r="S31" s="371">
        <f ca="1">IF($AL$5&lt;=1,0,SUM(OFFSET('rincian '!#REF!,0,0,1,$AL$5-1)))</f>
      </c>
      <c r="T31" s="425">
        <f ca="1">IFERROR(S31/N31*R31,0)</f>
      </c>
      <c r="U31" s="372" cm="1">
        <f t="array" ref="U31">IFERROR(INDEX('rincian '!#REF!,$AL$5),0)</f>
      </c>
      <c r="V31" s="425">
        <f>IFERROR(U31/N31*R31,0)</f>
      </c>
      <c r="W31" s="244">
        <f t="shared" ref="W31:X35" ca="1" si="8">S31+U31</f>
      </c>
      <c r="X31" s="202">
        <f t="shared" ca="1" si="8"/>
      </c>
      <c r="AL31" s="460"/>
      <c r="AM31" s="460"/>
      <c r="AN31" s="460"/>
      <c r="AO31" s="460"/>
      <c r="AP31" s="460"/>
      <c r="AQ31" s="460"/>
    </row>
    <row r="32" spans="2:43" s="105" customFormat="1" ht="27" customHeight="1">
      <c r="B32" s="370">
        <f>#REF!</f>
      </c>
      <c r="C32" s="232"/>
      <c r="D32" s="164">
        <f>IF(#REF!&lt;&gt;"",#REF!,IF(#REF!&lt;&gt;"",#REF!,""))</f>
      </c>
      <c r="E32" s="235"/>
      <c r="F32" s="236"/>
      <c r="G32" s="236"/>
      <c r="H32" s="237"/>
      <c r="I32" s="238"/>
      <c r="J32" s="239"/>
      <c r="K32" s="240"/>
      <c r="L32" s="241"/>
      <c r="M32" s="242"/>
      <c r="N32" s="167">
        <f>#REF!</f>
      </c>
      <c r="O32" s="167">
        <f>#REF!</f>
      </c>
      <c r="P32" s="260">
        <f>#REF!</f>
      </c>
      <c r="Q32" s="168">
        <f>P32*N32</f>
      </c>
      <c r="R32" s="425">
        <f>IFERROR(Q32/$Q$166,0)</f>
      </c>
      <c r="S32" s="371">
        <f ca="1">IF($AL$5&lt;=1,0,SUM(OFFSET('rincian '!#REF!,0,0,1,$AL$5-1)))</f>
      </c>
      <c r="T32" s="425">
        <f ca="1">IFERROR(S32/N32*R32,0)</f>
      </c>
      <c r="U32" s="372" cm="1">
        <f t="array" ref="U32">IFERROR(INDEX('rincian '!#REF!,$AL$5),0)</f>
      </c>
      <c r="V32" s="425">
        <f>IFERROR(U32/N32*R32,0)</f>
      </c>
      <c r="W32" s="244">
        <f t="shared" ca="1" si="8"/>
      </c>
      <c r="X32" s="202">
        <f t="shared" ca="1" si="8"/>
      </c>
      <c r="AL32" s="460"/>
      <c r="AM32" s="460"/>
      <c r="AN32" s="460"/>
      <c r="AO32" s="460"/>
      <c r="AP32" s="460"/>
      <c r="AQ32" s="460"/>
    </row>
    <row r="33" spans="2:43" s="105" customFormat="1" ht="27" customHeight="1">
      <c r="B33" s="370">
        <f>#REF!</f>
      </c>
      <c r="C33" s="232"/>
      <c r="D33" s="164">
        <f>IF(#REF!&lt;&gt;"",#REF!,IF(#REF!&lt;&gt;"",#REF!,""))</f>
      </c>
      <c r="E33" s="235"/>
      <c r="F33" s="236"/>
      <c r="G33" s="236"/>
      <c r="H33" s="237"/>
      <c r="I33" s="238"/>
      <c r="J33" s="239"/>
      <c r="K33" s="240"/>
      <c r="L33" s="241"/>
      <c r="M33" s="242"/>
      <c r="N33" s="167">
        <f>#REF!</f>
      </c>
      <c r="O33" s="167">
        <f>#REF!</f>
      </c>
      <c r="P33" s="260">
        <f>#REF!</f>
      </c>
      <c r="Q33" s="168">
        <f>P33*N33</f>
      </c>
      <c r="R33" s="425">
        <f>IFERROR(Q33/$Q$166,0)</f>
      </c>
      <c r="S33" s="371">
        <f ca="1">IF($AL$5&lt;=1,0,SUM(OFFSET('rincian '!#REF!,0,0,1,$AL$5-1)))</f>
      </c>
      <c r="T33" s="425">
        <f ca="1">IFERROR(S33/N33*R33,0)</f>
      </c>
      <c r="U33" s="372" cm="1">
        <f t="array" ref="U33">IFERROR(INDEX('rincian '!#REF!,$AL$5),0)</f>
      </c>
      <c r="V33" s="425">
        <f>IFERROR(U33/N33*R33,0)</f>
      </c>
      <c r="W33" s="244">
        <f t="shared" ca="1" si="8"/>
      </c>
      <c r="X33" s="202">
        <f t="shared" ca="1" si="8"/>
      </c>
      <c r="AL33" s="460"/>
      <c r="AM33" s="460"/>
      <c r="AN33" s="460"/>
      <c r="AO33" s="460"/>
      <c r="AP33" s="460"/>
      <c r="AQ33" s="460"/>
    </row>
    <row r="34" spans="2:43" s="105" customFormat="1" ht="27" customHeight="1">
      <c r="B34" s="370">
        <f>#REF!</f>
      </c>
      <c r="C34" s="232"/>
      <c r="D34" s="164">
        <f>IF(#REF!&lt;&gt;"",#REF!,IF(#REF!&lt;&gt;"",#REF!,""))</f>
      </c>
      <c r="E34" s="235"/>
      <c r="F34" s="236"/>
      <c r="G34" s="236"/>
      <c r="H34" s="237"/>
      <c r="I34" s="238"/>
      <c r="J34" s="239"/>
      <c r="K34" s="240"/>
      <c r="L34" s="241"/>
      <c r="M34" s="242"/>
      <c r="N34" s="167">
        <f>#REF!</f>
      </c>
      <c r="O34" s="167">
        <f>#REF!</f>
      </c>
      <c r="P34" s="260">
        <f>#REF!</f>
      </c>
      <c r="Q34" s="168">
        <f>P34*N34</f>
      </c>
      <c r="R34" s="425">
        <f>IFERROR(Q34/$Q$166,0)</f>
      </c>
      <c r="S34" s="371">
        <f ca="1">IF($AL$5&lt;=1,0,SUM(OFFSET('rincian '!#REF!,0,0,1,$AL$5-1)))</f>
      </c>
      <c r="T34" s="425">
        <f ca="1">IFERROR(S34/N34*R34,0)</f>
      </c>
      <c r="U34" s="372" cm="1">
        <f t="array" ref="U34">IFERROR(INDEX('rincian '!#REF!,$AL$5),0)</f>
      </c>
      <c r="V34" s="425">
        <f>IFERROR(U34/N34*R34,0)</f>
      </c>
      <c r="W34" s="244">
        <f t="shared" ca="1" si="8"/>
      </c>
      <c r="X34" s="202">
        <f t="shared" ca="1" si="8"/>
      </c>
      <c r="AL34" s="460"/>
      <c r="AM34" s="460"/>
      <c r="AN34" s="460"/>
      <c r="AO34" s="460"/>
      <c r="AP34" s="460"/>
      <c r="AQ34" s="460"/>
    </row>
    <row r="35" spans="2:43" s="105" customFormat="1" ht="27" customHeight="1">
      <c r="B35" s="370">
        <f>#REF!</f>
      </c>
      <c r="C35" s="232"/>
      <c r="D35" s="164">
        <f>IF(#REF!&lt;&gt;"",#REF!,IF(#REF!&lt;&gt;"",#REF!,""))</f>
      </c>
      <c r="E35" s="235"/>
      <c r="F35" s="236"/>
      <c r="G35" s="236"/>
      <c r="H35" s="237"/>
      <c r="I35" s="238"/>
      <c r="J35" s="239"/>
      <c r="K35" s="240"/>
      <c r="L35" s="241"/>
      <c r="M35" s="242"/>
      <c r="N35" s="167">
        <f>#REF!</f>
      </c>
      <c r="O35" s="167">
        <f>#REF!</f>
      </c>
      <c r="P35" s="260">
        <f>#REF!</f>
      </c>
      <c r="Q35" s="168">
        <f>P35*N35</f>
      </c>
      <c r="R35" s="425">
        <f>IFERROR(Q35/$Q$166,0)</f>
      </c>
      <c r="S35" s="371">
        <f ca="1">IF($AL$5&lt;=1,0,SUM(OFFSET('rincian '!#REF!,0,0,1,$AL$5-1)))</f>
      </c>
      <c r="T35" s="425">
        <f ca="1">IFERROR(S35/N35*R35,0)</f>
      </c>
      <c r="U35" s="372" cm="1">
        <f t="array" ref="U35">IFERROR(INDEX('rincian '!#REF!,$AL$5),0)</f>
      </c>
      <c r="V35" s="425">
        <f>IFERROR(U35/N35*R35,0)</f>
      </c>
      <c r="W35" s="244">
        <f t="shared" ca="1" si="8"/>
      </c>
      <c r="X35" s="202">
        <f t="shared" ca="1" si="8"/>
      </c>
      <c r="AL35" s="460"/>
      <c r="AM35" s="460"/>
      <c r="AN35" s="460"/>
      <c r="AO35" s="460"/>
      <c r="AP35" s="460"/>
      <c r="AQ35" s="460"/>
    </row>
    <row r="36" spans="2:43" s="105" customFormat="1" ht="27" customHeight="1">
      <c r="B36" s="370">
        <f>#REF!</f>
      </c>
      <c r="C36" s="232"/>
      <c r="D36" s="164">
        <f>IF(#REF!&lt;&gt;"",#REF!,IF(#REF!&lt;&gt;"",#REF!,""))</f>
      </c>
      <c r="E36" s="235"/>
      <c r="F36" s="236"/>
      <c r="G36" s="236"/>
      <c r="H36" s="237"/>
      <c r="I36" s="238"/>
      <c r="J36" s="239"/>
      <c r="K36" s="240"/>
      <c r="L36" s="241"/>
      <c r="M36" s="242"/>
      <c r="N36" s="167"/>
      <c r="O36" s="167"/>
      <c r="P36" s="260"/>
      <c r="Q36" s="168"/>
      <c r="R36" s="425"/>
      <c r="S36" s="371"/>
      <c r="T36" s="425"/>
      <c r="U36" s="372"/>
      <c r="V36" s="425"/>
      <c r="W36" s="244"/>
      <c r="X36" s="202"/>
      <c r="AL36" s="460"/>
      <c r="AM36" s="460"/>
      <c r="AN36" s="460"/>
      <c r="AO36" s="460"/>
      <c r="AP36" s="460"/>
      <c r="AQ36" s="460"/>
    </row>
    <row r="37" spans="2:43" s="105" customFormat="1" ht="27" customHeight="1">
      <c r="B37" s="370">
        <f>#REF!</f>
      </c>
      <c r="C37" s="232"/>
      <c r="D37" s="164">
        <f>IF(#REF!&lt;&gt;"",#REF!,IF(#REF!&lt;&gt;"",#REF!,""))</f>
      </c>
      <c r="E37" s="235"/>
      <c r="F37" s="236"/>
      <c r="G37" s="236"/>
      <c r="H37" s="237"/>
      <c r="I37" s="238"/>
      <c r="J37" s="239"/>
      <c r="K37" s="240"/>
      <c r="L37" s="241"/>
      <c r="M37" s="242"/>
      <c r="N37" s="167">
        <f>#REF!</f>
      </c>
      <c r="O37" s="167">
        <f>#REF!</f>
      </c>
      <c r="P37" s="260">
        <f>#REF!</f>
      </c>
      <c r="Q37" s="168">
        <f t="shared" ref="Q37:Q53" si="9">P37*N37</f>
      </c>
      <c r="R37" s="425">
        <f t="shared" ref="R37:R53" si="10">IFERROR(Q37/$Q$166,0)</f>
      </c>
      <c r="S37" s="371">
        <f ca="1">IF($AL$5&lt;=1,0,SUM(OFFSET('rincian '!#REF!,0,0,1,$AL$5-1)))</f>
      </c>
      <c r="T37" s="425">
        <f t="shared" ref="T37:T53" ca="1" si="11">IFERROR(S37/N37*R37,0)</f>
      </c>
      <c r="U37" s="372" cm="1">
        <f t="array" ref="U37">IFERROR(INDEX('rincian '!#REF!,$AL$5),0)</f>
      </c>
      <c r="V37" s="425">
        <f t="shared" ref="V37:V53" si="12">IFERROR(U37/N37*R37,0)</f>
      </c>
      <c r="W37" s="244">
        <f t="shared" ref="W37:X53" ca="1" si="13">S37+U37</f>
      </c>
      <c r="X37" s="202">
        <f t="shared" ca="1" si="13"/>
      </c>
      <c r="AL37" s="460"/>
      <c r="AM37" s="460"/>
      <c r="AN37" s="460"/>
      <c r="AO37" s="460"/>
      <c r="AP37" s="460"/>
      <c r="AQ37" s="460"/>
    </row>
    <row r="38" spans="2:43" s="105" customFormat="1" ht="27" customHeight="1">
      <c r="B38" s="370">
        <f>#REF!</f>
      </c>
      <c r="C38" s="232"/>
      <c r="D38" s="164">
        <f>IF(#REF!&lt;&gt;"",#REF!,IF(#REF!&lt;&gt;"",#REF!,""))</f>
      </c>
      <c r="E38" s="235"/>
      <c r="F38" s="236"/>
      <c r="G38" s="236"/>
      <c r="H38" s="237"/>
      <c r="I38" s="238"/>
      <c r="J38" s="239"/>
      <c r="K38" s="240"/>
      <c r="L38" s="241"/>
      <c r="M38" s="242"/>
      <c r="N38" s="167">
        <f>#REF!</f>
      </c>
      <c r="O38" s="167">
        <f>#REF!</f>
      </c>
      <c r="P38" s="260">
        <f>#REF!</f>
      </c>
      <c r="Q38" s="168">
        <f t="shared" si="9"/>
      </c>
      <c r="R38" s="425">
        <f t="shared" si="10"/>
      </c>
      <c r="S38" s="371">
        <f ca="1">IF($AL$5&lt;=1,0,SUM(OFFSET('rincian '!#REF!,0,0,1,$AL$5-1)))</f>
      </c>
      <c r="T38" s="425">
        <f t="shared" ca="1" si="11"/>
      </c>
      <c r="U38" s="372" cm="1">
        <f t="array" ref="U38">IFERROR(INDEX('rincian '!#REF!,$AL$5),0)</f>
      </c>
      <c r="V38" s="425">
        <f t="shared" si="12"/>
      </c>
      <c r="W38" s="244">
        <f t="shared" ca="1" si="13"/>
      </c>
      <c r="X38" s="202">
        <f t="shared" ca="1" si="13"/>
      </c>
      <c r="AL38" s="460"/>
      <c r="AM38" s="460"/>
      <c r="AN38" s="460"/>
      <c r="AO38" s="460"/>
      <c r="AP38" s="460"/>
      <c r="AQ38" s="460"/>
    </row>
    <row r="39" spans="2:43" s="105" customFormat="1" ht="27" customHeight="1">
      <c r="B39" s="370">
        <f>#REF!</f>
      </c>
      <c r="C39" s="232"/>
      <c r="D39" s="164">
        <f>IF(#REF!&lt;&gt;"",#REF!,IF(#REF!&lt;&gt;"",#REF!,""))</f>
      </c>
      <c r="E39" s="235"/>
      <c r="F39" s="236"/>
      <c r="G39" s="236"/>
      <c r="H39" s="237"/>
      <c r="I39" s="238"/>
      <c r="J39" s="239"/>
      <c r="K39" s="240"/>
      <c r="L39" s="241"/>
      <c r="M39" s="242"/>
      <c r="N39" s="167">
        <f>#REF!</f>
      </c>
      <c r="O39" s="167">
        <f>#REF!</f>
      </c>
      <c r="P39" s="260">
        <f>#REF!</f>
      </c>
      <c r="Q39" s="168">
        <f t="shared" si="9"/>
      </c>
      <c r="R39" s="425">
        <f t="shared" si="10"/>
      </c>
      <c r="S39" s="371">
        <f ca="1">IF($AL$5&lt;=1,0,SUM(OFFSET('rincian '!#REF!,0,0,1,$AL$5-1)))</f>
      </c>
      <c r="T39" s="425">
        <f t="shared" ca="1" si="11"/>
      </c>
      <c r="U39" s="372" cm="1">
        <f t="array" ref="U39">IFERROR(INDEX('rincian '!#REF!,$AL$5),0)</f>
      </c>
      <c r="V39" s="425">
        <f t="shared" si="12"/>
      </c>
      <c r="W39" s="244">
        <f t="shared" ca="1" si="13"/>
      </c>
      <c r="X39" s="202">
        <f t="shared" ca="1" si="13"/>
      </c>
      <c r="AL39" s="460"/>
      <c r="AM39" s="460"/>
      <c r="AN39" s="460"/>
      <c r="AO39" s="460"/>
      <c r="AP39" s="460"/>
      <c r="AQ39" s="460"/>
    </row>
    <row r="40" spans="2:43" s="105" customFormat="1" ht="21" customHeight="1">
      <c r="B40" s="370">
        <f>#REF!</f>
      </c>
      <c r="C40" s="232"/>
      <c r="D40" s="704">
        <f>IF(#REF!&lt;&gt;"",#REF!,IF(#REF!&lt;&gt;"",#REF!,""))</f>
      </c>
      <c r="E40" s="704"/>
      <c r="F40" s="704"/>
      <c r="G40" s="704"/>
      <c r="H40" s="704"/>
      <c r="I40" s="704"/>
      <c r="J40" s="704"/>
      <c r="K40" s="704"/>
      <c r="L40" s="704"/>
      <c r="M40" s="705"/>
      <c r="N40" s="167">
        <f>#REF!</f>
      </c>
      <c r="O40" s="167">
        <f>#REF!</f>
      </c>
      <c r="P40" s="260">
        <f>#REF!</f>
      </c>
      <c r="Q40" s="168">
        <f t="shared" si="9"/>
      </c>
      <c r="R40" s="425">
        <f t="shared" si="10"/>
      </c>
      <c r="S40" s="371">
        <f ca="1">IF($AL$5&lt;=1,0,SUM(OFFSET('rincian '!#REF!,0,0,1,$AL$5-1)))</f>
      </c>
      <c r="T40" s="425">
        <f t="shared" ca="1" si="11"/>
      </c>
      <c r="U40" s="372" cm="1">
        <f t="array" ref="U40">IFERROR(INDEX('rincian '!#REF!,$AL$5),0)</f>
      </c>
      <c r="V40" s="425">
        <f t="shared" si="12"/>
      </c>
      <c r="W40" s="244">
        <f t="shared" ca="1" si="13"/>
      </c>
      <c r="X40" s="202">
        <f t="shared" ca="1" si="13"/>
      </c>
      <c r="AL40" s="460"/>
      <c r="AM40" s="460"/>
      <c r="AN40" s="460"/>
      <c r="AO40" s="460"/>
      <c r="AP40" s="460"/>
      <c r="AQ40" s="460"/>
    </row>
    <row r="41" spans="2:43" s="105" customFormat="1" ht="27" customHeight="1">
      <c r="B41" s="370">
        <f>#REF!</f>
      </c>
      <c r="C41" s="232"/>
      <c r="D41" s="164">
        <f>IF(#REF!&lt;&gt;"",#REF!,IF(#REF!&lt;&gt;"",#REF!,""))</f>
      </c>
      <c r="E41" s="235"/>
      <c r="F41" s="236"/>
      <c r="G41" s="236"/>
      <c r="H41" s="237"/>
      <c r="I41" s="238"/>
      <c r="J41" s="239"/>
      <c r="K41" s="240"/>
      <c r="L41" s="241"/>
      <c r="M41" s="242"/>
      <c r="N41" s="167">
        <f>#REF!</f>
      </c>
      <c r="O41" s="167">
        <f>#REF!</f>
      </c>
      <c r="P41" s="260">
        <f>#REF!</f>
      </c>
      <c r="Q41" s="168">
        <f t="shared" si="9"/>
      </c>
      <c r="R41" s="425">
        <f t="shared" si="10"/>
      </c>
      <c r="S41" s="371">
        <f ca="1">IF($AL$5&lt;=1,0,SUM(OFFSET('rincian '!#REF!,0,0,1,$AL$5-1)))</f>
      </c>
      <c r="T41" s="425">
        <f t="shared" ca="1" si="11"/>
      </c>
      <c r="U41" s="372" cm="1">
        <f t="array" ref="U41">IFERROR(INDEX('rincian '!#REF!,$AL$5),0)</f>
      </c>
      <c r="V41" s="425">
        <f t="shared" si="12"/>
      </c>
      <c r="W41" s="244">
        <f t="shared" ca="1" si="13"/>
      </c>
      <c r="X41" s="202">
        <f t="shared" ca="1" si="13"/>
      </c>
      <c r="AL41" s="460"/>
      <c r="AM41" s="460"/>
      <c r="AN41" s="460"/>
      <c r="AO41" s="460"/>
      <c r="AP41" s="460"/>
      <c r="AQ41" s="460"/>
    </row>
    <row r="42" spans="2:43" s="105" customFormat="1" ht="27" customHeight="1">
      <c r="B42" s="370">
        <f>#REF!</f>
      </c>
      <c r="C42" s="232"/>
      <c r="D42" s="164">
        <f>IF(#REF!&lt;&gt;"",#REF!,IF(#REF!&lt;&gt;"",#REF!,""))</f>
      </c>
      <c r="E42" s="235"/>
      <c r="F42" s="236"/>
      <c r="G42" s="236"/>
      <c r="H42" s="237"/>
      <c r="I42" s="238"/>
      <c r="J42" s="239"/>
      <c r="K42" s="240"/>
      <c r="L42" s="241"/>
      <c r="M42" s="242"/>
      <c r="N42" s="167">
        <f>#REF!</f>
      </c>
      <c r="O42" s="167">
        <f>#REF!</f>
      </c>
      <c r="P42" s="260">
        <f>#REF!</f>
      </c>
      <c r="Q42" s="168">
        <f t="shared" si="9"/>
      </c>
      <c r="R42" s="425">
        <f t="shared" si="10"/>
      </c>
      <c r="S42" s="371">
        <f ca="1">IF($AL$5&lt;=1,0,SUM(OFFSET('rincian '!#REF!,0,0,1,$AL$5-1)))</f>
      </c>
      <c r="T42" s="425">
        <f t="shared" ca="1" si="11"/>
      </c>
      <c r="U42" s="372" cm="1">
        <f t="array" ref="U42">IFERROR(INDEX('rincian '!#REF!,$AL$5),0)</f>
      </c>
      <c r="V42" s="425">
        <f t="shared" si="12"/>
      </c>
      <c r="W42" s="244">
        <f t="shared" ca="1" si="13"/>
      </c>
      <c r="X42" s="202">
        <f t="shared" ca="1" si="13"/>
      </c>
      <c r="AL42" s="460"/>
      <c r="AM42" s="460"/>
      <c r="AN42" s="460"/>
      <c r="AO42" s="460"/>
      <c r="AP42" s="460"/>
      <c r="AQ42" s="460"/>
    </row>
    <row r="43" spans="2:43" s="105" customFormat="1" ht="27" customHeight="1">
      <c r="B43" s="370">
        <f>#REF!</f>
      </c>
      <c r="C43" s="232"/>
      <c r="D43" s="164">
        <f>IF(#REF!&lt;&gt;"",#REF!,IF(#REF!&lt;&gt;"",#REF!,""))</f>
      </c>
      <c r="E43" s="235"/>
      <c r="F43" s="236"/>
      <c r="G43" s="236"/>
      <c r="H43" s="237"/>
      <c r="I43" s="238"/>
      <c r="J43" s="239"/>
      <c r="K43" s="240"/>
      <c r="L43" s="241"/>
      <c r="M43" s="242"/>
      <c r="N43" s="167">
        <f>#REF!</f>
      </c>
      <c r="O43" s="167">
        <f>#REF!</f>
      </c>
      <c r="P43" s="260">
        <f>#REF!</f>
      </c>
      <c r="Q43" s="168">
        <f t="shared" si="9"/>
      </c>
      <c r="R43" s="425">
        <f t="shared" si="10"/>
      </c>
      <c r="S43" s="371">
        <f ca="1">IF($AL$5&lt;=1,0,SUM(OFFSET('rincian '!#REF!,0,0,1,$AL$5-1)))</f>
      </c>
      <c r="T43" s="425">
        <f t="shared" ca="1" si="11"/>
      </c>
      <c r="U43" s="372" cm="1">
        <f t="array" ref="U43">IFERROR(INDEX('rincian '!#REF!,$AL$5),0)</f>
      </c>
      <c r="V43" s="425">
        <f t="shared" si="12"/>
      </c>
      <c r="W43" s="244">
        <f t="shared" ca="1" si="13"/>
      </c>
      <c r="X43" s="202">
        <f t="shared" ca="1" si="13"/>
      </c>
      <c r="AL43" s="460"/>
      <c r="AM43" s="460"/>
      <c r="AN43" s="460"/>
      <c r="AO43" s="460"/>
      <c r="AP43" s="460"/>
      <c r="AQ43" s="460"/>
    </row>
    <row r="44" spans="2:43" s="105" customFormat="1" ht="27" customHeight="1">
      <c r="B44" s="370">
        <f>#REF!</f>
      </c>
      <c r="C44" s="232"/>
      <c r="D44" s="164">
        <f>IF(#REF!&lt;&gt;"",#REF!,IF(#REF!&lt;&gt;"",#REF!,""))</f>
      </c>
      <c r="E44" s="235"/>
      <c r="F44" s="236"/>
      <c r="G44" s="236"/>
      <c r="H44" s="237"/>
      <c r="I44" s="238"/>
      <c r="J44" s="239"/>
      <c r="K44" s="240"/>
      <c r="L44" s="241"/>
      <c r="M44" s="242"/>
      <c r="N44" s="167">
        <f>#REF!</f>
      </c>
      <c r="O44" s="167">
        <f>#REF!</f>
      </c>
      <c r="P44" s="260">
        <f>#REF!</f>
      </c>
      <c r="Q44" s="168">
        <f t="shared" si="9"/>
      </c>
      <c r="R44" s="425">
        <f t="shared" si="10"/>
      </c>
      <c r="S44" s="371">
        <f ca="1">IF($AL$5&lt;=1,0,SUM(OFFSET('rincian '!#REF!,0,0,1,$AL$5-1)))</f>
      </c>
      <c r="T44" s="425">
        <f t="shared" ca="1" si="11"/>
      </c>
      <c r="U44" s="372" cm="1">
        <f t="array" ref="U44">IFERROR(INDEX('rincian '!#REF!,$AL$5),0)</f>
      </c>
      <c r="V44" s="425">
        <f t="shared" si="12"/>
      </c>
      <c r="W44" s="244">
        <f t="shared" ca="1" si="13"/>
      </c>
      <c r="X44" s="202">
        <f t="shared" ca="1" si="13"/>
      </c>
      <c r="AL44" s="460"/>
      <c r="AM44" s="460"/>
      <c r="AN44" s="460"/>
      <c r="AO44" s="460"/>
      <c r="AP44" s="460"/>
      <c r="AQ44" s="460"/>
    </row>
    <row r="45" spans="2:43" s="105" customFormat="1" ht="27" customHeight="1">
      <c r="B45" s="370">
        <f>#REF!</f>
      </c>
      <c r="C45" s="232"/>
      <c r="D45" s="164">
        <f>IF(#REF!&lt;&gt;"",#REF!,IF(#REF!&lt;&gt;"",#REF!,""))</f>
      </c>
      <c r="E45" s="235"/>
      <c r="F45" s="236"/>
      <c r="G45" s="236"/>
      <c r="H45" s="237"/>
      <c r="I45" s="238"/>
      <c r="J45" s="239"/>
      <c r="K45" s="240"/>
      <c r="L45" s="241"/>
      <c r="M45" s="242"/>
      <c r="N45" s="167">
        <f>#REF!</f>
      </c>
      <c r="O45" s="167">
        <f>#REF!</f>
      </c>
      <c r="P45" s="260">
        <f>#REF!</f>
      </c>
      <c r="Q45" s="168">
        <f t="shared" si="9"/>
      </c>
      <c r="R45" s="425">
        <f t="shared" si="10"/>
      </c>
      <c r="S45" s="371">
        <f ca="1">IF($AL$5&lt;=1,0,SUM(OFFSET('rincian '!#REF!,0,0,1,$AL$5-1)))</f>
      </c>
      <c r="T45" s="425">
        <f t="shared" ca="1" si="11"/>
      </c>
      <c r="U45" s="372" cm="1">
        <f t="array" ref="U45">IFERROR(INDEX('rincian '!#REF!,$AL$5),0)</f>
      </c>
      <c r="V45" s="425">
        <f t="shared" si="12"/>
      </c>
      <c r="W45" s="244">
        <f t="shared" ca="1" si="13"/>
      </c>
      <c r="X45" s="202">
        <f t="shared" ca="1" si="13"/>
      </c>
      <c r="AL45" s="460"/>
      <c r="AM45" s="460"/>
      <c r="AN45" s="460"/>
      <c r="AO45" s="460"/>
      <c r="AP45" s="460"/>
      <c r="AQ45" s="460"/>
    </row>
    <row r="46" spans="2:43" s="105" customFormat="1" ht="27" customHeight="1">
      <c r="B46" s="370">
        <f>#REF!</f>
      </c>
      <c r="C46" s="232"/>
      <c r="D46" s="164">
        <f>IF(#REF!&lt;&gt;"",#REF!,IF(#REF!&lt;&gt;"",#REF!,""))</f>
      </c>
      <c r="E46" s="235"/>
      <c r="F46" s="236"/>
      <c r="G46" s="236"/>
      <c r="H46" s="237"/>
      <c r="I46" s="238"/>
      <c r="J46" s="239"/>
      <c r="K46" s="240"/>
      <c r="L46" s="241"/>
      <c r="M46" s="242"/>
      <c r="N46" s="167">
        <f>#REF!</f>
      </c>
      <c r="O46" s="167">
        <f>#REF!</f>
      </c>
      <c r="P46" s="260">
        <f>#REF!</f>
      </c>
      <c r="Q46" s="168">
        <f t="shared" si="9"/>
      </c>
      <c r="R46" s="425">
        <f t="shared" si="10"/>
      </c>
      <c r="S46" s="371">
        <f ca="1">IF($AL$5&lt;=1,0,SUM(OFFSET('rincian '!#REF!,0,0,1,$AL$5-1)))</f>
      </c>
      <c r="T46" s="425">
        <f t="shared" ca="1" si="11"/>
      </c>
      <c r="U46" s="372" cm="1">
        <f t="array" ref="U46">IFERROR(INDEX('rincian '!#REF!,$AL$5),0)</f>
      </c>
      <c r="V46" s="425">
        <f t="shared" si="12"/>
      </c>
      <c r="W46" s="244">
        <f t="shared" ca="1" si="13"/>
      </c>
      <c r="X46" s="202">
        <f t="shared" ca="1" si="13"/>
      </c>
      <c r="AL46" s="460"/>
      <c r="AM46" s="460"/>
      <c r="AN46" s="460"/>
      <c r="AO46" s="460"/>
      <c r="AP46" s="460"/>
      <c r="AQ46" s="460"/>
    </row>
    <row r="47" spans="2:43" s="105" customFormat="1" ht="27" customHeight="1">
      <c r="B47" s="370">
        <f>#REF!</f>
      </c>
      <c r="C47" s="232"/>
      <c r="D47" s="164">
        <f>IF(#REF!&lt;&gt;"",#REF!,IF(#REF!&lt;&gt;"",#REF!,""))</f>
      </c>
      <c r="E47" s="235"/>
      <c r="F47" s="236"/>
      <c r="G47" s="236"/>
      <c r="H47" s="237"/>
      <c r="I47" s="238"/>
      <c r="J47" s="239"/>
      <c r="K47" s="240"/>
      <c r="L47" s="241"/>
      <c r="M47" s="242"/>
      <c r="N47" s="167">
        <f>#REF!</f>
      </c>
      <c r="O47" s="167">
        <f>#REF!</f>
      </c>
      <c r="P47" s="260">
        <f>#REF!</f>
      </c>
      <c r="Q47" s="168">
        <f t="shared" si="9"/>
      </c>
      <c r="R47" s="425">
        <f t="shared" si="10"/>
      </c>
      <c r="S47" s="371">
        <f ca="1">IF($AL$5&lt;=1,0,SUM(OFFSET('rincian '!#REF!,0,0,1,$AL$5-1)))</f>
      </c>
      <c r="T47" s="425">
        <f t="shared" ca="1" si="11"/>
      </c>
      <c r="U47" s="372" cm="1">
        <f t="array" ref="U47">IFERROR(INDEX('rincian '!#REF!,$AL$5),0)</f>
      </c>
      <c r="V47" s="425">
        <f t="shared" si="12"/>
      </c>
      <c r="W47" s="244">
        <f t="shared" ca="1" si="13"/>
      </c>
      <c r="X47" s="202">
        <f t="shared" ca="1" si="13"/>
      </c>
      <c r="AL47" s="460"/>
      <c r="AM47" s="460"/>
      <c r="AN47" s="460"/>
      <c r="AO47" s="460"/>
      <c r="AP47" s="460"/>
      <c r="AQ47" s="460"/>
    </row>
    <row r="48" spans="2:43" s="105" customFormat="1" ht="27" customHeight="1">
      <c r="B48" s="370">
        <f>#REF!</f>
      </c>
      <c r="C48" s="232"/>
      <c r="D48" s="164">
        <f>IF(#REF!&lt;&gt;"",#REF!,IF(#REF!&lt;&gt;"",#REF!,""))</f>
      </c>
      <c r="E48" s="235"/>
      <c r="F48" s="236"/>
      <c r="G48" s="236"/>
      <c r="H48" s="237"/>
      <c r="I48" s="238"/>
      <c r="J48" s="239"/>
      <c r="K48" s="240"/>
      <c r="L48" s="241"/>
      <c r="M48" s="242"/>
      <c r="N48" s="167">
        <f>#REF!</f>
      </c>
      <c r="O48" s="167">
        <f>#REF!</f>
      </c>
      <c r="P48" s="260">
        <f>#REF!</f>
      </c>
      <c r="Q48" s="168">
        <f t="shared" si="9"/>
      </c>
      <c r="R48" s="425">
        <f t="shared" si="10"/>
      </c>
      <c r="S48" s="371">
        <f ca="1">IF($AL$5&lt;=1,0,SUM(OFFSET('rincian '!#REF!,0,0,1,$AL$5-1)))</f>
      </c>
      <c r="T48" s="425">
        <f t="shared" ca="1" si="11"/>
      </c>
      <c r="U48" s="372" cm="1">
        <f t="array" ref="U48">IFERROR(INDEX('rincian '!#REF!,$AL$5),0)</f>
      </c>
      <c r="V48" s="425">
        <f t="shared" si="12"/>
      </c>
      <c r="W48" s="244">
        <f t="shared" ca="1" si="13"/>
      </c>
      <c r="X48" s="202">
        <f t="shared" ca="1" si="13"/>
      </c>
      <c r="AL48" s="460"/>
      <c r="AM48" s="460"/>
      <c r="AN48" s="460"/>
      <c r="AO48" s="460"/>
      <c r="AP48" s="460"/>
      <c r="AQ48" s="460"/>
    </row>
    <row r="49" spans="2:43" s="105" customFormat="1" ht="27" customHeight="1">
      <c r="B49" s="370">
        <f>#REF!</f>
      </c>
      <c r="C49" s="232"/>
      <c r="D49" s="164">
        <f>IF(#REF!&lt;&gt;"",#REF!,IF(#REF!&lt;&gt;"",#REF!,""))</f>
      </c>
      <c r="E49" s="235"/>
      <c r="F49" s="236"/>
      <c r="G49" s="236"/>
      <c r="H49" s="237"/>
      <c r="I49" s="238"/>
      <c r="J49" s="239"/>
      <c r="K49" s="240"/>
      <c r="L49" s="241"/>
      <c r="M49" s="242"/>
      <c r="N49" s="167">
        <f>#REF!</f>
      </c>
      <c r="O49" s="167">
        <f>#REF!</f>
      </c>
      <c r="P49" s="260">
        <f>#REF!</f>
      </c>
      <c r="Q49" s="168">
        <f t="shared" si="9"/>
      </c>
      <c r="R49" s="425">
        <f t="shared" si="10"/>
      </c>
      <c r="S49" s="371">
        <f ca="1">IF($AL$5&lt;=1,0,SUM(OFFSET('rincian '!#REF!,0,0,1,$AL$5-1)))</f>
      </c>
      <c r="T49" s="425">
        <f t="shared" ca="1" si="11"/>
      </c>
      <c r="U49" s="372" cm="1">
        <f t="array" ref="U49">IFERROR(INDEX('rincian '!#REF!,$AL$5),0)</f>
      </c>
      <c r="V49" s="425">
        <f t="shared" si="12"/>
      </c>
      <c r="W49" s="244">
        <f t="shared" ca="1" si="13"/>
      </c>
      <c r="X49" s="202">
        <f t="shared" ca="1" si="13"/>
      </c>
      <c r="AL49" s="460"/>
      <c r="AM49" s="460"/>
      <c r="AN49" s="460"/>
      <c r="AO49" s="460"/>
      <c r="AP49" s="460"/>
      <c r="AQ49" s="460"/>
    </row>
    <row r="50" spans="2:43" s="105" customFormat="1" ht="27" customHeight="1">
      <c r="B50" s="370">
        <f>#REF!</f>
      </c>
      <c r="C50" s="232"/>
      <c r="D50" s="164">
        <f>IF(#REF!&lt;&gt;"",#REF!,IF(#REF!&lt;&gt;"",#REF!,""))</f>
      </c>
      <c r="E50" s="235"/>
      <c r="F50" s="236"/>
      <c r="G50" s="236"/>
      <c r="H50" s="237"/>
      <c r="I50" s="238"/>
      <c r="J50" s="239"/>
      <c r="K50" s="240"/>
      <c r="L50" s="241"/>
      <c r="M50" s="242"/>
      <c r="N50" s="167">
        <f>#REF!</f>
      </c>
      <c r="O50" s="167">
        <f>#REF!</f>
      </c>
      <c r="P50" s="260">
        <f>#REF!</f>
      </c>
      <c r="Q50" s="168">
        <f t="shared" si="9"/>
      </c>
      <c r="R50" s="425">
        <f t="shared" si="10"/>
      </c>
      <c r="S50" s="371">
        <f ca="1">IF($AL$5&lt;=1,0,SUM(OFFSET('rincian '!#REF!,0,0,1,$AL$5-1)))</f>
      </c>
      <c r="T50" s="425">
        <f t="shared" ca="1" si="11"/>
      </c>
      <c r="U50" s="372" cm="1">
        <f t="array" ref="U50">IFERROR(INDEX('rincian '!#REF!,$AL$5),0)</f>
      </c>
      <c r="V50" s="425">
        <f t="shared" si="12"/>
      </c>
      <c r="W50" s="244">
        <f t="shared" ca="1" si="13"/>
      </c>
      <c r="X50" s="202">
        <f t="shared" ca="1" si="13"/>
      </c>
      <c r="AL50" s="460"/>
      <c r="AM50" s="460"/>
      <c r="AN50" s="460"/>
      <c r="AO50" s="460"/>
      <c r="AP50" s="460"/>
      <c r="AQ50" s="460"/>
    </row>
    <row r="51" spans="2:43" s="105" customFormat="1" ht="27" customHeight="1">
      <c r="B51" s="370">
        <f>#REF!</f>
      </c>
      <c r="C51" s="232"/>
      <c r="D51" s="164">
        <f>IF(#REF!&lt;&gt;"",#REF!,IF(#REF!&lt;&gt;"",#REF!,""))</f>
      </c>
      <c r="E51" s="235"/>
      <c r="F51" s="236"/>
      <c r="G51" s="236"/>
      <c r="H51" s="237"/>
      <c r="I51" s="238"/>
      <c r="J51" s="239"/>
      <c r="K51" s="240"/>
      <c r="L51" s="241"/>
      <c r="M51" s="242"/>
      <c r="N51" s="167">
        <f>#REF!</f>
      </c>
      <c r="O51" s="167">
        <f>#REF!</f>
      </c>
      <c r="P51" s="260">
        <f>#REF!</f>
      </c>
      <c r="Q51" s="168">
        <f t="shared" si="9"/>
      </c>
      <c r="R51" s="425">
        <f t="shared" si="10"/>
      </c>
      <c r="S51" s="371">
        <f ca="1">IF($AL$5&lt;=1,0,SUM(OFFSET('rincian '!#REF!,0,0,1,$AL$5-1)))</f>
      </c>
      <c r="T51" s="425">
        <f t="shared" ca="1" si="11"/>
      </c>
      <c r="U51" s="372" cm="1">
        <f t="array" ref="U51">IFERROR(INDEX('rincian '!#REF!,$AL$5),0)</f>
      </c>
      <c r="V51" s="425">
        <f t="shared" si="12"/>
      </c>
      <c r="W51" s="244">
        <f t="shared" ca="1" si="13"/>
      </c>
      <c r="X51" s="202">
        <f t="shared" ca="1" si="13"/>
      </c>
      <c r="AL51" s="460"/>
      <c r="AM51" s="460"/>
      <c r="AN51" s="460"/>
      <c r="AO51" s="460"/>
      <c r="AP51" s="460"/>
      <c r="AQ51" s="460"/>
    </row>
    <row r="52" spans="2:43" s="105" customFormat="1" ht="27" customHeight="1">
      <c r="B52" s="370">
        <f>#REF!</f>
      </c>
      <c r="C52" s="232"/>
      <c r="D52" s="164">
        <f>IF(#REF!&lt;&gt;"",#REF!,IF(#REF!&lt;&gt;"",#REF!,""))</f>
      </c>
      <c r="E52" s="235"/>
      <c r="F52" s="236"/>
      <c r="G52" s="236"/>
      <c r="H52" s="237"/>
      <c r="I52" s="238"/>
      <c r="J52" s="239"/>
      <c r="K52" s="240"/>
      <c r="L52" s="241"/>
      <c r="M52" s="242"/>
      <c r="N52" s="167">
        <f>#REF!</f>
      </c>
      <c r="O52" s="167">
        <f>#REF!</f>
      </c>
      <c r="P52" s="260">
        <f>#REF!</f>
      </c>
      <c r="Q52" s="168">
        <f t="shared" si="9"/>
      </c>
      <c r="R52" s="425">
        <f t="shared" si="10"/>
      </c>
      <c r="S52" s="371">
        <f ca="1">IF($AL$5&lt;=1,0,SUM(OFFSET('rincian '!#REF!,0,0,1,$AL$5-1)))</f>
      </c>
      <c r="T52" s="425">
        <f t="shared" ca="1" si="11"/>
      </c>
      <c r="U52" s="372" cm="1">
        <f t="array" ref="U52">IFERROR(INDEX('rincian '!#REF!,$AL$5),0)</f>
      </c>
      <c r="V52" s="425">
        <f t="shared" si="12"/>
      </c>
      <c r="W52" s="244">
        <f t="shared" ca="1" si="13"/>
      </c>
      <c r="X52" s="202">
        <f t="shared" ca="1" si="13"/>
      </c>
      <c r="AL52" s="460"/>
      <c r="AM52" s="460"/>
      <c r="AN52" s="460"/>
      <c r="AO52" s="460"/>
      <c r="AP52" s="460"/>
      <c r="AQ52" s="460"/>
    </row>
    <row r="53" spans="2:43" s="105" customFormat="1" ht="27" customHeight="1">
      <c r="B53" s="370">
        <f>#REF!</f>
      </c>
      <c r="C53" s="232"/>
      <c r="D53" s="164">
        <f>IF(#REF!&lt;&gt;"",#REF!,IF(#REF!&lt;&gt;"",#REF!,""))</f>
      </c>
      <c r="E53" s="235"/>
      <c r="F53" s="236"/>
      <c r="G53" s="236"/>
      <c r="H53" s="237"/>
      <c r="I53" s="238"/>
      <c r="J53" s="239"/>
      <c r="K53" s="240"/>
      <c r="L53" s="241"/>
      <c r="M53" s="242"/>
      <c r="N53" s="167">
        <f>#REF!</f>
      </c>
      <c r="O53" s="167">
        <f>#REF!</f>
      </c>
      <c r="P53" s="260">
        <f>#REF!</f>
      </c>
      <c r="Q53" s="168">
        <f t="shared" si="9"/>
      </c>
      <c r="R53" s="425">
        <f t="shared" si="10"/>
      </c>
      <c r="S53" s="371">
        <f ca="1">IF($AL$5&lt;=1,0,SUM(OFFSET('rincian '!#REF!,0,0,1,$AL$5-1)))</f>
      </c>
      <c r="T53" s="425">
        <f t="shared" ca="1" si="11"/>
      </c>
      <c r="U53" s="372" cm="1">
        <f t="array" ref="U53">IFERROR(INDEX('rincian '!#REF!,$AL$5),0)</f>
      </c>
      <c r="V53" s="425">
        <f t="shared" si="12"/>
      </c>
      <c r="W53" s="244">
        <f t="shared" ca="1" si="13"/>
      </c>
      <c r="X53" s="202">
        <f t="shared" ca="1" si="13"/>
      </c>
      <c r="AL53" s="460"/>
      <c r="AM53" s="460"/>
      <c r="AN53" s="460"/>
      <c r="AO53" s="460"/>
      <c r="AP53" s="460"/>
      <c r="AQ53" s="460"/>
    </row>
    <row r="54" spans="2:43" s="105" customFormat="1" ht="27" customHeight="1">
      <c r="B54" s="402">
        <f>#REF!</f>
      </c>
      <c r="C54" s="384"/>
      <c r="D54" s="385">
        <f>IF(#REF!&lt;&gt;"",#REF!,IF(#REF!&lt;&gt;"",#REF!,""))</f>
      </c>
      <c r="E54" s="386"/>
      <c r="F54" s="387"/>
      <c r="G54" s="387"/>
      <c r="H54" s="388"/>
      <c r="I54" s="389"/>
      <c r="J54" s="390"/>
      <c r="K54" s="391"/>
      <c r="L54" s="392"/>
      <c r="M54" s="393"/>
      <c r="N54" s="394"/>
      <c r="O54" s="394"/>
      <c r="P54" s="395"/>
      <c r="Q54" s="396"/>
      <c r="R54" s="426"/>
      <c r="S54" s="403"/>
      <c r="T54" s="426"/>
      <c r="U54" s="403"/>
      <c r="V54" s="426"/>
      <c r="W54" s="399"/>
      <c r="X54" s="400"/>
      <c r="AL54" s="460"/>
      <c r="AM54" s="460"/>
      <c r="AN54" s="460"/>
      <c r="AO54" s="460"/>
      <c r="AP54" s="460"/>
      <c r="AQ54" s="460"/>
    </row>
    <row r="55" spans="2:43" s="105" customFormat="1" ht="27" customHeight="1">
      <c r="B55" s="401">
        <f>#REF!</f>
      </c>
      <c r="C55" s="373"/>
      <c r="D55" s="374">
        <f>IF(#REF!&lt;&gt;"",#REF!,IF(#REF!&lt;&gt;"",#REF!,""))</f>
      </c>
      <c r="E55" s="375"/>
      <c r="F55" s="376"/>
      <c r="G55" s="376"/>
      <c r="H55" s="377"/>
      <c r="I55" s="378"/>
      <c r="J55" s="379"/>
      <c r="K55" s="380"/>
      <c r="L55" s="381"/>
      <c r="M55" s="382"/>
      <c r="N55" s="167"/>
      <c r="O55" s="167"/>
      <c r="P55" s="260"/>
      <c r="Q55" s="168"/>
      <c r="R55" s="425"/>
      <c r="S55" s="371"/>
      <c r="T55" s="425"/>
      <c r="U55" s="372"/>
      <c r="V55" s="425"/>
      <c r="W55" s="244"/>
      <c r="X55" s="202"/>
      <c r="AL55" s="460"/>
      <c r="AM55" s="460"/>
      <c r="AN55" s="460"/>
      <c r="AO55" s="460"/>
      <c r="AP55" s="460"/>
      <c r="AQ55" s="460"/>
    </row>
    <row r="56" spans="2:43" s="105" customFormat="1" ht="27" customHeight="1">
      <c r="B56" s="401">
        <f>#REF!</f>
      </c>
      <c r="C56" s="373"/>
      <c r="D56" s="374">
        <f>IF(#REF!&lt;&gt;"",#REF!,IF(#REF!&lt;&gt;"",#REF!,""))</f>
      </c>
      <c r="E56" s="375"/>
      <c r="F56" s="376"/>
      <c r="G56" s="376"/>
      <c r="H56" s="377"/>
      <c r="I56" s="378"/>
      <c r="J56" s="379"/>
      <c r="K56" s="380"/>
      <c r="L56" s="381"/>
      <c r="M56" s="382"/>
      <c r="N56" s="167"/>
      <c r="O56" s="167"/>
      <c r="P56" s="260"/>
      <c r="Q56" s="168"/>
      <c r="R56" s="425"/>
      <c r="S56" s="371"/>
      <c r="T56" s="425"/>
      <c r="U56" s="372"/>
      <c r="V56" s="425"/>
      <c r="W56" s="244"/>
      <c r="X56" s="202"/>
      <c r="AL56" s="460"/>
      <c r="AM56" s="460"/>
      <c r="AN56" s="460"/>
      <c r="AO56" s="460"/>
      <c r="AP56" s="460"/>
      <c r="AQ56" s="460"/>
    </row>
    <row r="57" spans="2:43" s="105" customFormat="1" ht="27" customHeight="1">
      <c r="B57" s="370">
        <f>#REF!</f>
      </c>
      <c r="C57" s="232"/>
      <c r="D57" s="164">
        <f>IF(#REF!&lt;&gt;"",#REF!,IF(#REF!&lt;&gt;"",#REF!,""))</f>
      </c>
      <c r="E57" s="235"/>
      <c r="F57" s="236"/>
      <c r="G57" s="236"/>
      <c r="H57" s="237"/>
      <c r="I57" s="238"/>
      <c r="J57" s="239"/>
      <c r="K57" s="240"/>
      <c r="L57" s="241"/>
      <c r="M57" s="242"/>
      <c r="N57" s="167">
        <f>#REF!</f>
      </c>
      <c r="O57" s="167">
        <f>#REF!</f>
      </c>
      <c r="P57" s="260">
        <f>#REF!</f>
      </c>
      <c r="Q57" s="168">
        <f>P57*N57</f>
      </c>
      <c r="R57" s="425">
        <f>IFERROR(Q57/$Q$166,0)</f>
      </c>
      <c r="S57" s="371">
        <f ca="1">IF($AL$5&lt;=1,0,SUM(OFFSET('rincian '!#REF!,0,0,1,$AL$5-1)))</f>
      </c>
      <c r="T57" s="425">
        <f ca="1">IFERROR(S57/N57*R57,0)</f>
      </c>
      <c r="U57" s="372" cm="1">
        <f t="array" ref="U57">IFERROR(INDEX('rincian '!#REF!,$AL$5),0)</f>
      </c>
      <c r="V57" s="425">
        <f>IFERROR(U57/N57*R57,0)</f>
      </c>
      <c r="W57" s="244">
        <f t="shared" ref="W57:X60" ca="1" si="14">S57+U57</f>
      </c>
      <c r="X57" s="202">
        <f t="shared" ca="1" si="14"/>
      </c>
      <c r="AL57" s="460"/>
      <c r="AM57" s="460"/>
      <c r="AN57" s="460"/>
      <c r="AO57" s="460"/>
      <c r="AP57" s="460"/>
      <c r="AQ57" s="460"/>
    </row>
    <row r="58" spans="2:43" s="105" customFormat="1" ht="40.049999999999997" customHeight="1">
      <c r="B58" s="370">
        <f>#REF!</f>
      </c>
      <c r="C58" s="232"/>
      <c r="D58" s="704">
        <f>IF(#REF!&lt;&gt;"",#REF!,IF(#REF!&lt;&gt;"",#REF!,""))</f>
      </c>
      <c r="E58" s="704"/>
      <c r="F58" s="704"/>
      <c r="G58" s="704"/>
      <c r="H58" s="704"/>
      <c r="I58" s="704"/>
      <c r="J58" s="704"/>
      <c r="K58" s="704"/>
      <c r="L58" s="704"/>
      <c r="M58" s="705"/>
      <c r="N58" s="167">
        <f>#REF!</f>
      </c>
      <c r="O58" s="167">
        <f>#REF!</f>
      </c>
      <c r="P58" s="260">
        <f>#REF!</f>
      </c>
      <c r="Q58" s="168">
        <f>P58*N58</f>
      </c>
      <c r="R58" s="425">
        <f>IFERROR(Q58/$Q$166,0)</f>
      </c>
      <c r="S58" s="371">
        <f ca="1">IF($AL$5&lt;=1,0,SUM(OFFSET('rincian '!#REF!,0,0,1,$AL$5-1)))</f>
      </c>
      <c r="T58" s="425">
        <f ca="1">IFERROR(S58/N58*R58,0)</f>
      </c>
      <c r="U58" s="372" cm="1">
        <f t="array" ref="U58">IFERROR(INDEX('rincian '!#REF!,$AL$5),0)</f>
      </c>
      <c r="V58" s="425">
        <f>IFERROR(U58/N58*R58,0)</f>
      </c>
      <c r="W58" s="244">
        <f t="shared" ca="1" si="14"/>
      </c>
      <c r="X58" s="202">
        <f t="shared" ca="1" si="14"/>
      </c>
      <c r="AL58" s="460"/>
      <c r="AM58" s="460"/>
      <c r="AN58" s="460"/>
      <c r="AO58" s="460"/>
      <c r="AP58" s="460"/>
      <c r="AQ58" s="460"/>
    </row>
    <row r="59" spans="2:43" s="105" customFormat="1" ht="40.049999999999997" customHeight="1">
      <c r="B59" s="370">
        <f>#REF!</f>
      </c>
      <c r="C59" s="232"/>
      <c r="D59" s="704">
        <f>IF(#REF!&lt;&gt;"",#REF!,IF(#REF!&lt;&gt;"",#REF!,""))</f>
      </c>
      <c r="E59" s="704"/>
      <c r="F59" s="704"/>
      <c r="G59" s="704"/>
      <c r="H59" s="704"/>
      <c r="I59" s="704"/>
      <c r="J59" s="704"/>
      <c r="K59" s="704"/>
      <c r="L59" s="704"/>
      <c r="M59" s="705"/>
      <c r="N59" s="167">
        <f>#REF!</f>
      </c>
      <c r="O59" s="167">
        <f>#REF!</f>
      </c>
      <c r="P59" s="260">
        <f>#REF!</f>
      </c>
      <c r="Q59" s="168">
        <f>P59*N59</f>
      </c>
      <c r="R59" s="425">
        <f>IFERROR(Q59/$Q$166,0)</f>
      </c>
      <c r="S59" s="371">
        <f ca="1">IF($AL$5&lt;=1,0,SUM(OFFSET('rincian '!#REF!,0,0,1,$AL$5-1)))</f>
      </c>
      <c r="T59" s="425">
        <f ca="1">IFERROR(S59/N59*R59,0)</f>
      </c>
      <c r="U59" s="372" cm="1">
        <f t="array" ref="U59">IFERROR(INDEX('rincian '!#REF!,$AL$5),0)</f>
      </c>
      <c r="V59" s="425">
        <f>IFERROR(U59/N59*R59,0)</f>
      </c>
      <c r="W59" s="244">
        <f t="shared" ca="1" si="14"/>
      </c>
      <c r="X59" s="202">
        <f t="shared" ca="1" si="14"/>
      </c>
      <c r="AL59" s="460"/>
      <c r="AM59" s="460"/>
      <c r="AN59" s="460"/>
      <c r="AO59" s="460"/>
      <c r="AP59" s="460"/>
      <c r="AQ59" s="460"/>
    </row>
    <row r="60" spans="2:43" s="105" customFormat="1" ht="40.049999999999997" customHeight="1">
      <c r="B60" s="370">
        <f>#REF!</f>
      </c>
      <c r="C60" s="232"/>
      <c r="D60" s="704">
        <f>IF(#REF!&lt;&gt;"",#REF!,IF(#REF!&lt;&gt;"",#REF!,""))</f>
      </c>
      <c r="E60" s="704"/>
      <c r="F60" s="704"/>
      <c r="G60" s="704"/>
      <c r="H60" s="704"/>
      <c r="I60" s="704"/>
      <c r="J60" s="704"/>
      <c r="K60" s="704"/>
      <c r="L60" s="704"/>
      <c r="M60" s="705"/>
      <c r="N60" s="167">
        <f>#REF!</f>
      </c>
      <c r="O60" s="167">
        <f>#REF!</f>
      </c>
      <c r="P60" s="260">
        <f>#REF!</f>
      </c>
      <c r="Q60" s="168">
        <f>P60*N60</f>
      </c>
      <c r="R60" s="425">
        <f>IFERROR(Q60/$Q$166,0)</f>
      </c>
      <c r="S60" s="371">
        <f ca="1">IF($AL$5&lt;=1,0,SUM(OFFSET('rincian '!#REF!,0,0,1,$AL$5-1)))</f>
      </c>
      <c r="T60" s="425">
        <f ca="1">IFERROR(S60/N60*R60,0)</f>
      </c>
      <c r="U60" s="372" cm="1">
        <f t="array" ref="U60">IFERROR(INDEX('rincian '!#REF!,$AL$5),0)</f>
      </c>
      <c r="V60" s="425">
        <f>IFERROR(U60/N60*R60,0)</f>
      </c>
      <c r="W60" s="244">
        <f t="shared" ca="1" si="14"/>
      </c>
      <c r="X60" s="202">
        <f t="shared" ca="1" si="14"/>
      </c>
      <c r="AL60" s="460"/>
      <c r="AM60" s="460"/>
      <c r="AN60" s="460"/>
      <c r="AO60" s="460"/>
      <c r="AP60" s="460"/>
      <c r="AQ60" s="460"/>
    </row>
    <row r="61" spans="2:43" s="105" customFormat="1" ht="27" customHeight="1">
      <c r="B61" s="401">
        <f>#REF!</f>
      </c>
      <c r="C61" s="373"/>
      <c r="D61" s="374">
        <f>IF(#REF!&lt;&gt;"",#REF!,IF(#REF!&lt;&gt;"",#REF!,""))</f>
      </c>
      <c r="E61" s="375"/>
      <c r="F61" s="376"/>
      <c r="G61" s="376"/>
      <c r="H61" s="377"/>
      <c r="I61" s="378"/>
      <c r="J61" s="379"/>
      <c r="K61" s="380"/>
      <c r="L61" s="381"/>
      <c r="M61" s="382"/>
      <c r="N61" s="167"/>
      <c r="O61" s="167"/>
      <c r="P61" s="260"/>
      <c r="Q61" s="168"/>
      <c r="R61" s="425"/>
      <c r="S61" s="371"/>
      <c r="T61" s="425"/>
      <c r="U61" s="372"/>
      <c r="V61" s="425"/>
      <c r="W61" s="244"/>
      <c r="X61" s="202"/>
      <c r="AL61" s="460"/>
      <c r="AM61" s="460"/>
      <c r="AN61" s="460"/>
      <c r="AO61" s="460"/>
      <c r="AP61" s="460"/>
      <c r="AQ61" s="460"/>
    </row>
    <row r="62" spans="2:43" s="105" customFormat="1" ht="27" customHeight="1">
      <c r="B62" s="370">
        <f>#REF!</f>
      </c>
      <c r="C62" s="232"/>
      <c r="D62" s="164">
        <f>IF(#REF!&lt;&gt;"",#REF!,IF(#REF!&lt;&gt;"",#REF!,""))</f>
      </c>
      <c r="E62" s="235"/>
      <c r="F62" s="236"/>
      <c r="G62" s="236"/>
      <c r="H62" s="237"/>
      <c r="I62" s="238"/>
      <c r="J62" s="239"/>
      <c r="K62" s="240"/>
      <c r="L62" s="241"/>
      <c r="M62" s="242"/>
      <c r="N62" s="167">
        <f>#REF!</f>
      </c>
      <c r="O62" s="167">
        <f>#REF!</f>
      </c>
      <c r="P62" s="260">
        <f>#REF!</f>
      </c>
      <c r="Q62" s="168">
        <f>P62*N62</f>
      </c>
      <c r="R62" s="425">
        <f>IFERROR(Q62/$Q$166,0)</f>
      </c>
      <c r="S62" s="371">
        <f ca="1">IF($AL$5&lt;=1,0,SUM(OFFSET('rincian '!#REF!,0,0,1,$AL$5-1)))</f>
      </c>
      <c r="T62" s="425">
        <f ca="1">IFERROR(S62/N62*R62,0)</f>
      </c>
      <c r="U62" s="372" cm="1">
        <f t="array" ref="U62">IFERROR(INDEX('rincian '!#REF!,$AL$5),0)</f>
      </c>
      <c r="V62" s="425">
        <f>IFERROR(U62/N62*R62,0)</f>
      </c>
      <c r="W62" s="244">
        <f t="shared" ref="W62:X66" ca="1" si="15">S62+U62</f>
      </c>
      <c r="X62" s="202">
        <f t="shared" ca="1" si="15"/>
      </c>
      <c r="AL62" s="460"/>
      <c r="AM62" s="460"/>
      <c r="AN62" s="460"/>
      <c r="AO62" s="460"/>
      <c r="AP62" s="460"/>
      <c r="AQ62" s="460"/>
    </row>
    <row r="63" spans="2:43" s="105" customFormat="1" ht="27" customHeight="1">
      <c r="B63" s="370">
        <f>#REF!</f>
      </c>
      <c r="C63" s="232"/>
      <c r="D63" s="164">
        <f>IF(#REF!&lt;&gt;"",#REF!,IF(#REF!&lt;&gt;"",#REF!,""))</f>
      </c>
      <c r="E63" s="235"/>
      <c r="F63" s="236"/>
      <c r="G63" s="236"/>
      <c r="H63" s="237"/>
      <c r="I63" s="238"/>
      <c r="J63" s="239"/>
      <c r="K63" s="240"/>
      <c r="L63" s="241"/>
      <c r="M63" s="242"/>
      <c r="N63" s="167">
        <f>#REF!</f>
      </c>
      <c r="O63" s="167">
        <f>#REF!</f>
      </c>
      <c r="P63" s="260">
        <f>#REF!</f>
      </c>
      <c r="Q63" s="168">
        <f>P63*N63</f>
      </c>
      <c r="R63" s="425">
        <f>IFERROR(Q63/$Q$166,0)</f>
      </c>
      <c r="S63" s="371">
        <f ca="1">IF($AL$5&lt;=1,0,SUM(OFFSET('rincian '!#REF!,0,0,1,$AL$5-1)))</f>
      </c>
      <c r="T63" s="425">
        <f ca="1">IFERROR(S63/N63*R63,0)</f>
      </c>
      <c r="U63" s="372" cm="1">
        <f t="array" ref="U63">IFERROR(INDEX('rincian '!#REF!,$AL$5),0)</f>
      </c>
      <c r="V63" s="425">
        <f>IFERROR(U63/N63*R63,0)</f>
      </c>
      <c r="W63" s="244">
        <f t="shared" ca="1" si="15"/>
      </c>
      <c r="X63" s="202">
        <f t="shared" ca="1" si="15"/>
      </c>
      <c r="AL63" s="460"/>
      <c r="AM63" s="460"/>
      <c r="AN63" s="460"/>
      <c r="AO63" s="460"/>
      <c r="AP63" s="460"/>
      <c r="AQ63" s="460"/>
    </row>
    <row r="64" spans="2:43" s="105" customFormat="1" ht="27" customHeight="1">
      <c r="B64" s="370">
        <f>#REF!</f>
      </c>
      <c r="C64" s="232"/>
      <c r="D64" s="164">
        <f>IF(#REF!&lt;&gt;"",#REF!,IF(#REF!&lt;&gt;"",#REF!,""))</f>
      </c>
      <c r="E64" s="235"/>
      <c r="F64" s="236"/>
      <c r="G64" s="236"/>
      <c r="H64" s="237"/>
      <c r="I64" s="238"/>
      <c r="J64" s="239"/>
      <c r="K64" s="240"/>
      <c r="L64" s="241"/>
      <c r="M64" s="242"/>
      <c r="N64" s="167">
        <f>#REF!</f>
      </c>
      <c r="O64" s="167">
        <f>#REF!</f>
      </c>
      <c r="P64" s="260">
        <f>#REF!</f>
      </c>
      <c r="Q64" s="168">
        <f>P64*N64</f>
      </c>
      <c r="R64" s="425">
        <f>IFERROR(Q64/$Q$166,0)</f>
      </c>
      <c r="S64" s="371">
        <f ca="1">IF($AL$5&lt;=1,0,SUM(OFFSET('rincian '!#REF!,0,0,1,$AL$5-1)))</f>
      </c>
      <c r="T64" s="425">
        <f ca="1">IFERROR(S64/N64*R64,0)</f>
      </c>
      <c r="U64" s="372" cm="1">
        <f t="array" ref="U64">IFERROR(INDEX('rincian '!#REF!,$AL$5),0)</f>
      </c>
      <c r="V64" s="425">
        <f>IFERROR(U64/N64*R64,0)</f>
      </c>
      <c r="W64" s="244">
        <f t="shared" ca="1" si="15"/>
      </c>
      <c r="X64" s="202">
        <f t="shared" ca="1" si="15"/>
      </c>
      <c r="AL64" s="460"/>
      <c r="AM64" s="460"/>
      <c r="AN64" s="460"/>
      <c r="AO64" s="460"/>
      <c r="AP64" s="460"/>
      <c r="AQ64" s="460"/>
    </row>
    <row r="65" spans="2:43" s="105" customFormat="1" ht="27" customHeight="1">
      <c r="B65" s="370">
        <f>#REF!</f>
      </c>
      <c r="C65" s="232"/>
      <c r="D65" s="164">
        <f>IF(#REF!&lt;&gt;"",#REF!,IF(#REF!&lt;&gt;"",#REF!,""))</f>
      </c>
      <c r="E65" s="235"/>
      <c r="F65" s="236"/>
      <c r="G65" s="236"/>
      <c r="H65" s="237"/>
      <c r="I65" s="238"/>
      <c r="J65" s="239"/>
      <c r="K65" s="240"/>
      <c r="L65" s="241"/>
      <c r="M65" s="242"/>
      <c r="N65" s="167">
        <f>#REF!</f>
      </c>
      <c r="O65" s="167">
        <f>#REF!</f>
      </c>
      <c r="P65" s="260">
        <f>#REF!</f>
      </c>
      <c r="Q65" s="168">
        <f>P65*N65</f>
      </c>
      <c r="R65" s="425">
        <f>IFERROR(Q65/$Q$166,0)</f>
      </c>
      <c r="S65" s="371">
        <f ca="1">IF($AL$5&lt;=1,0,SUM(OFFSET('rincian '!#REF!,0,0,1,$AL$5-1)))</f>
      </c>
      <c r="T65" s="425">
        <f ca="1">IFERROR(S65/N65*R65,0)</f>
      </c>
      <c r="U65" s="372" cm="1">
        <f t="array" ref="U65">IFERROR(INDEX('rincian '!#REF!,$AL$5),0)</f>
      </c>
      <c r="V65" s="425">
        <f>IFERROR(U65/N65*R65,0)</f>
      </c>
      <c r="W65" s="244">
        <f t="shared" ca="1" si="15"/>
      </c>
      <c r="X65" s="202">
        <f t="shared" ca="1" si="15"/>
      </c>
      <c r="AL65" s="460"/>
      <c r="AM65" s="460"/>
      <c r="AN65" s="460"/>
      <c r="AO65" s="460"/>
      <c r="AP65" s="460"/>
      <c r="AQ65" s="460"/>
    </row>
    <row r="66" spans="2:43" s="105" customFormat="1" ht="27" customHeight="1">
      <c r="B66" s="370">
        <f>#REF!</f>
      </c>
      <c r="C66" s="232"/>
      <c r="D66" s="164">
        <f>IF(#REF!&lt;&gt;"",#REF!,IF(#REF!&lt;&gt;"",#REF!,""))</f>
      </c>
      <c r="E66" s="235"/>
      <c r="F66" s="236"/>
      <c r="G66" s="236"/>
      <c r="H66" s="237"/>
      <c r="I66" s="238"/>
      <c r="J66" s="239"/>
      <c r="K66" s="240"/>
      <c r="L66" s="241"/>
      <c r="M66" s="242"/>
      <c r="N66" s="167">
        <f>#REF!</f>
      </c>
      <c r="O66" s="167">
        <f>#REF!</f>
      </c>
      <c r="P66" s="260">
        <f>#REF!</f>
      </c>
      <c r="Q66" s="168">
        <f>P66*N66</f>
      </c>
      <c r="R66" s="425">
        <f>IFERROR(Q66/$Q$166,0)</f>
      </c>
      <c r="S66" s="371">
        <f ca="1">IF($AL$5&lt;=1,0,SUM(OFFSET('rincian '!#REF!,0,0,1,$AL$5-1)))</f>
      </c>
      <c r="T66" s="425">
        <f ca="1">IFERROR(S66/N66*R66,0)</f>
      </c>
      <c r="U66" s="372" cm="1">
        <f t="array" ref="U66">IFERROR(INDEX('rincian '!#REF!,$AL$5),0)</f>
      </c>
      <c r="V66" s="425">
        <f>IFERROR(U66/N66*R66,0)</f>
      </c>
      <c r="W66" s="244">
        <f t="shared" ca="1" si="15"/>
      </c>
      <c r="X66" s="202">
        <f t="shared" ca="1" si="15"/>
      </c>
      <c r="AL66" s="460"/>
      <c r="AM66" s="460"/>
      <c r="AN66" s="460"/>
      <c r="AO66" s="460"/>
      <c r="AP66" s="460"/>
      <c r="AQ66" s="460"/>
    </row>
    <row r="67" spans="2:43" s="105" customFormat="1" ht="27" customHeight="1">
      <c r="B67" s="401">
        <f>#REF!</f>
      </c>
      <c r="C67" s="373"/>
      <c r="D67" s="374">
        <f>IF(#REF!&lt;&gt;"",#REF!,IF(#REF!&lt;&gt;"",#REF!,""))</f>
      </c>
      <c r="E67" s="375"/>
      <c r="F67" s="376"/>
      <c r="G67" s="376"/>
      <c r="H67" s="377"/>
      <c r="I67" s="378"/>
      <c r="J67" s="379"/>
      <c r="K67" s="380"/>
      <c r="L67" s="381"/>
      <c r="M67" s="382"/>
      <c r="N67" s="167"/>
      <c r="O67" s="167"/>
      <c r="P67" s="260"/>
      <c r="Q67" s="168"/>
      <c r="R67" s="425"/>
      <c r="S67" s="371"/>
      <c r="T67" s="425"/>
      <c r="U67" s="372"/>
      <c r="V67" s="425"/>
      <c r="W67" s="244"/>
      <c r="X67" s="202"/>
      <c r="AL67" s="460"/>
      <c r="AM67" s="460"/>
      <c r="AN67" s="460"/>
      <c r="AO67" s="460"/>
      <c r="AP67" s="460"/>
      <c r="AQ67" s="460"/>
    </row>
    <row r="68" spans="2:43" s="105" customFormat="1" ht="27" customHeight="1">
      <c r="B68" s="370">
        <f>#REF!</f>
      </c>
      <c r="C68" s="232"/>
      <c r="D68" s="164">
        <f>IF(#REF!&lt;&gt;"",#REF!,IF(#REF!&lt;&gt;"",#REF!,""))</f>
      </c>
      <c r="E68" s="235"/>
      <c r="F68" s="236"/>
      <c r="G68" s="236"/>
      <c r="H68" s="237"/>
      <c r="I68" s="238"/>
      <c r="J68" s="239"/>
      <c r="K68" s="240"/>
      <c r="L68" s="241"/>
      <c r="M68" s="242"/>
      <c r="N68" s="167">
        <f>#REF!</f>
      </c>
      <c r="O68" s="167">
        <f>#REF!</f>
      </c>
      <c r="P68" s="260">
        <f>#REF!</f>
      </c>
      <c r="Q68" s="168">
        <f t="shared" ref="Q68:Q78" si="16">P68*N68</f>
      </c>
      <c r="R68" s="425">
        <f t="shared" ref="R68:R78" si="17">IFERROR(Q68/$Q$166,0)</f>
      </c>
      <c r="S68" s="371">
        <f ca="1">IF($AL$5&lt;=1,0,SUM(OFFSET('rincian '!#REF!,0,0,1,$AL$5-1)))</f>
      </c>
      <c r="T68" s="425">
        <f t="shared" ref="T68:T78" ca="1" si="18">IFERROR(S68/N68*R68,0)</f>
      </c>
      <c r="U68" s="372" cm="1">
        <f t="array" ref="U68">IFERROR(INDEX('rincian '!#REF!,$AL$5),0)</f>
      </c>
      <c r="V68" s="425">
        <f t="shared" ref="V68:V78" si="19">IFERROR(U68/N68*R68,0)</f>
      </c>
      <c r="W68" s="244">
        <f t="shared" ref="W68:X78" ca="1" si="20">S68+U68</f>
      </c>
      <c r="X68" s="202">
        <f t="shared" ca="1" si="20"/>
      </c>
      <c r="AL68" s="460"/>
      <c r="AM68" s="460"/>
      <c r="AN68" s="460"/>
      <c r="AO68" s="460"/>
      <c r="AP68" s="460"/>
      <c r="AQ68" s="460"/>
    </row>
    <row r="69" spans="2:43" s="105" customFormat="1" ht="27" customHeight="1">
      <c r="B69" s="370">
        <f>#REF!</f>
      </c>
      <c r="C69" s="232"/>
      <c r="D69" s="164">
        <f>IF(#REF!&lt;&gt;"",#REF!,IF(#REF!&lt;&gt;"",#REF!,""))</f>
      </c>
      <c r="E69" s="235"/>
      <c r="F69" s="236"/>
      <c r="G69" s="236"/>
      <c r="H69" s="237"/>
      <c r="I69" s="238"/>
      <c r="J69" s="239"/>
      <c r="K69" s="240"/>
      <c r="L69" s="241"/>
      <c r="M69" s="242"/>
      <c r="N69" s="167">
        <f>#REF!</f>
      </c>
      <c r="O69" s="167">
        <f>#REF!</f>
      </c>
      <c r="P69" s="260">
        <f>#REF!</f>
      </c>
      <c r="Q69" s="168">
        <f t="shared" si="16"/>
      </c>
      <c r="R69" s="425">
        <f t="shared" si="17"/>
      </c>
      <c r="S69" s="371">
        <f ca="1">IF($AL$5&lt;=1,0,SUM(OFFSET('rincian '!#REF!,0,0,1,$AL$5-1)))</f>
      </c>
      <c r="T69" s="425">
        <f t="shared" ca="1" si="18"/>
      </c>
      <c r="U69" s="372" cm="1">
        <f t="array" ref="U69">IFERROR(INDEX('rincian '!#REF!,$AL$5),0)</f>
      </c>
      <c r="V69" s="425">
        <f t="shared" si="19"/>
      </c>
      <c r="W69" s="244">
        <f t="shared" ca="1" si="20"/>
      </c>
      <c r="X69" s="202">
        <f t="shared" ca="1" si="20"/>
      </c>
      <c r="AL69" s="460"/>
      <c r="AM69" s="460"/>
      <c r="AN69" s="460"/>
      <c r="AO69" s="460"/>
      <c r="AP69" s="460"/>
      <c r="AQ69" s="460"/>
    </row>
    <row r="70" spans="2:43" s="105" customFormat="1" ht="27" customHeight="1">
      <c r="B70" s="370">
        <f>#REF!</f>
      </c>
      <c r="C70" s="232"/>
      <c r="D70" s="164">
        <f>IF(#REF!&lt;&gt;"",#REF!,IF(#REF!&lt;&gt;"",#REF!,""))</f>
      </c>
      <c r="E70" s="235"/>
      <c r="F70" s="236"/>
      <c r="G70" s="236"/>
      <c r="H70" s="237"/>
      <c r="I70" s="238"/>
      <c r="J70" s="239"/>
      <c r="K70" s="240"/>
      <c r="L70" s="241"/>
      <c r="M70" s="242"/>
      <c r="N70" s="167">
        <f>#REF!</f>
      </c>
      <c r="O70" s="167">
        <f>#REF!</f>
      </c>
      <c r="P70" s="260">
        <f>#REF!</f>
      </c>
      <c r="Q70" s="168">
        <f t="shared" si="16"/>
      </c>
      <c r="R70" s="425">
        <f t="shared" si="17"/>
      </c>
      <c r="S70" s="371">
        <f ca="1">IF($AL$5&lt;=1,0,SUM(OFFSET('rincian '!#REF!,0,0,1,$AL$5-1)))</f>
      </c>
      <c r="T70" s="425">
        <f t="shared" ca="1" si="18"/>
      </c>
      <c r="U70" s="372" cm="1">
        <f t="array" ref="U70">IFERROR(INDEX('rincian '!#REF!,$AL$5),0)</f>
      </c>
      <c r="V70" s="425">
        <f t="shared" si="19"/>
      </c>
      <c r="W70" s="244">
        <f t="shared" ca="1" si="20"/>
      </c>
      <c r="X70" s="202">
        <f t="shared" ca="1" si="20"/>
      </c>
      <c r="AL70" s="460"/>
      <c r="AM70" s="460"/>
      <c r="AN70" s="460"/>
      <c r="AO70" s="460"/>
      <c r="AP70" s="460"/>
      <c r="AQ70" s="460"/>
    </row>
    <row r="71" spans="2:43" s="105" customFormat="1" ht="27" customHeight="1">
      <c r="B71" s="370">
        <f>#REF!</f>
      </c>
      <c r="C71" s="232"/>
      <c r="D71" s="164">
        <f>IF(#REF!&lt;&gt;"",#REF!,IF(#REF!&lt;&gt;"",#REF!,""))</f>
      </c>
      <c r="E71" s="235"/>
      <c r="F71" s="236"/>
      <c r="G71" s="236"/>
      <c r="H71" s="237"/>
      <c r="I71" s="238"/>
      <c r="J71" s="239"/>
      <c r="K71" s="240"/>
      <c r="L71" s="241"/>
      <c r="M71" s="242"/>
      <c r="N71" s="167">
        <f>#REF!</f>
      </c>
      <c r="O71" s="167">
        <f>#REF!</f>
      </c>
      <c r="P71" s="260">
        <f>#REF!</f>
      </c>
      <c r="Q71" s="168">
        <f t="shared" si="16"/>
      </c>
      <c r="R71" s="425">
        <f t="shared" si="17"/>
      </c>
      <c r="S71" s="371">
        <f ca="1">IF($AL$5&lt;=1,0,SUM(OFFSET('rincian '!#REF!,0,0,1,$AL$5-1)))</f>
      </c>
      <c r="T71" s="425">
        <f t="shared" ca="1" si="18"/>
      </c>
      <c r="U71" s="372" cm="1">
        <f t="array" ref="U71">IFERROR(INDEX('rincian '!#REF!,$AL$5),0)</f>
      </c>
      <c r="V71" s="425">
        <f t="shared" si="19"/>
      </c>
      <c r="W71" s="244">
        <f t="shared" ca="1" si="20"/>
      </c>
      <c r="X71" s="202">
        <f t="shared" ca="1" si="20"/>
      </c>
      <c r="AL71" s="460"/>
      <c r="AM71" s="460"/>
      <c r="AN71" s="460"/>
      <c r="AO71" s="460"/>
      <c r="AP71" s="460"/>
      <c r="AQ71" s="460"/>
    </row>
    <row r="72" spans="2:43" s="105" customFormat="1" ht="27" customHeight="1">
      <c r="B72" s="370">
        <f>#REF!</f>
      </c>
      <c r="C72" s="232"/>
      <c r="D72" s="164">
        <f>IF(#REF!&lt;&gt;"",#REF!,IF(#REF!&lt;&gt;"",#REF!,""))</f>
      </c>
      <c r="E72" s="235"/>
      <c r="F72" s="236"/>
      <c r="G72" s="236"/>
      <c r="H72" s="237"/>
      <c r="I72" s="238"/>
      <c r="J72" s="239"/>
      <c r="K72" s="240"/>
      <c r="L72" s="241"/>
      <c r="M72" s="242"/>
      <c r="N72" s="167">
        <f>#REF!</f>
      </c>
      <c r="O72" s="167">
        <f>#REF!</f>
      </c>
      <c r="P72" s="260">
        <f>#REF!</f>
      </c>
      <c r="Q72" s="168">
        <f t="shared" si="16"/>
      </c>
      <c r="R72" s="425">
        <f t="shared" si="17"/>
      </c>
      <c r="S72" s="371">
        <f ca="1">IF($AL$5&lt;=1,0,SUM(OFFSET('rincian '!#REF!,0,0,1,$AL$5-1)))</f>
      </c>
      <c r="T72" s="425">
        <f t="shared" ca="1" si="18"/>
      </c>
      <c r="U72" s="372" cm="1">
        <f t="array" ref="U72">IFERROR(INDEX('rincian '!#REF!,$AL$5),0)</f>
      </c>
      <c r="V72" s="425">
        <f t="shared" si="19"/>
      </c>
      <c r="W72" s="244">
        <f t="shared" ca="1" si="20"/>
      </c>
      <c r="X72" s="202">
        <f t="shared" ca="1" si="20"/>
      </c>
      <c r="AL72" s="460"/>
      <c r="AM72" s="460"/>
      <c r="AN72" s="460"/>
      <c r="AO72" s="460"/>
      <c r="AP72" s="460"/>
      <c r="AQ72" s="460"/>
    </row>
    <row r="73" spans="2:43" s="105" customFormat="1" ht="27" customHeight="1">
      <c r="B73" s="370">
        <f>#REF!</f>
      </c>
      <c r="C73" s="232"/>
      <c r="D73" s="164">
        <f>IF(#REF!&lt;&gt;"",#REF!,IF(#REF!&lt;&gt;"",#REF!,""))</f>
      </c>
      <c r="E73" s="235"/>
      <c r="F73" s="236"/>
      <c r="G73" s="236"/>
      <c r="H73" s="237"/>
      <c r="I73" s="238"/>
      <c r="J73" s="239"/>
      <c r="K73" s="240"/>
      <c r="L73" s="241"/>
      <c r="M73" s="242"/>
      <c r="N73" s="167">
        <f>#REF!</f>
      </c>
      <c r="O73" s="167">
        <f>#REF!</f>
      </c>
      <c r="P73" s="260">
        <f>#REF!</f>
      </c>
      <c r="Q73" s="168">
        <f t="shared" si="16"/>
      </c>
      <c r="R73" s="425">
        <f t="shared" si="17"/>
      </c>
      <c r="S73" s="371">
        <f ca="1">IF($AL$5&lt;=1,0,SUM(OFFSET('rincian '!#REF!,0,0,1,$AL$5-1)))</f>
      </c>
      <c r="T73" s="425">
        <f t="shared" ca="1" si="18"/>
      </c>
      <c r="U73" s="372" cm="1">
        <f t="array" ref="U73">IFERROR(INDEX('rincian '!#REF!,$AL$5),0)</f>
      </c>
      <c r="V73" s="425">
        <f t="shared" si="19"/>
      </c>
      <c r="W73" s="244">
        <f t="shared" ca="1" si="20"/>
      </c>
      <c r="X73" s="202">
        <f t="shared" ca="1" si="20"/>
      </c>
      <c r="AL73" s="460"/>
      <c r="AM73" s="460"/>
      <c r="AN73" s="460"/>
      <c r="AO73" s="460"/>
      <c r="AP73" s="460"/>
      <c r="AQ73" s="460"/>
    </row>
    <row r="74" spans="2:43" s="105" customFormat="1" ht="27" customHeight="1">
      <c r="B74" s="370">
        <f>#REF!</f>
      </c>
      <c r="C74" s="232"/>
      <c r="D74" s="164">
        <f>IF(#REF!&lt;&gt;"",#REF!,IF(#REF!&lt;&gt;"",#REF!,""))</f>
      </c>
      <c r="E74" s="235"/>
      <c r="F74" s="236"/>
      <c r="G74" s="236"/>
      <c r="H74" s="237"/>
      <c r="I74" s="238"/>
      <c r="J74" s="239"/>
      <c r="K74" s="240"/>
      <c r="L74" s="241"/>
      <c r="M74" s="242"/>
      <c r="N74" s="167">
        <f>#REF!</f>
      </c>
      <c r="O74" s="167">
        <f>#REF!</f>
      </c>
      <c r="P74" s="260">
        <f>#REF!</f>
      </c>
      <c r="Q74" s="168">
        <f t="shared" si="16"/>
      </c>
      <c r="R74" s="425">
        <f t="shared" si="17"/>
      </c>
      <c r="S74" s="371">
        <f ca="1">IF($AL$5&lt;=1,0,SUM(OFFSET('rincian '!#REF!,0,0,1,$AL$5-1)))</f>
      </c>
      <c r="T74" s="425">
        <f t="shared" ca="1" si="18"/>
      </c>
      <c r="U74" s="372" cm="1">
        <f t="array" ref="U74">IFERROR(INDEX('rincian '!#REF!,$AL$5),0)</f>
      </c>
      <c r="V74" s="425">
        <f t="shared" si="19"/>
      </c>
      <c r="W74" s="244">
        <f t="shared" ca="1" si="20"/>
      </c>
      <c r="X74" s="202">
        <f t="shared" ca="1" si="20"/>
      </c>
      <c r="AL74" s="460"/>
      <c r="AM74" s="460"/>
      <c r="AN74" s="460"/>
      <c r="AO74" s="460"/>
      <c r="AP74" s="460"/>
      <c r="AQ74" s="460"/>
    </row>
    <row r="75" spans="2:43" s="105" customFormat="1" ht="27" customHeight="1">
      <c r="B75" s="370">
        <f>#REF!</f>
      </c>
      <c r="C75" s="232"/>
      <c r="D75" s="164">
        <f>IF(#REF!&lt;&gt;"",#REF!,IF(#REF!&lt;&gt;"",#REF!,""))</f>
      </c>
      <c r="E75" s="235"/>
      <c r="F75" s="236"/>
      <c r="G75" s="236"/>
      <c r="H75" s="237"/>
      <c r="I75" s="238"/>
      <c r="J75" s="239"/>
      <c r="K75" s="240"/>
      <c r="L75" s="241"/>
      <c r="M75" s="242"/>
      <c r="N75" s="167">
        <f>#REF!</f>
      </c>
      <c r="O75" s="167">
        <f>#REF!</f>
      </c>
      <c r="P75" s="260">
        <f>#REF!</f>
      </c>
      <c r="Q75" s="168">
        <f t="shared" si="16"/>
      </c>
      <c r="R75" s="425">
        <f t="shared" si="17"/>
      </c>
      <c r="S75" s="371">
        <f ca="1">IF($AL$5&lt;=1,0,SUM(OFFSET('rincian '!#REF!,0,0,1,$AL$5-1)))</f>
      </c>
      <c r="T75" s="425">
        <f t="shared" ca="1" si="18"/>
      </c>
      <c r="U75" s="372" cm="1">
        <f t="array" ref="U75">IFERROR(INDEX('rincian '!#REF!,$AL$5),0)</f>
      </c>
      <c r="V75" s="425">
        <f t="shared" si="19"/>
      </c>
      <c r="W75" s="244">
        <f t="shared" ca="1" si="20"/>
      </c>
      <c r="X75" s="202">
        <f t="shared" ca="1" si="20"/>
      </c>
      <c r="AL75" s="460"/>
      <c r="AM75" s="460"/>
      <c r="AN75" s="460"/>
      <c r="AO75" s="460"/>
      <c r="AP75" s="460"/>
      <c r="AQ75" s="460"/>
    </row>
    <row r="76" spans="2:43" s="105" customFormat="1" ht="27" customHeight="1">
      <c r="B76" s="370">
        <f>#REF!</f>
      </c>
      <c r="C76" s="232"/>
      <c r="D76" s="164">
        <f>IF(#REF!&lt;&gt;"",#REF!,IF(#REF!&lt;&gt;"",#REF!,""))</f>
      </c>
      <c r="E76" s="235"/>
      <c r="F76" s="236"/>
      <c r="G76" s="236"/>
      <c r="H76" s="237"/>
      <c r="I76" s="238"/>
      <c r="J76" s="239"/>
      <c r="K76" s="240"/>
      <c r="L76" s="241"/>
      <c r="M76" s="242"/>
      <c r="N76" s="167">
        <f>#REF!</f>
      </c>
      <c r="O76" s="167">
        <f>#REF!</f>
      </c>
      <c r="P76" s="260">
        <f>#REF!</f>
      </c>
      <c r="Q76" s="168">
        <f t="shared" si="16"/>
      </c>
      <c r="R76" s="425">
        <f t="shared" si="17"/>
      </c>
      <c r="S76" s="371">
        <f ca="1">IF($AL$5&lt;=1,0,SUM(OFFSET('rincian '!#REF!,0,0,1,$AL$5-1)))</f>
      </c>
      <c r="T76" s="425">
        <f t="shared" ca="1" si="18"/>
      </c>
      <c r="U76" s="372" cm="1">
        <f t="array" ref="U76">IFERROR(INDEX('rincian '!#REF!,$AL$5),0)</f>
      </c>
      <c r="V76" s="425">
        <f t="shared" si="19"/>
      </c>
      <c r="W76" s="244">
        <f t="shared" ca="1" si="20"/>
      </c>
      <c r="X76" s="202">
        <f t="shared" ca="1" si="20"/>
      </c>
      <c r="AL76" s="460"/>
      <c r="AM76" s="460"/>
      <c r="AN76" s="460"/>
      <c r="AO76" s="460"/>
      <c r="AP76" s="460"/>
      <c r="AQ76" s="460"/>
    </row>
    <row r="77" spans="2:43" s="105" customFormat="1" ht="27" customHeight="1">
      <c r="B77" s="370">
        <f>#REF!</f>
      </c>
      <c r="C77" s="232"/>
      <c r="D77" s="164">
        <f>IF(#REF!&lt;&gt;"",#REF!,IF(#REF!&lt;&gt;"",#REF!,""))</f>
      </c>
      <c r="E77" s="235"/>
      <c r="F77" s="236"/>
      <c r="G77" s="236"/>
      <c r="H77" s="237"/>
      <c r="I77" s="238"/>
      <c r="J77" s="239"/>
      <c r="K77" s="240"/>
      <c r="L77" s="241"/>
      <c r="M77" s="242"/>
      <c r="N77" s="167">
        <f>#REF!</f>
      </c>
      <c r="O77" s="167">
        <f>#REF!</f>
      </c>
      <c r="P77" s="260">
        <f>#REF!</f>
      </c>
      <c r="Q77" s="168">
        <f t="shared" si="16"/>
      </c>
      <c r="R77" s="425">
        <f t="shared" si="17"/>
      </c>
      <c r="S77" s="371">
        <f ca="1">IF($AL$5&lt;=1,0,SUM(OFFSET('rincian '!#REF!,0,0,1,$AL$5-1)))</f>
      </c>
      <c r="T77" s="425">
        <f t="shared" ca="1" si="18"/>
      </c>
      <c r="U77" s="372" cm="1">
        <f t="array" ref="U77">IFERROR(INDEX('rincian '!#REF!,$AL$5),0)</f>
      </c>
      <c r="V77" s="425">
        <f t="shared" si="19"/>
      </c>
      <c r="W77" s="244">
        <f t="shared" ca="1" si="20"/>
      </c>
      <c r="X77" s="202">
        <f t="shared" ca="1" si="20"/>
      </c>
      <c r="AL77" s="460"/>
      <c r="AM77" s="460"/>
      <c r="AN77" s="460"/>
      <c r="AO77" s="460"/>
      <c r="AP77" s="460"/>
      <c r="AQ77" s="460"/>
    </row>
    <row r="78" spans="2:43" s="105" customFormat="1" ht="27" customHeight="1">
      <c r="B78" s="370">
        <f>#REF!</f>
      </c>
      <c r="C78" s="232"/>
      <c r="D78" s="164">
        <f>IF(#REF!&lt;&gt;"",#REF!,IF(#REF!&lt;&gt;"",#REF!,""))</f>
      </c>
      <c r="E78" s="235"/>
      <c r="F78" s="236"/>
      <c r="G78" s="236"/>
      <c r="H78" s="237"/>
      <c r="I78" s="238"/>
      <c r="J78" s="239"/>
      <c r="K78" s="240"/>
      <c r="L78" s="241"/>
      <c r="M78" s="242"/>
      <c r="N78" s="167">
        <f>#REF!</f>
      </c>
      <c r="O78" s="167">
        <f>#REF!</f>
      </c>
      <c r="P78" s="260">
        <f>#REF!</f>
      </c>
      <c r="Q78" s="168">
        <f t="shared" si="16"/>
      </c>
      <c r="R78" s="425">
        <f t="shared" si="17"/>
      </c>
      <c r="S78" s="371">
        <f ca="1">IF($AL$5&lt;=1,0,SUM(OFFSET('rincian '!#REF!,0,0,1,$AL$5-1)))</f>
      </c>
      <c r="T78" s="425">
        <f t="shared" ca="1" si="18"/>
      </c>
      <c r="U78" s="372" cm="1">
        <f t="array" ref="U78">IFERROR(INDEX('rincian '!#REF!,$AL$5),0)</f>
      </c>
      <c r="V78" s="425">
        <f t="shared" si="19"/>
      </c>
      <c r="W78" s="244">
        <f t="shared" ca="1" si="20"/>
      </c>
      <c r="X78" s="202">
        <f t="shared" ca="1" si="20"/>
      </c>
      <c r="AL78" s="460"/>
      <c r="AM78" s="460"/>
      <c r="AN78" s="460"/>
      <c r="AO78" s="460"/>
      <c r="AP78" s="460"/>
      <c r="AQ78" s="460"/>
    </row>
    <row r="79" spans="2:43" s="105" customFormat="1" ht="27" customHeight="1">
      <c r="B79" s="402">
        <f>#REF!</f>
      </c>
      <c r="C79" s="384"/>
      <c r="D79" s="385">
        <f>IF(#REF!&lt;&gt;"",#REF!,IF(#REF!&lt;&gt;"",#REF!,""))</f>
      </c>
      <c r="E79" s="386"/>
      <c r="F79" s="387"/>
      <c r="G79" s="387"/>
      <c r="H79" s="388"/>
      <c r="I79" s="389"/>
      <c r="J79" s="390"/>
      <c r="K79" s="391"/>
      <c r="L79" s="392"/>
      <c r="M79" s="393"/>
      <c r="N79" s="394"/>
      <c r="O79" s="394"/>
      <c r="P79" s="395"/>
      <c r="Q79" s="396"/>
      <c r="R79" s="426"/>
      <c r="S79" s="403"/>
      <c r="T79" s="426"/>
      <c r="U79" s="403"/>
      <c r="V79" s="426"/>
      <c r="W79" s="399"/>
      <c r="X79" s="400"/>
      <c r="AL79" s="460"/>
      <c r="AM79" s="460"/>
      <c r="AN79" s="460"/>
      <c r="AO79" s="460"/>
      <c r="AP79" s="460"/>
      <c r="AQ79" s="460"/>
    </row>
    <row r="80" spans="2:43" s="105" customFormat="1" ht="27" customHeight="1">
      <c r="B80" s="401">
        <f>#REF!</f>
      </c>
      <c r="C80" s="373"/>
      <c r="D80" s="374">
        <f>IF(#REF!&lt;&gt;"",#REF!,IF(#REF!&lt;&gt;"",#REF!,""))</f>
      </c>
      <c r="E80" s="375"/>
      <c r="F80" s="376"/>
      <c r="G80" s="376"/>
      <c r="H80" s="377"/>
      <c r="I80" s="378"/>
      <c r="J80" s="379"/>
      <c r="K80" s="380"/>
      <c r="L80" s="381"/>
      <c r="M80" s="382"/>
      <c r="N80" s="167"/>
      <c r="O80" s="167"/>
      <c r="P80" s="260"/>
      <c r="Q80" s="168"/>
      <c r="R80" s="425"/>
      <c r="S80" s="371"/>
      <c r="T80" s="425"/>
      <c r="U80" s="372"/>
      <c r="V80" s="425"/>
      <c r="W80" s="244"/>
      <c r="X80" s="202"/>
      <c r="AL80" s="460"/>
      <c r="AM80" s="460"/>
      <c r="AN80" s="460"/>
      <c r="AO80" s="460"/>
      <c r="AP80" s="460"/>
      <c r="AQ80" s="460"/>
    </row>
    <row r="81" spans="2:43" s="105" customFormat="1" ht="27" customHeight="1">
      <c r="B81" s="370">
        <f>#REF!</f>
      </c>
      <c r="C81" s="232"/>
      <c r="D81" s="164">
        <f>IF(#REF!&lt;&gt;"",#REF!,IF(#REF!&lt;&gt;"",#REF!,""))</f>
      </c>
      <c r="E81" s="235"/>
      <c r="F81" s="236"/>
      <c r="G81" s="236"/>
      <c r="H81" s="237"/>
      <c r="I81" s="238"/>
      <c r="J81" s="239"/>
      <c r="K81" s="240"/>
      <c r="L81" s="241"/>
      <c r="M81" s="242"/>
      <c r="N81" s="167">
        <f>#REF!</f>
      </c>
      <c r="O81" s="167">
        <f>#REF!</f>
      </c>
      <c r="P81" s="260">
        <f>#REF!</f>
      </c>
      <c r="Q81" s="168">
        <f>P81*N81</f>
      </c>
      <c r="R81" s="425">
        <f>IFERROR(Q81/$Q$166,0)</f>
      </c>
      <c r="S81" s="371">
        <f ca="1">IF($AL$5&lt;=1,0,SUM(OFFSET('rincian '!#REF!,0,0,1,$AL$5-1)))</f>
      </c>
      <c r="T81" s="425">
        <f ca="1">IFERROR(S81/N81*R81,0)</f>
      </c>
      <c r="U81" s="372" cm="1">
        <f t="array" ref="U81">IFERROR(INDEX('rincian '!#REF!,$AL$5),0)</f>
      </c>
      <c r="V81" s="425">
        <f>IFERROR(U81/N81*R81,0)</f>
      </c>
      <c r="W81" s="244">
        <f ca="1">S81+U81</f>
      </c>
      <c r="X81" s="202">
        <f ca="1">T81+V81</f>
      </c>
      <c r="AL81" s="460"/>
      <c r="AM81" s="460"/>
      <c r="AN81" s="460"/>
      <c r="AO81" s="460"/>
      <c r="AP81" s="460"/>
      <c r="AQ81" s="460"/>
    </row>
    <row r="82" spans="2:43" s="105" customFormat="1" ht="27" customHeight="1">
      <c r="B82" s="370">
        <f>#REF!</f>
      </c>
      <c r="C82" s="232"/>
      <c r="D82" s="164">
        <f>IF(#REF!&lt;&gt;"",#REF!,IF(#REF!&lt;&gt;"",#REF!,""))</f>
      </c>
      <c r="E82" s="235"/>
      <c r="F82" s="236"/>
      <c r="G82" s="236"/>
      <c r="H82" s="237"/>
      <c r="I82" s="238"/>
      <c r="J82" s="239"/>
      <c r="K82" s="240"/>
      <c r="L82" s="241"/>
      <c r="M82" s="242"/>
      <c r="N82" s="167">
        <f>#REF!</f>
      </c>
      <c r="O82" s="167">
        <f>#REF!</f>
      </c>
      <c r="P82" s="260">
        <f>#REF!</f>
      </c>
      <c r="Q82" s="168">
        <f>P82*N82</f>
      </c>
      <c r="R82" s="425">
        <f>IFERROR(Q82/$Q$166,0)</f>
      </c>
      <c r="S82" s="371">
        <f ca="1">IF($AL$5&lt;=1,0,SUM(OFFSET('rincian '!#REF!,0,0,1,$AL$5-1)))</f>
      </c>
      <c r="T82" s="425">
        <f ca="1">IFERROR(S82/N82*R82,0)</f>
      </c>
      <c r="U82" s="372" cm="1">
        <f t="array" ref="U82">IFERROR(INDEX('rincian '!#REF!,$AL$5),0)</f>
      </c>
      <c r="V82" s="425">
        <f>IFERROR(U82/N82*R82,0)</f>
      </c>
      <c r="W82" s="244">
        <f ca="1">S82+U82</f>
      </c>
      <c r="X82" s="202">
        <f ca="1">T82+V82</f>
      </c>
      <c r="AL82" s="460"/>
      <c r="AM82" s="460"/>
      <c r="AN82" s="460"/>
      <c r="AO82" s="460"/>
      <c r="AP82" s="460"/>
      <c r="AQ82" s="460"/>
    </row>
    <row r="83" spans="2:43" s="105" customFormat="1" ht="27" customHeight="1">
      <c r="B83" s="401">
        <f>#REF!</f>
      </c>
      <c r="C83" s="373"/>
      <c r="D83" s="374">
        <f>IF(#REF!&lt;&gt;"",#REF!,IF(#REF!&lt;&gt;"",#REF!,""))</f>
      </c>
      <c r="E83" s="375"/>
      <c r="F83" s="376"/>
      <c r="G83" s="376"/>
      <c r="H83" s="377"/>
      <c r="I83" s="378"/>
      <c r="J83" s="379"/>
      <c r="K83" s="380"/>
      <c r="L83" s="381"/>
      <c r="M83" s="382"/>
      <c r="N83" s="167"/>
      <c r="O83" s="167"/>
      <c r="P83" s="260"/>
      <c r="Q83" s="168"/>
      <c r="R83" s="425"/>
      <c r="S83" s="371"/>
      <c r="T83" s="425"/>
      <c r="U83" s="372"/>
      <c r="V83" s="425"/>
      <c r="W83" s="244"/>
      <c r="X83" s="202"/>
      <c r="AL83" s="460"/>
      <c r="AM83" s="460"/>
      <c r="AN83" s="460"/>
      <c r="AO83" s="460"/>
      <c r="AP83" s="460"/>
      <c r="AQ83" s="460"/>
    </row>
    <row r="84" spans="2:43" s="105" customFormat="1" ht="27" customHeight="1">
      <c r="B84" s="370">
        <f>#REF!</f>
      </c>
      <c r="C84" s="232"/>
      <c r="D84" s="164">
        <f>IF(#REF!&lt;&gt;"",#REF!,IF(#REF!&lt;&gt;"",#REF!,""))</f>
      </c>
      <c r="E84" s="235"/>
      <c r="F84" s="236"/>
      <c r="G84" s="236"/>
      <c r="H84" s="237"/>
      <c r="I84" s="238"/>
      <c r="J84" s="239"/>
      <c r="K84" s="240"/>
      <c r="L84" s="241"/>
      <c r="M84" s="242"/>
      <c r="N84" s="167">
        <f>#REF!</f>
      </c>
      <c r="O84" s="167">
        <f>#REF!</f>
      </c>
      <c r="P84" s="260">
        <f>#REF!</f>
      </c>
      <c r="Q84" s="168">
        <f>P84*N84</f>
      </c>
      <c r="R84" s="425">
        <f>IFERROR(Q84/$Q$166,0)</f>
      </c>
      <c r="S84" s="371">
        <f ca="1">IF($AL$5&lt;=1,0,SUM(OFFSET('rincian '!#REF!,0,0,1,$AL$5-1)))</f>
      </c>
      <c r="T84" s="425">
        <f ca="1">IFERROR(S84/N84*R84,0)</f>
      </c>
      <c r="U84" s="372" cm="1">
        <f t="array" ref="U84">IFERROR(INDEX('rincian '!#REF!,$AL$5),0)</f>
      </c>
      <c r="V84" s="425">
        <f>IFERROR(U84/N84*R84,0)</f>
      </c>
      <c r="W84" s="244">
        <f t="shared" ref="W84:X86" ca="1" si="21">S84+U84</f>
      </c>
      <c r="X84" s="202">
        <f t="shared" ca="1" si="21"/>
      </c>
      <c r="AL84" s="460"/>
      <c r="AM84" s="460"/>
      <c r="AN84" s="460"/>
      <c r="AO84" s="460"/>
      <c r="AP84" s="460"/>
      <c r="AQ84" s="460"/>
    </row>
    <row r="85" spans="2:43" s="105" customFormat="1" ht="27" customHeight="1">
      <c r="B85" s="370">
        <f>#REF!</f>
      </c>
      <c r="C85" s="232"/>
      <c r="D85" s="164">
        <f>IF(#REF!&lt;&gt;"",#REF!,IF(#REF!&lt;&gt;"",#REF!,""))</f>
      </c>
      <c r="E85" s="235"/>
      <c r="F85" s="236"/>
      <c r="G85" s="236"/>
      <c r="H85" s="237"/>
      <c r="I85" s="238"/>
      <c r="J85" s="239"/>
      <c r="K85" s="240"/>
      <c r="L85" s="241"/>
      <c r="M85" s="242"/>
      <c r="N85" s="167">
        <f>#REF!</f>
      </c>
      <c r="O85" s="167">
        <f>#REF!</f>
      </c>
      <c r="P85" s="260">
        <f>#REF!</f>
      </c>
      <c r="Q85" s="168">
        <f>P85*N85</f>
      </c>
      <c r="R85" s="425">
        <f>IFERROR(Q85/$Q$166,0)</f>
      </c>
      <c r="S85" s="371">
        <f ca="1">IF($AL$5&lt;=1,0,SUM(OFFSET('rincian '!#REF!,0,0,1,$AL$5-1)))</f>
      </c>
      <c r="T85" s="425">
        <f ca="1">IFERROR(S85/N85*R85,0)</f>
      </c>
      <c r="U85" s="372" cm="1">
        <f t="array" ref="U85">IFERROR(INDEX('rincian '!#REF!,$AL$5),0)</f>
      </c>
      <c r="V85" s="425">
        <f>IFERROR(U85/N85*R85,0)</f>
      </c>
      <c r="W85" s="244">
        <f t="shared" ca="1" si="21"/>
      </c>
      <c r="X85" s="202">
        <f t="shared" ca="1" si="21"/>
      </c>
      <c r="AL85" s="460"/>
      <c r="AM85" s="460"/>
      <c r="AN85" s="460"/>
      <c r="AO85" s="460"/>
      <c r="AP85" s="460"/>
      <c r="AQ85" s="460"/>
    </row>
    <row r="86" spans="2:43" s="105" customFormat="1" ht="27" customHeight="1">
      <c r="B86" s="370">
        <f>#REF!</f>
      </c>
      <c r="C86" s="232"/>
      <c r="D86" s="164">
        <f>IF(#REF!&lt;&gt;"",#REF!,IF(#REF!&lt;&gt;"",#REF!,""))</f>
      </c>
      <c r="E86" s="235"/>
      <c r="F86" s="236"/>
      <c r="G86" s="236"/>
      <c r="H86" s="237"/>
      <c r="I86" s="238"/>
      <c r="J86" s="239"/>
      <c r="K86" s="240"/>
      <c r="L86" s="241"/>
      <c r="M86" s="242"/>
      <c r="N86" s="167">
        <f>#REF!</f>
      </c>
      <c r="O86" s="167">
        <f>#REF!</f>
      </c>
      <c r="P86" s="260">
        <f>#REF!</f>
      </c>
      <c r="Q86" s="168">
        <f>P86*N86</f>
      </c>
      <c r="R86" s="425">
        <f>IFERROR(Q86/$Q$166,0)</f>
      </c>
      <c r="S86" s="371">
        <f ca="1">IF($AL$5&lt;=1,0,SUM(OFFSET('rincian '!#REF!,0,0,1,$AL$5-1)))</f>
      </c>
      <c r="T86" s="425">
        <f ca="1">IFERROR(S86/N86*R86,0)</f>
      </c>
      <c r="U86" s="372" cm="1">
        <f t="array" ref="U86">IFERROR(INDEX('rincian '!#REF!,$AL$5),0)</f>
      </c>
      <c r="V86" s="425">
        <f>IFERROR(U86/N86*R86,0)</f>
      </c>
      <c r="W86" s="244">
        <f t="shared" ca="1" si="21"/>
      </c>
      <c r="X86" s="202">
        <f t="shared" ca="1" si="21"/>
      </c>
      <c r="AL86" s="460"/>
      <c r="AM86" s="460"/>
      <c r="AN86" s="460"/>
      <c r="AO86" s="460"/>
      <c r="AP86" s="460"/>
      <c r="AQ86" s="460"/>
    </row>
    <row r="87" spans="2:43" s="105" customFormat="1" ht="27" customHeight="1">
      <c r="B87" s="401">
        <f>#REF!</f>
      </c>
      <c r="C87" s="373"/>
      <c r="D87" s="374">
        <f>IF(#REF!&lt;&gt;"",#REF!,IF(#REF!&lt;&gt;"",#REF!,""))</f>
      </c>
      <c r="E87" s="375"/>
      <c r="F87" s="376"/>
      <c r="G87" s="376"/>
      <c r="H87" s="377"/>
      <c r="I87" s="378"/>
      <c r="J87" s="379"/>
      <c r="K87" s="380"/>
      <c r="L87" s="381"/>
      <c r="M87" s="382"/>
      <c r="N87" s="167"/>
      <c r="O87" s="167"/>
      <c r="P87" s="260"/>
      <c r="Q87" s="168"/>
      <c r="R87" s="425"/>
      <c r="S87" s="371"/>
      <c r="T87" s="425"/>
      <c r="U87" s="372"/>
      <c r="V87" s="425"/>
      <c r="W87" s="244"/>
      <c r="X87" s="202"/>
      <c r="AL87" s="460"/>
      <c r="AM87" s="460"/>
      <c r="AN87" s="460"/>
      <c r="AO87" s="460"/>
      <c r="AP87" s="460"/>
      <c r="AQ87" s="460"/>
    </row>
    <row r="88" spans="2:43" s="105" customFormat="1" ht="27" customHeight="1">
      <c r="B88" s="370">
        <f>#REF!</f>
      </c>
      <c r="C88" s="232"/>
      <c r="D88" s="164">
        <f>IF(#REF!&lt;&gt;"",#REF!,IF(#REF!&lt;&gt;"",#REF!,""))</f>
      </c>
      <c r="E88" s="235"/>
      <c r="F88" s="236"/>
      <c r="G88" s="236"/>
      <c r="H88" s="237"/>
      <c r="I88" s="238"/>
      <c r="J88" s="239"/>
      <c r="K88" s="240"/>
      <c r="L88" s="241"/>
      <c r="M88" s="242"/>
      <c r="N88" s="167">
        <f>#REF!</f>
      </c>
      <c r="O88" s="167">
        <f>#REF!</f>
      </c>
      <c r="P88" s="260">
        <f>#REF!</f>
      </c>
      <c r="Q88" s="168">
        <f>P88*N88</f>
      </c>
      <c r="R88" s="425">
        <f>IFERROR(Q88/$Q$166,0)</f>
      </c>
      <c r="S88" s="371">
        <f ca="1">IF($AL$5&lt;=1,0,SUM(OFFSET('rincian '!#REF!,0,0,1,$AL$5-1)))</f>
      </c>
      <c r="T88" s="425">
        <f ca="1">IFERROR(S88/N88*R88,0)</f>
      </c>
      <c r="U88" s="372" cm="1">
        <f t="array" ref="U88">IFERROR(INDEX('rincian '!#REF!,$AL$5),0)</f>
      </c>
      <c r="V88" s="425">
        <f>IFERROR(U88/N88*R88,0)</f>
      </c>
      <c r="W88" s="244">
        <f t="shared" ref="W88:X91" ca="1" si="22">S88+U88</f>
      </c>
      <c r="X88" s="202">
        <f t="shared" ca="1" si="22"/>
      </c>
      <c r="AL88" s="460"/>
      <c r="AM88" s="460"/>
      <c r="AN88" s="460"/>
      <c r="AO88" s="460"/>
      <c r="AP88" s="460"/>
      <c r="AQ88" s="460"/>
    </row>
    <row r="89" spans="2:43" s="105" customFormat="1" ht="27" customHeight="1">
      <c r="B89" s="370">
        <f>#REF!</f>
      </c>
      <c r="C89" s="232"/>
      <c r="D89" s="164">
        <f>IF(#REF!&lt;&gt;"",#REF!,IF(#REF!&lt;&gt;"",#REF!,""))</f>
      </c>
      <c r="E89" s="235"/>
      <c r="F89" s="236"/>
      <c r="G89" s="236"/>
      <c r="H89" s="237"/>
      <c r="I89" s="238"/>
      <c r="J89" s="239"/>
      <c r="K89" s="240"/>
      <c r="L89" s="241"/>
      <c r="M89" s="242"/>
      <c r="N89" s="167">
        <f>#REF!</f>
      </c>
      <c r="O89" s="167">
        <f>#REF!</f>
      </c>
      <c r="P89" s="260">
        <f>#REF!</f>
      </c>
      <c r="Q89" s="168">
        <f>P89*N89</f>
      </c>
      <c r="R89" s="425">
        <f>IFERROR(Q89/$Q$166,0)</f>
      </c>
      <c r="S89" s="371">
        <f ca="1">IF($AL$5&lt;=1,0,SUM(OFFSET('rincian '!#REF!,0,0,1,$AL$5-1)))</f>
      </c>
      <c r="T89" s="425">
        <f ca="1">IFERROR(S89/N89*R89,0)</f>
      </c>
      <c r="U89" s="372" cm="1">
        <f t="array" ref="U89">IFERROR(INDEX('rincian '!#REF!,$AL$5),0)</f>
      </c>
      <c r="V89" s="425">
        <f>IFERROR(U89/N89*R89,0)</f>
      </c>
      <c r="W89" s="244">
        <f t="shared" ca="1" si="22"/>
      </c>
      <c r="X89" s="202">
        <f t="shared" ca="1" si="22"/>
      </c>
      <c r="AL89" s="460"/>
      <c r="AM89" s="460"/>
      <c r="AN89" s="460"/>
      <c r="AO89" s="460"/>
      <c r="AP89" s="460"/>
      <c r="AQ89" s="460"/>
    </row>
    <row r="90" spans="2:43" s="105" customFormat="1" ht="27" customHeight="1">
      <c r="B90" s="370">
        <f>#REF!</f>
      </c>
      <c r="C90" s="232"/>
      <c r="D90" s="164">
        <f>IF(#REF!&lt;&gt;"",#REF!,IF(#REF!&lt;&gt;"",#REF!,""))</f>
      </c>
      <c r="E90" s="235"/>
      <c r="F90" s="236"/>
      <c r="G90" s="236"/>
      <c r="H90" s="237"/>
      <c r="I90" s="238"/>
      <c r="J90" s="239"/>
      <c r="K90" s="240"/>
      <c r="L90" s="241"/>
      <c r="M90" s="242"/>
      <c r="N90" s="167">
        <f>#REF!</f>
      </c>
      <c r="O90" s="167">
        <f>#REF!</f>
      </c>
      <c r="P90" s="260">
        <f>#REF!</f>
      </c>
      <c r="Q90" s="168">
        <f>P90*N90</f>
      </c>
      <c r="R90" s="425">
        <f>IFERROR(Q90/$Q$166,0)</f>
      </c>
      <c r="S90" s="371">
        <f ca="1">IF($AL$5&lt;=1,0,SUM(OFFSET('rincian '!#REF!,0,0,1,$AL$5-1)))</f>
      </c>
      <c r="T90" s="425">
        <f ca="1">IFERROR(S90/N90*R90,0)</f>
      </c>
      <c r="U90" s="372" cm="1">
        <f t="array" ref="U90">IFERROR(INDEX('rincian '!#REF!,$AL$5),0)</f>
      </c>
      <c r="V90" s="425">
        <f>IFERROR(U90/N90*R90,0)</f>
      </c>
      <c r="W90" s="244">
        <f t="shared" ca="1" si="22"/>
      </c>
      <c r="X90" s="202">
        <f t="shared" ca="1" si="22"/>
      </c>
      <c r="AL90" s="460"/>
      <c r="AM90" s="460"/>
      <c r="AN90" s="460"/>
      <c r="AO90" s="460"/>
      <c r="AP90" s="460"/>
      <c r="AQ90" s="460"/>
    </row>
    <row r="91" spans="2:43" s="105" customFormat="1" ht="27" customHeight="1">
      <c r="B91" s="370">
        <f>#REF!</f>
      </c>
      <c r="C91" s="232"/>
      <c r="D91" s="164">
        <f>IF(#REF!&lt;&gt;"",#REF!,IF(#REF!&lt;&gt;"",#REF!,""))</f>
      </c>
      <c r="E91" s="235"/>
      <c r="F91" s="236"/>
      <c r="G91" s="236"/>
      <c r="H91" s="237"/>
      <c r="I91" s="238"/>
      <c r="J91" s="239"/>
      <c r="K91" s="240"/>
      <c r="L91" s="241"/>
      <c r="M91" s="242"/>
      <c r="N91" s="167">
        <f>#REF!</f>
      </c>
      <c r="O91" s="167">
        <f>#REF!</f>
      </c>
      <c r="P91" s="260">
        <f>#REF!</f>
      </c>
      <c r="Q91" s="168">
        <f>P91*N91</f>
      </c>
      <c r="R91" s="425">
        <f>IFERROR(Q91/$Q$166,0)</f>
      </c>
      <c r="S91" s="371">
        <f ca="1">IF($AL$5&lt;=1,0,SUM(OFFSET('rincian '!#REF!,0,0,1,$AL$5-1)))</f>
      </c>
      <c r="T91" s="425">
        <f ca="1">IFERROR(S91/N91*R91,0)</f>
      </c>
      <c r="U91" s="372" cm="1">
        <f t="array" ref="U91">IFERROR(INDEX('rincian '!#REF!,$AL$5),0)</f>
      </c>
      <c r="V91" s="425">
        <f>IFERROR(U91/N91*R91,0)</f>
      </c>
      <c r="W91" s="244">
        <f t="shared" ca="1" si="22"/>
      </c>
      <c r="X91" s="202">
        <f t="shared" ca="1" si="22"/>
      </c>
      <c r="AL91" s="460"/>
      <c r="AM91" s="460"/>
      <c r="AN91" s="460"/>
      <c r="AO91" s="460"/>
      <c r="AP91" s="460"/>
      <c r="AQ91" s="460"/>
    </row>
    <row r="92" spans="2:43" s="105" customFormat="1" ht="27" customHeight="1">
      <c r="B92" s="401">
        <f>#REF!</f>
      </c>
      <c r="C92" s="373"/>
      <c r="D92" s="374">
        <f>IF(#REF!&lt;&gt;"",#REF!,IF(#REF!&lt;&gt;"",#REF!,""))</f>
      </c>
      <c r="E92" s="375"/>
      <c r="F92" s="376"/>
      <c r="G92" s="376"/>
      <c r="H92" s="377"/>
      <c r="I92" s="378"/>
      <c r="J92" s="379"/>
      <c r="K92" s="380"/>
      <c r="L92" s="381"/>
      <c r="M92" s="382"/>
      <c r="N92" s="167"/>
      <c r="O92" s="167"/>
      <c r="P92" s="260"/>
      <c r="Q92" s="168"/>
      <c r="R92" s="425"/>
      <c r="S92" s="371"/>
      <c r="T92" s="425"/>
      <c r="U92" s="372"/>
      <c r="V92" s="425"/>
      <c r="W92" s="244"/>
      <c r="X92" s="202"/>
      <c r="AL92" s="460"/>
      <c r="AM92" s="460"/>
      <c r="AN92" s="460"/>
      <c r="AO92" s="460"/>
      <c r="AP92" s="460"/>
      <c r="AQ92" s="460"/>
    </row>
    <row r="93" spans="2:43" s="105" customFormat="1" ht="27" customHeight="1">
      <c r="B93" s="370">
        <f>#REF!</f>
      </c>
      <c r="C93" s="232"/>
      <c r="D93" s="164">
        <f>IF(#REF!&lt;&gt;"",#REF!,IF(#REF!&lt;&gt;"",#REF!,""))</f>
      </c>
      <c r="E93" s="235"/>
      <c r="F93" s="236"/>
      <c r="G93" s="236"/>
      <c r="H93" s="237"/>
      <c r="I93" s="238"/>
      <c r="J93" s="239"/>
      <c r="K93" s="240"/>
      <c r="L93" s="241"/>
      <c r="M93" s="242"/>
      <c r="N93" s="167">
        <f>#REF!</f>
      </c>
      <c r="O93" s="167">
        <f>#REF!</f>
      </c>
      <c r="P93" s="260">
        <f>#REF!</f>
      </c>
      <c r="Q93" s="168">
        <f>P93*N93</f>
      </c>
      <c r="R93" s="425">
        <f>IFERROR(Q93/$Q$166,0)</f>
      </c>
      <c r="S93" s="371">
        <f ca="1">IF($AL$5&lt;=1,0,SUM(OFFSET('rincian '!#REF!,0,0,1,$AL$5-1)))</f>
      </c>
      <c r="T93" s="425">
        <f ca="1">IFERROR(S93/N93*R93,0)</f>
      </c>
      <c r="U93" s="372" cm="1">
        <f t="array" ref="U93">IFERROR(INDEX('rincian '!#REF!,$AL$5),0)</f>
      </c>
      <c r="V93" s="425">
        <f>IFERROR(U93/N93*R93,0)</f>
      </c>
      <c r="W93" s="244">
        <f ca="1">S93+U93</f>
      </c>
      <c r="X93" s="202">
        <f ca="1">T93+V93</f>
      </c>
      <c r="AL93" s="460"/>
      <c r="AM93" s="460"/>
      <c r="AN93" s="460"/>
      <c r="AO93" s="460"/>
      <c r="AP93" s="460"/>
      <c r="AQ93" s="460"/>
    </row>
    <row r="94" spans="2:43" s="105" customFormat="1" ht="27" customHeight="1">
      <c r="B94" s="401">
        <f>#REF!</f>
      </c>
      <c r="C94" s="373"/>
      <c r="D94" s="374">
        <f>IF(#REF!&lt;&gt;"",#REF!,IF(#REF!&lt;&gt;"",#REF!,""))</f>
      </c>
      <c r="E94" s="375"/>
      <c r="F94" s="376"/>
      <c r="G94" s="376"/>
      <c r="H94" s="377"/>
      <c r="I94" s="378"/>
      <c r="J94" s="379"/>
      <c r="K94" s="380"/>
      <c r="L94" s="381"/>
      <c r="M94" s="382"/>
      <c r="N94" s="167"/>
      <c r="O94" s="167"/>
      <c r="P94" s="260"/>
      <c r="Q94" s="168"/>
      <c r="R94" s="425"/>
      <c r="S94" s="371"/>
      <c r="T94" s="425"/>
      <c r="U94" s="372"/>
      <c r="V94" s="425"/>
      <c r="W94" s="244"/>
      <c r="X94" s="202"/>
      <c r="AL94" s="460"/>
      <c r="AM94" s="460"/>
      <c r="AN94" s="460"/>
      <c r="AO94" s="460"/>
      <c r="AP94" s="460"/>
      <c r="AQ94" s="460"/>
    </row>
    <row r="95" spans="2:43" s="105" customFormat="1" ht="27" customHeight="1">
      <c r="B95" s="370">
        <f>#REF!</f>
      </c>
      <c r="C95" s="232"/>
      <c r="D95" s="164">
        <f>IF(#REF!&lt;&gt;"",#REF!,IF(#REF!&lt;&gt;"",#REF!,""))</f>
      </c>
      <c r="E95" s="235"/>
      <c r="F95" s="236"/>
      <c r="G95" s="236"/>
      <c r="H95" s="237"/>
      <c r="I95" s="238"/>
      <c r="J95" s="239"/>
      <c r="K95" s="240"/>
      <c r="L95" s="241"/>
      <c r="M95" s="242"/>
      <c r="N95" s="167">
        <f>#REF!</f>
      </c>
      <c r="O95" s="167">
        <f>#REF!</f>
      </c>
      <c r="P95" s="260">
        <f>#REF!</f>
      </c>
      <c r="Q95" s="168">
        <f>P95*N95</f>
      </c>
      <c r="R95" s="425">
        <f>IFERROR(Q95/$Q$166,0)</f>
      </c>
      <c r="S95" s="371">
        <f ca="1">IF($AL$5&lt;=1,0,SUM(OFFSET('rincian '!#REF!,0,0,1,$AL$5-1)))</f>
      </c>
      <c r="T95" s="425">
        <f ca="1">IFERROR(S95/N95*R95,0)</f>
      </c>
      <c r="U95" s="372" cm="1">
        <f t="array" ref="U95">IFERROR(INDEX('rincian '!#REF!,$AL$5),0)</f>
      </c>
      <c r="V95" s="425">
        <f>IFERROR(U95/N95*R95,0)</f>
      </c>
      <c r="W95" s="244">
        <f t="shared" ref="W95:X98" ca="1" si="23">S95+U95</f>
      </c>
      <c r="X95" s="202">
        <f t="shared" ca="1" si="23"/>
      </c>
      <c r="AL95" s="460"/>
      <c r="AM95" s="460"/>
      <c r="AN95" s="460"/>
      <c r="AO95" s="460"/>
      <c r="AP95" s="460"/>
      <c r="AQ95" s="460"/>
    </row>
    <row r="96" spans="2:43" s="105" customFormat="1" ht="27" customHeight="1">
      <c r="B96" s="370">
        <f>#REF!</f>
      </c>
      <c r="C96" s="232"/>
      <c r="D96" s="164">
        <f>IF(#REF!&lt;&gt;"",#REF!,IF(#REF!&lt;&gt;"",#REF!,""))</f>
      </c>
      <c r="E96" s="235"/>
      <c r="F96" s="236"/>
      <c r="G96" s="236"/>
      <c r="H96" s="237"/>
      <c r="I96" s="238"/>
      <c r="J96" s="239"/>
      <c r="K96" s="240"/>
      <c r="L96" s="241"/>
      <c r="M96" s="242"/>
      <c r="N96" s="167">
        <f>#REF!</f>
      </c>
      <c r="O96" s="167">
        <f>#REF!</f>
      </c>
      <c r="P96" s="260">
        <f>#REF!</f>
      </c>
      <c r="Q96" s="168">
        <f>P96*N96</f>
      </c>
      <c r="R96" s="425">
        <f>IFERROR(Q96/$Q$166,0)</f>
      </c>
      <c r="S96" s="371">
        <f ca="1">IF($AL$5&lt;=1,0,SUM(OFFSET('rincian '!#REF!,0,0,1,$AL$5-1)))</f>
      </c>
      <c r="T96" s="425">
        <f ca="1">IFERROR(S96/N96*R96,0)</f>
      </c>
      <c r="U96" s="372" cm="1">
        <f t="array" ref="U96">IFERROR(INDEX('rincian '!#REF!,$AL$5),0)</f>
      </c>
      <c r="V96" s="425">
        <f>IFERROR(U96/N96*R96,0)</f>
      </c>
      <c r="W96" s="244">
        <f t="shared" ca="1" si="23"/>
      </c>
      <c r="X96" s="202">
        <f t="shared" ca="1" si="23"/>
      </c>
      <c r="AL96" s="460"/>
      <c r="AM96" s="460"/>
      <c r="AN96" s="460"/>
      <c r="AO96" s="460"/>
      <c r="AP96" s="460"/>
      <c r="AQ96" s="460"/>
    </row>
    <row r="97" spans="2:43" s="105" customFormat="1" ht="27" customHeight="1">
      <c r="B97" s="370">
        <f>#REF!</f>
      </c>
      <c r="C97" s="232"/>
      <c r="D97" s="164">
        <f>IF(#REF!&lt;&gt;"",#REF!,IF(#REF!&lt;&gt;"",#REF!,""))</f>
      </c>
      <c r="E97" s="235"/>
      <c r="F97" s="236"/>
      <c r="G97" s="236"/>
      <c r="H97" s="237"/>
      <c r="I97" s="238"/>
      <c r="J97" s="239"/>
      <c r="K97" s="240"/>
      <c r="L97" s="241"/>
      <c r="M97" s="242"/>
      <c r="N97" s="167">
        <f>#REF!</f>
      </c>
      <c r="O97" s="167">
        <f>#REF!</f>
      </c>
      <c r="P97" s="260">
        <f>#REF!</f>
      </c>
      <c r="Q97" s="168">
        <f>P97*N97</f>
      </c>
      <c r="R97" s="425">
        <f>IFERROR(Q97/$Q$166,0)</f>
      </c>
      <c r="S97" s="371">
        <f ca="1">IF($AL$5&lt;=1,0,SUM(OFFSET('rincian '!#REF!,0,0,1,$AL$5-1)))</f>
      </c>
      <c r="T97" s="425">
        <f ca="1">IFERROR(S97/N97*R97,0)</f>
      </c>
      <c r="U97" s="372" cm="1">
        <f t="array" ref="U97">IFERROR(INDEX('rincian '!#REF!,$AL$5),0)</f>
      </c>
      <c r="V97" s="425">
        <f>IFERROR(U97/N97*R97,0)</f>
      </c>
      <c r="W97" s="244">
        <f t="shared" ca="1" si="23"/>
      </c>
      <c r="X97" s="202">
        <f t="shared" ca="1" si="23"/>
      </c>
      <c r="AL97" s="460"/>
      <c r="AM97" s="460"/>
      <c r="AN97" s="460"/>
      <c r="AO97" s="460"/>
      <c r="AP97" s="460"/>
      <c r="AQ97" s="460"/>
    </row>
    <row r="98" spans="2:43" s="105" customFormat="1" ht="27" customHeight="1">
      <c r="B98" s="370">
        <f>#REF!</f>
      </c>
      <c r="C98" s="232"/>
      <c r="D98" s="164">
        <f>IF(#REF!&lt;&gt;"",#REF!,IF(#REF!&lt;&gt;"",#REF!,""))</f>
      </c>
      <c r="E98" s="235"/>
      <c r="F98" s="236"/>
      <c r="G98" s="236"/>
      <c r="H98" s="237"/>
      <c r="I98" s="238"/>
      <c r="J98" s="239"/>
      <c r="K98" s="240"/>
      <c r="L98" s="241"/>
      <c r="M98" s="242"/>
      <c r="N98" s="167">
        <f>#REF!</f>
      </c>
      <c r="O98" s="167">
        <f>#REF!</f>
      </c>
      <c r="P98" s="260">
        <f>#REF!</f>
      </c>
      <c r="Q98" s="168">
        <f>P98*N98</f>
      </c>
      <c r="R98" s="425">
        <f>IFERROR(Q98/$Q$166,0)</f>
      </c>
      <c r="S98" s="371">
        <f ca="1">IF($AL$5&lt;=1,0,SUM(OFFSET('rincian '!#REF!,0,0,1,$AL$5-1)))</f>
      </c>
      <c r="T98" s="425">
        <f ca="1">IFERROR(S98/N98*R98,0)</f>
      </c>
      <c r="U98" s="372" cm="1">
        <f t="array" ref="U98">IFERROR(INDEX('rincian '!#REF!,$AL$5),0)</f>
      </c>
      <c r="V98" s="425">
        <f>IFERROR(U98/N98*R98,0)</f>
      </c>
      <c r="W98" s="244">
        <f t="shared" ca="1" si="23"/>
      </c>
      <c r="X98" s="202">
        <f t="shared" ca="1" si="23"/>
      </c>
      <c r="AL98" s="460"/>
      <c r="AM98" s="460"/>
      <c r="AN98" s="460"/>
      <c r="AO98" s="460"/>
      <c r="AP98" s="460"/>
      <c r="AQ98" s="460"/>
    </row>
    <row r="99" spans="2:43" s="105" customFormat="1" ht="27" customHeight="1">
      <c r="B99" s="401">
        <f>#REF!</f>
      </c>
      <c r="C99" s="373"/>
      <c r="D99" s="374">
        <f>IF(#REF!&lt;&gt;"",#REF!,IF(#REF!&lt;&gt;"",#REF!,""))</f>
      </c>
      <c r="E99" s="375"/>
      <c r="F99" s="376"/>
      <c r="G99" s="376"/>
      <c r="H99" s="377"/>
      <c r="I99" s="378"/>
      <c r="J99" s="379"/>
      <c r="K99" s="380"/>
      <c r="L99" s="381"/>
      <c r="M99" s="382"/>
      <c r="N99" s="167"/>
      <c r="O99" s="167"/>
      <c r="P99" s="260"/>
      <c r="Q99" s="168"/>
      <c r="R99" s="425"/>
      <c r="S99" s="371"/>
      <c r="T99" s="425"/>
      <c r="U99" s="372"/>
      <c r="V99" s="425"/>
      <c r="W99" s="244"/>
      <c r="X99" s="202"/>
      <c r="AL99" s="460"/>
      <c r="AM99" s="460"/>
      <c r="AN99" s="460"/>
      <c r="AO99" s="460"/>
      <c r="AP99" s="460"/>
      <c r="AQ99" s="460"/>
    </row>
    <row r="100" spans="2:43" s="105" customFormat="1" ht="27" customHeight="1">
      <c r="B100" s="370">
        <f>#REF!</f>
      </c>
      <c r="C100" s="232"/>
      <c r="D100" s="164">
        <f>IF(#REF!&lt;&gt;"",#REF!,IF(#REF!&lt;&gt;"",#REF!,""))</f>
      </c>
      <c r="E100" s="235"/>
      <c r="F100" s="236"/>
      <c r="G100" s="236"/>
      <c r="H100" s="237"/>
      <c r="I100" s="238"/>
      <c r="J100" s="239"/>
      <c r="K100" s="240"/>
      <c r="L100" s="241"/>
      <c r="M100" s="242"/>
      <c r="N100" s="167"/>
      <c r="O100" s="167"/>
      <c r="P100" s="260"/>
      <c r="Q100" s="168"/>
      <c r="R100" s="425"/>
      <c r="S100" s="371"/>
      <c r="T100" s="425"/>
      <c r="U100" s="372"/>
      <c r="V100" s="425"/>
      <c r="W100" s="244"/>
      <c r="X100" s="202"/>
      <c r="AL100" s="460"/>
      <c r="AM100" s="460"/>
      <c r="AN100" s="460"/>
      <c r="AO100" s="460"/>
      <c r="AP100" s="460"/>
      <c r="AQ100" s="460"/>
    </row>
    <row r="101" spans="2:43" s="105" customFormat="1" ht="36" customHeight="1">
      <c r="B101" s="370">
        <f>#REF!</f>
      </c>
      <c r="C101" s="232"/>
      <c r="D101" s="704">
        <f>IF(#REF!&lt;&gt;"",#REF!,IF(#REF!&lt;&gt;"",#REF!,""))</f>
      </c>
      <c r="E101" s="704"/>
      <c r="F101" s="704"/>
      <c r="G101" s="704"/>
      <c r="H101" s="704"/>
      <c r="I101" s="704"/>
      <c r="J101" s="704"/>
      <c r="K101" s="704"/>
      <c r="L101" s="704"/>
      <c r="M101" s="705"/>
      <c r="N101" s="167">
        <f>#REF!</f>
      </c>
      <c r="O101" s="167">
        <f>#REF!</f>
      </c>
      <c r="P101" s="260">
        <f>#REF!</f>
      </c>
      <c r="Q101" s="168">
        <f>P101*N101</f>
      </c>
      <c r="R101" s="425">
        <f>IFERROR(Q101/$Q$166,0)</f>
      </c>
      <c r="S101" s="371">
        <f ca="1">IF($AL$5&lt;=1,0,SUM(OFFSET('rincian '!#REF!,0,0,1,$AL$5-1)))</f>
      </c>
      <c r="T101" s="425">
        <f ca="1">IFERROR(S101/N101*R101,0)</f>
      </c>
      <c r="U101" s="372" cm="1">
        <f t="array" ref="U101">IFERROR(INDEX('rincian '!#REF!,$AL$5),0)</f>
      </c>
      <c r="V101" s="425">
        <f>IFERROR(U101/N101*R101,0)</f>
      </c>
      <c r="W101" s="244">
        <f t="shared" ref="W101:X103" ca="1" si="24">S101+U101</f>
      </c>
      <c r="X101" s="202">
        <f t="shared" ca="1" si="24"/>
      </c>
      <c r="AL101" s="460"/>
      <c r="AM101" s="460"/>
      <c r="AN101" s="460"/>
      <c r="AO101" s="460"/>
      <c r="AP101" s="460"/>
      <c r="AQ101" s="460"/>
    </row>
    <row r="102" spans="2:43" s="105" customFormat="1" ht="27" customHeight="1">
      <c r="B102" s="370">
        <f>#REF!</f>
      </c>
      <c r="C102" s="232"/>
      <c r="D102" s="164">
        <f>IF(#REF!&lt;&gt;"",#REF!,IF(#REF!&lt;&gt;"",#REF!,""))</f>
      </c>
      <c r="E102" s="235"/>
      <c r="F102" s="236"/>
      <c r="G102" s="236"/>
      <c r="H102" s="237"/>
      <c r="I102" s="238"/>
      <c r="J102" s="239"/>
      <c r="K102" s="240"/>
      <c r="L102" s="241"/>
      <c r="M102" s="242"/>
      <c r="N102" s="167">
        <f>#REF!</f>
      </c>
      <c r="O102" s="167">
        <f>#REF!</f>
      </c>
      <c r="P102" s="260">
        <f>#REF!</f>
      </c>
      <c r="Q102" s="168">
        <f>P102*N102</f>
      </c>
      <c r="R102" s="425">
        <f>IFERROR(Q102/$Q$166,0)</f>
      </c>
      <c r="S102" s="371">
        <f ca="1">IF($AL$5&lt;=1,0,SUM(OFFSET('rincian '!#REF!,0,0,1,$AL$5-1)))</f>
      </c>
      <c r="T102" s="425">
        <f ca="1">IFERROR(S102/N102*R102,0)</f>
      </c>
      <c r="U102" s="372" cm="1">
        <f t="array" ref="U102">IFERROR(INDEX('rincian '!#REF!,$AL$5),0)</f>
      </c>
      <c r="V102" s="425">
        <f>IFERROR(U102/N102*R102,0)</f>
      </c>
      <c r="W102" s="244">
        <f t="shared" ca="1" si="24"/>
      </c>
      <c r="X102" s="202">
        <f t="shared" ca="1" si="24"/>
      </c>
      <c r="AL102" s="460"/>
      <c r="AM102" s="460"/>
      <c r="AN102" s="460"/>
      <c r="AO102" s="460"/>
      <c r="AP102" s="460"/>
      <c r="AQ102" s="460"/>
    </row>
    <row r="103" spans="2:43" s="105" customFormat="1" ht="27" customHeight="1">
      <c r="B103" s="370">
        <f>#REF!</f>
      </c>
      <c r="C103" s="232"/>
      <c r="D103" s="164">
        <f>IF(#REF!&lt;&gt;"",#REF!,IF(#REF!&lt;&gt;"",#REF!,""))</f>
      </c>
      <c r="E103" s="235"/>
      <c r="F103" s="236"/>
      <c r="G103" s="236"/>
      <c r="H103" s="237"/>
      <c r="I103" s="238"/>
      <c r="J103" s="239"/>
      <c r="K103" s="240"/>
      <c r="L103" s="241"/>
      <c r="M103" s="242"/>
      <c r="N103" s="167">
        <f>#REF!</f>
      </c>
      <c r="O103" s="167">
        <f>#REF!</f>
      </c>
      <c r="P103" s="260">
        <f>#REF!</f>
      </c>
      <c r="Q103" s="168">
        <f>P103*N103</f>
      </c>
      <c r="R103" s="425">
        <f>IFERROR(Q103/$Q$166,0)</f>
      </c>
      <c r="S103" s="371">
        <f ca="1">IF($AL$5&lt;=1,0,SUM(OFFSET('rincian '!#REF!,0,0,1,$AL$5-1)))</f>
      </c>
      <c r="T103" s="425">
        <f ca="1">IFERROR(S103/N103*R103,0)</f>
      </c>
      <c r="U103" s="372" cm="1">
        <f t="array" ref="U103">IFERROR(INDEX('rincian '!#REF!,$AL$5),0)</f>
      </c>
      <c r="V103" s="425">
        <f>IFERROR(U103/N103*R103,0)</f>
      </c>
      <c r="W103" s="244">
        <f t="shared" ca="1" si="24"/>
      </c>
      <c r="X103" s="202">
        <f t="shared" ca="1" si="24"/>
      </c>
      <c r="AL103" s="460"/>
      <c r="AM103" s="460"/>
      <c r="AN103" s="460"/>
      <c r="AO103" s="460"/>
      <c r="AP103" s="460"/>
      <c r="AQ103" s="460"/>
    </row>
    <row r="104" spans="2:43" s="105" customFormat="1" ht="27" customHeight="1">
      <c r="B104" s="370">
        <f>#REF!</f>
      </c>
      <c r="C104" s="232"/>
      <c r="D104" s="164">
        <f>IF(#REF!&lt;&gt;"",#REF!,IF(#REF!&lt;&gt;"",#REF!,""))</f>
      </c>
      <c r="E104" s="235"/>
      <c r="F104" s="236"/>
      <c r="G104" s="236"/>
      <c r="H104" s="237"/>
      <c r="I104" s="238"/>
      <c r="J104" s="239"/>
      <c r="K104" s="240"/>
      <c r="L104" s="241"/>
      <c r="M104" s="242"/>
      <c r="N104" s="167"/>
      <c r="O104" s="167"/>
      <c r="P104" s="260"/>
      <c r="Q104" s="168"/>
      <c r="R104" s="425"/>
      <c r="S104" s="371"/>
      <c r="T104" s="425"/>
      <c r="U104" s="372"/>
      <c r="V104" s="425"/>
      <c r="W104" s="244"/>
      <c r="X104" s="202"/>
      <c r="AL104" s="460"/>
      <c r="AM104" s="460"/>
      <c r="AN104" s="460"/>
      <c r="AO104" s="460"/>
      <c r="AP104" s="460"/>
      <c r="AQ104" s="460"/>
    </row>
    <row r="105" spans="2:43" s="105" customFormat="1" ht="27" customHeight="1">
      <c r="B105" s="370">
        <f>#REF!</f>
      </c>
      <c r="C105" s="232"/>
      <c r="D105" s="164">
        <f>IF(#REF!&lt;&gt;"",#REF!,IF(#REF!&lt;&gt;"",#REF!,""))</f>
      </c>
      <c r="E105" s="235"/>
      <c r="F105" s="236"/>
      <c r="G105" s="236"/>
      <c r="H105" s="237"/>
      <c r="I105" s="238"/>
      <c r="J105" s="239"/>
      <c r="K105" s="240"/>
      <c r="L105" s="241"/>
      <c r="M105" s="242"/>
      <c r="N105" s="167">
        <f>#REF!</f>
      </c>
      <c r="O105" s="167">
        <f>#REF!</f>
      </c>
      <c r="P105" s="260">
        <f>#REF!</f>
      </c>
      <c r="Q105" s="168">
        <f>P105*N105</f>
      </c>
      <c r="R105" s="425">
        <f>IFERROR(Q105/$Q$166,0)</f>
      </c>
      <c r="S105" s="371">
        <f ca="1">IF($AL$5&lt;=1,0,SUM(OFFSET('rincian '!#REF!,0,0,1,$AL$5-1)))</f>
      </c>
      <c r="T105" s="425">
        <f ca="1">IFERROR(S105/N105*R105,0)</f>
      </c>
      <c r="U105" s="372" cm="1">
        <f t="array" ref="U105">IFERROR(INDEX('rincian '!#REF!,$AL$5),0)</f>
      </c>
      <c r="V105" s="425">
        <f>IFERROR(U105/N105*R105,0)</f>
      </c>
      <c r="W105" s="244">
        <f ca="1">S105+U105</f>
      </c>
      <c r="X105" s="202">
        <f ca="1">T105+V105</f>
      </c>
      <c r="AL105" s="460"/>
      <c r="AM105" s="460"/>
      <c r="AN105" s="460"/>
      <c r="AO105" s="460"/>
      <c r="AP105" s="460"/>
      <c r="AQ105" s="460"/>
    </row>
    <row r="106" spans="2:43" s="105" customFormat="1" ht="27" customHeight="1">
      <c r="B106" s="370">
        <f>#REF!</f>
      </c>
      <c r="C106" s="232"/>
      <c r="D106" s="164">
        <f>IF(#REF!&lt;&gt;"",#REF!,IF(#REF!&lt;&gt;"",#REF!,""))</f>
      </c>
      <c r="E106" s="235"/>
      <c r="F106" s="236"/>
      <c r="G106" s="236"/>
      <c r="H106" s="237"/>
      <c r="I106" s="238"/>
      <c r="J106" s="239"/>
      <c r="K106" s="240"/>
      <c r="L106" s="241"/>
      <c r="M106" s="242"/>
      <c r="N106" s="167">
        <f>#REF!</f>
      </c>
      <c r="O106" s="167">
        <f>#REF!</f>
      </c>
      <c r="P106" s="260">
        <f>#REF!</f>
      </c>
      <c r="Q106" s="168">
        <f>P106*N106</f>
      </c>
      <c r="R106" s="425">
        <f>IFERROR(Q106/$Q$166,0)</f>
      </c>
      <c r="S106" s="371">
        <f ca="1">IF($AL$5&lt;=1,0,SUM(OFFSET('rincian '!#REF!,0,0,1,$AL$5-1)))</f>
      </c>
      <c r="T106" s="425">
        <f ca="1">IFERROR(S106/N106*R106,0)</f>
      </c>
      <c r="U106" s="372" cm="1">
        <f t="array" ref="U106">IFERROR(INDEX('rincian '!#REF!,$AL$5),0)</f>
      </c>
      <c r="V106" s="425">
        <f>IFERROR(U106/N106*R106,0)</f>
      </c>
      <c r="W106" s="244">
        <f ca="1">S106+U106</f>
      </c>
      <c r="X106" s="202">
        <f ca="1">T106+V106</f>
      </c>
      <c r="AL106" s="460"/>
      <c r="AM106" s="460"/>
      <c r="AN106" s="460"/>
      <c r="AO106" s="460"/>
      <c r="AP106" s="460"/>
      <c r="AQ106" s="460"/>
    </row>
    <row r="107" spans="2:43" s="105" customFormat="1" ht="27" customHeight="1">
      <c r="B107" s="401">
        <f>#REF!</f>
      </c>
      <c r="C107" s="373"/>
      <c r="D107" s="374">
        <f>IF(#REF!&lt;&gt;"",#REF!,IF(#REF!&lt;&gt;"",#REF!,""))</f>
      </c>
      <c r="E107" s="375"/>
      <c r="F107" s="376"/>
      <c r="G107" s="376"/>
      <c r="H107" s="377"/>
      <c r="I107" s="378"/>
      <c r="J107" s="379"/>
      <c r="K107" s="380"/>
      <c r="L107" s="381"/>
      <c r="M107" s="382"/>
      <c r="N107" s="167"/>
      <c r="O107" s="167"/>
      <c r="P107" s="260"/>
      <c r="Q107" s="168"/>
      <c r="R107" s="425"/>
      <c r="S107" s="371"/>
      <c r="T107" s="425"/>
      <c r="U107" s="372"/>
      <c r="V107" s="425"/>
      <c r="W107" s="244"/>
      <c r="X107" s="202"/>
      <c r="AL107" s="460"/>
      <c r="AM107" s="460"/>
      <c r="AN107" s="460"/>
      <c r="AO107" s="460"/>
      <c r="AP107" s="460"/>
      <c r="AQ107" s="460"/>
    </row>
    <row r="108" spans="2:43" s="105" customFormat="1" ht="27" customHeight="1">
      <c r="B108" s="370">
        <f>#REF!</f>
      </c>
      <c r="C108" s="232"/>
      <c r="D108" s="164">
        <f>IF(#REF!&lt;&gt;"",#REF!,IF(#REF!&lt;&gt;"",#REF!,""))</f>
      </c>
      <c r="E108" s="235"/>
      <c r="F108" s="236"/>
      <c r="G108" s="236"/>
      <c r="H108" s="237"/>
      <c r="I108" s="238"/>
      <c r="J108" s="239"/>
      <c r="K108" s="240"/>
      <c r="L108" s="241"/>
      <c r="M108" s="242"/>
      <c r="N108" s="167">
        <f>#REF!</f>
      </c>
      <c r="O108" s="167">
        <f>#REF!</f>
      </c>
      <c r="P108" s="260">
        <f>#REF!</f>
      </c>
      <c r="Q108" s="168">
        <f>P108*N108</f>
      </c>
      <c r="R108" s="425">
        <f>IFERROR(Q108/$Q$166,0)</f>
      </c>
      <c r="S108" s="371">
        <f ca="1">IF($AL$5&lt;=1,0,SUM(OFFSET('rincian '!#REF!,0,0,1,$AL$5-1)))</f>
      </c>
      <c r="T108" s="425">
        <f ca="1">IFERROR(S108/N108*R108,0)</f>
      </c>
      <c r="U108" s="372" cm="1">
        <f t="array" ref="U108">IFERROR(INDEX('rincian '!#REF!,$AL$5),0)</f>
      </c>
      <c r="V108" s="425">
        <f>IFERROR(U108/N108*R108,0)</f>
      </c>
      <c r="W108" s="244">
        <f ca="1">S108+U108</f>
      </c>
      <c r="X108" s="202">
        <f ca="1">T108+V108</f>
      </c>
      <c r="AL108" s="460"/>
      <c r="AM108" s="460"/>
      <c r="AN108" s="460"/>
      <c r="AO108" s="460"/>
      <c r="AP108" s="460"/>
      <c r="AQ108" s="460"/>
    </row>
    <row r="109" spans="2:43" s="105" customFormat="1" ht="27" customHeight="1">
      <c r="B109" s="370">
        <f>#REF!</f>
      </c>
      <c r="C109" s="232"/>
      <c r="D109" s="164">
        <f>IF(#REF!&lt;&gt;"",#REF!,IF(#REF!&lt;&gt;"",#REF!,""))</f>
      </c>
      <c r="E109" s="235"/>
      <c r="F109" s="236"/>
      <c r="G109" s="236"/>
      <c r="H109" s="237"/>
      <c r="I109" s="238"/>
      <c r="J109" s="239"/>
      <c r="K109" s="240"/>
      <c r="L109" s="241"/>
      <c r="M109" s="242"/>
      <c r="N109" s="167">
        <f>#REF!</f>
      </c>
      <c r="O109" s="167">
        <f>#REF!</f>
      </c>
      <c r="P109" s="260">
        <f>#REF!</f>
      </c>
      <c r="Q109" s="168">
        <f>P109*N109</f>
      </c>
      <c r="R109" s="425">
        <f>IFERROR(Q109/$Q$166,0)</f>
      </c>
      <c r="S109" s="371">
        <f ca="1">IF($AL$5&lt;=1,0,SUM(OFFSET('rincian '!#REF!,0,0,1,$AL$5-1)))</f>
      </c>
      <c r="T109" s="425">
        <f ca="1">IFERROR(S109/N109*R109,0)</f>
      </c>
      <c r="U109" s="372" cm="1">
        <f t="array" ref="U109">IFERROR(INDEX('rincian '!#REF!,$AL$5),0)</f>
      </c>
      <c r="V109" s="425">
        <f>IFERROR(U109/N109*R109,0)</f>
      </c>
      <c r="W109" s="244">
        <f ca="1">S109+U109</f>
      </c>
      <c r="X109" s="202">
        <f ca="1">T109+V109</f>
      </c>
      <c r="AL109" s="460"/>
      <c r="AM109" s="460"/>
      <c r="AN109" s="460"/>
      <c r="AO109" s="460"/>
      <c r="AP109" s="460"/>
      <c r="AQ109" s="460"/>
    </row>
    <row r="110" spans="2:43" s="105" customFormat="1" ht="27" customHeight="1">
      <c r="B110" s="401">
        <f>#REF!</f>
      </c>
      <c r="C110" s="373"/>
      <c r="D110" s="374">
        <f>IF(#REF!&lt;&gt;"",#REF!,IF(#REF!&lt;&gt;"",#REF!,""))</f>
      </c>
      <c r="E110" s="375"/>
      <c r="F110" s="376"/>
      <c r="G110" s="376"/>
      <c r="H110" s="377"/>
      <c r="I110" s="378"/>
      <c r="J110" s="379"/>
      <c r="K110" s="380"/>
      <c r="L110" s="381"/>
      <c r="M110" s="382"/>
      <c r="N110" s="167"/>
      <c r="O110" s="167"/>
      <c r="P110" s="260"/>
      <c r="Q110" s="168"/>
      <c r="R110" s="425"/>
      <c r="S110" s="371"/>
      <c r="T110" s="425"/>
      <c r="U110" s="372"/>
      <c r="V110" s="425"/>
      <c r="W110" s="244"/>
      <c r="X110" s="202"/>
      <c r="AL110" s="460"/>
      <c r="AM110" s="460"/>
      <c r="AN110" s="460"/>
      <c r="AO110" s="460"/>
      <c r="AP110" s="460"/>
      <c r="AQ110" s="460"/>
    </row>
    <row r="111" spans="2:43" s="105" customFormat="1" ht="27" customHeight="1">
      <c r="B111" s="370">
        <f>#REF!</f>
      </c>
      <c r="C111" s="232"/>
      <c r="D111" s="164">
        <f>IF(#REF!&lt;&gt;"",#REF!,IF(#REF!&lt;&gt;"",#REF!,""))</f>
      </c>
      <c r="E111" s="235"/>
      <c r="F111" s="236"/>
      <c r="G111" s="236"/>
      <c r="H111" s="237"/>
      <c r="I111" s="238"/>
      <c r="J111" s="239"/>
      <c r="K111" s="240"/>
      <c r="L111" s="241"/>
      <c r="M111" s="242"/>
      <c r="N111" s="167">
        <f>#REF!</f>
      </c>
      <c r="O111" s="167">
        <f>#REF!</f>
      </c>
      <c r="P111" s="260">
        <f>#REF!</f>
      </c>
      <c r="Q111" s="168">
        <f>P111*N111</f>
      </c>
      <c r="R111" s="425">
        <f>IFERROR(Q111/$Q$166,0)</f>
      </c>
      <c r="S111" s="371">
        <f ca="1">IF($AL$5&lt;=1,0,SUM(OFFSET('rincian '!#REF!,0,0,1,$AL$5-1)))</f>
      </c>
      <c r="T111" s="425">
        <f ca="1">IFERROR(S111/N111*R111,0)</f>
      </c>
      <c r="U111" s="372" cm="1">
        <f t="array" ref="U111">IFERROR(INDEX('rincian '!#REF!,$AL$5),0)</f>
      </c>
      <c r="V111" s="425">
        <f>IFERROR(U111/N111*R111,0)</f>
      </c>
      <c r="W111" s="244">
        <f t="shared" ref="W111:X114" ca="1" si="25">S111+U111</f>
      </c>
      <c r="X111" s="202">
        <f t="shared" ca="1" si="25"/>
      </c>
      <c r="AL111" s="460"/>
      <c r="AM111" s="460"/>
      <c r="AN111" s="460"/>
      <c r="AO111" s="460"/>
      <c r="AP111" s="460"/>
      <c r="AQ111" s="460"/>
    </row>
    <row r="112" spans="2:43" s="105" customFormat="1" ht="27" customHeight="1">
      <c r="B112" s="370">
        <f>#REF!</f>
      </c>
      <c r="C112" s="232"/>
      <c r="D112" s="164">
        <f>IF(#REF!&lt;&gt;"",#REF!,IF(#REF!&lt;&gt;"",#REF!,""))</f>
      </c>
      <c r="E112" s="235"/>
      <c r="F112" s="236"/>
      <c r="G112" s="236"/>
      <c r="H112" s="237"/>
      <c r="I112" s="238"/>
      <c r="J112" s="239"/>
      <c r="K112" s="240"/>
      <c r="L112" s="241"/>
      <c r="M112" s="242"/>
      <c r="N112" s="167">
        <f>#REF!</f>
      </c>
      <c r="O112" s="167">
        <f>#REF!</f>
      </c>
      <c r="P112" s="260">
        <f>#REF!</f>
      </c>
      <c r="Q112" s="168">
        <f>P112*N112</f>
      </c>
      <c r="R112" s="425">
        <f>IFERROR(Q112/$Q$166,0)</f>
      </c>
      <c r="S112" s="371">
        <f ca="1">IF($AL$5&lt;=1,0,SUM(OFFSET('rincian '!#REF!,0,0,1,$AL$5-1)))</f>
      </c>
      <c r="T112" s="425">
        <f ca="1">IFERROR(S112/N112*R112,0)</f>
      </c>
      <c r="U112" s="372" cm="1">
        <f t="array" ref="U112">IFERROR(INDEX('rincian '!#REF!,$AL$5),0)</f>
      </c>
      <c r="V112" s="425">
        <f>IFERROR(U112/N112*R112,0)</f>
      </c>
      <c r="W112" s="244">
        <f t="shared" ca="1" si="25"/>
      </c>
      <c r="X112" s="202">
        <f t="shared" ca="1" si="25"/>
      </c>
      <c r="AL112" s="460"/>
      <c r="AM112" s="460"/>
      <c r="AN112" s="460"/>
      <c r="AO112" s="460"/>
      <c r="AP112" s="460"/>
      <c r="AQ112" s="460"/>
    </row>
    <row r="113" spans="2:43" s="105" customFormat="1" ht="27" customHeight="1">
      <c r="B113" s="370">
        <f>#REF!</f>
      </c>
      <c r="C113" s="232"/>
      <c r="D113" s="164">
        <f>IF(#REF!&lt;&gt;"",#REF!,IF(#REF!&lt;&gt;"",#REF!,""))</f>
      </c>
      <c r="E113" s="235"/>
      <c r="F113" s="236"/>
      <c r="G113" s="236"/>
      <c r="H113" s="237"/>
      <c r="I113" s="238"/>
      <c r="J113" s="239"/>
      <c r="K113" s="240"/>
      <c r="L113" s="241"/>
      <c r="M113" s="242"/>
      <c r="N113" s="167">
        <f>#REF!</f>
      </c>
      <c r="O113" s="167">
        <f>#REF!</f>
      </c>
      <c r="P113" s="260">
        <f>#REF!</f>
      </c>
      <c r="Q113" s="168">
        <f>P113*N113</f>
      </c>
      <c r="R113" s="425">
        <f>IFERROR(Q113/$Q$166,0)</f>
      </c>
      <c r="S113" s="371">
        <f ca="1">IF($AL$5&lt;=1,0,SUM(OFFSET('rincian '!#REF!,0,0,1,$AL$5-1)))</f>
      </c>
      <c r="T113" s="425">
        <f ca="1">IFERROR(S113/N113*R113,0)</f>
      </c>
      <c r="U113" s="372" cm="1">
        <f t="array" ref="U113">IFERROR(INDEX('rincian '!#REF!,$AL$5),0)</f>
      </c>
      <c r="V113" s="425">
        <f>IFERROR(U113/N113*R113,0)</f>
      </c>
      <c r="W113" s="244">
        <f t="shared" ca="1" si="25"/>
      </c>
      <c r="X113" s="202">
        <f t="shared" ca="1" si="25"/>
      </c>
      <c r="AL113" s="460"/>
      <c r="AM113" s="460"/>
      <c r="AN113" s="460"/>
      <c r="AO113" s="460"/>
      <c r="AP113" s="460"/>
      <c r="AQ113" s="460"/>
    </row>
    <row r="114" spans="2:43" s="105" customFormat="1" ht="27" customHeight="1">
      <c r="B114" s="370">
        <f>#REF!</f>
      </c>
      <c r="C114" s="232"/>
      <c r="D114" s="164">
        <f>IF(#REF!&lt;&gt;"",#REF!,IF(#REF!&lt;&gt;"",#REF!,""))</f>
      </c>
      <c r="E114" s="235"/>
      <c r="F114" s="236"/>
      <c r="G114" s="236"/>
      <c r="H114" s="237"/>
      <c r="I114" s="238"/>
      <c r="J114" s="239"/>
      <c r="K114" s="240"/>
      <c r="L114" s="241"/>
      <c r="M114" s="242"/>
      <c r="N114" s="167">
        <f>#REF!</f>
      </c>
      <c r="O114" s="167">
        <f>#REF!</f>
      </c>
      <c r="P114" s="260">
        <f>#REF!</f>
      </c>
      <c r="Q114" s="168">
        <f>P114*N114</f>
      </c>
      <c r="R114" s="425">
        <f>IFERROR(Q114/$Q$166,0)</f>
      </c>
      <c r="S114" s="371">
        <f ca="1">IF($AL$5&lt;=1,0,SUM(OFFSET('rincian '!#REF!,0,0,1,$AL$5-1)))</f>
      </c>
      <c r="T114" s="425">
        <f ca="1">IFERROR(S114/N114*R114,0)</f>
      </c>
      <c r="U114" s="372" cm="1">
        <f t="array" ref="U114">IFERROR(INDEX('rincian '!#REF!,$AL$5),0)</f>
      </c>
      <c r="V114" s="425">
        <f>IFERROR(U114/N114*R114,0)</f>
      </c>
      <c r="W114" s="244">
        <f t="shared" ca="1" si="25"/>
      </c>
      <c r="X114" s="202">
        <f t="shared" ca="1" si="25"/>
      </c>
      <c r="AL114" s="460"/>
      <c r="AM114" s="460"/>
      <c r="AN114" s="460"/>
      <c r="AO114" s="460"/>
      <c r="AP114" s="460"/>
      <c r="AQ114" s="460"/>
    </row>
    <row r="115" spans="2:43" s="105" customFormat="1" ht="27" customHeight="1">
      <c r="B115" s="401">
        <f>#REF!</f>
      </c>
      <c r="C115" s="373"/>
      <c r="D115" s="374">
        <f>IF(#REF!&lt;&gt;"",#REF!,IF(#REF!&lt;&gt;"",#REF!,""))</f>
      </c>
      <c r="E115" s="375"/>
      <c r="F115" s="376"/>
      <c r="G115" s="376"/>
      <c r="H115" s="377"/>
      <c r="I115" s="378"/>
      <c r="J115" s="379"/>
      <c r="K115" s="380"/>
      <c r="L115" s="381"/>
      <c r="M115" s="382"/>
      <c r="N115" s="167"/>
      <c r="O115" s="167"/>
      <c r="P115" s="260"/>
      <c r="Q115" s="168"/>
      <c r="R115" s="425"/>
      <c r="S115" s="371"/>
      <c r="T115" s="425"/>
      <c r="U115" s="372"/>
      <c r="V115" s="425"/>
      <c r="W115" s="244"/>
      <c r="X115" s="202"/>
      <c r="AL115" s="460"/>
      <c r="AM115" s="460"/>
      <c r="AN115" s="460"/>
      <c r="AO115" s="460"/>
      <c r="AP115" s="460"/>
      <c r="AQ115" s="460"/>
    </row>
    <row r="116" spans="2:43" s="105" customFormat="1" ht="27" customHeight="1">
      <c r="B116" s="370">
        <f>#REF!</f>
      </c>
      <c r="C116" s="232"/>
      <c r="D116" s="164">
        <f>IF(#REF!&lt;&gt;"",#REF!,IF(#REF!&lt;&gt;"",#REF!,""))</f>
      </c>
      <c r="E116" s="235"/>
      <c r="F116" s="236"/>
      <c r="G116" s="236"/>
      <c r="H116" s="237"/>
      <c r="I116" s="238"/>
      <c r="J116" s="239"/>
      <c r="K116" s="240"/>
      <c r="L116" s="241"/>
      <c r="M116" s="242"/>
      <c r="N116" s="167">
        <f>#REF!</f>
      </c>
      <c r="O116" s="167">
        <f>#REF!</f>
      </c>
      <c r="P116" s="260">
        <f>#REF!</f>
      </c>
      <c r="Q116" s="168">
        <f>P116*N116</f>
      </c>
      <c r="R116" s="425">
        <f>IFERROR(Q116/$Q$166,0)</f>
      </c>
      <c r="S116" s="371">
        <f ca="1">IF($AL$5&lt;=1,0,SUM(OFFSET('rincian '!#REF!,0,0,1,$AL$5-1)))</f>
      </c>
      <c r="T116" s="425">
        <f ca="1">IFERROR(S116/N116*R116,0)</f>
      </c>
      <c r="U116" s="372" cm="1">
        <f t="array" ref="U116">IFERROR(INDEX('rincian '!#REF!,$AL$5),0)</f>
      </c>
      <c r="V116" s="425">
        <f>IFERROR(U116/N116*R116,0)</f>
      </c>
      <c r="W116" s="244">
        <f ca="1">S116+U116</f>
      </c>
      <c r="X116" s="202">
        <f ca="1">T116+V116</f>
      </c>
      <c r="AL116" s="460"/>
      <c r="AM116" s="460"/>
      <c r="AN116" s="460"/>
      <c r="AO116" s="460"/>
      <c r="AP116" s="460"/>
      <c r="AQ116" s="460"/>
    </row>
    <row r="117" spans="2:43" s="105" customFormat="1" ht="27" customHeight="1">
      <c r="B117" s="370">
        <f>#REF!</f>
      </c>
      <c r="C117" s="232"/>
      <c r="D117" s="164">
        <f>IF(#REF!&lt;&gt;"",#REF!,IF(#REF!&lt;&gt;"",#REF!,""))</f>
      </c>
      <c r="E117" s="235"/>
      <c r="F117" s="236"/>
      <c r="G117" s="236"/>
      <c r="H117" s="237"/>
      <c r="I117" s="238"/>
      <c r="J117" s="239"/>
      <c r="K117" s="240"/>
      <c r="L117" s="241"/>
      <c r="M117" s="242"/>
      <c r="N117" s="167">
        <f>#REF!</f>
      </c>
      <c r="O117" s="167">
        <f>#REF!</f>
      </c>
      <c r="P117" s="260">
        <f>#REF!</f>
      </c>
      <c r="Q117" s="168">
        <f>P117*N117</f>
      </c>
      <c r="R117" s="425">
        <f>IFERROR(Q117/$Q$166,0)</f>
      </c>
      <c r="S117" s="371">
        <f ca="1">IF($AL$5&lt;=1,0,SUM(OFFSET('rincian '!#REF!,0,0,1,$AL$5-1)))</f>
      </c>
      <c r="T117" s="425">
        <f ca="1">IFERROR(S117/N117*R117,0)</f>
      </c>
      <c r="U117" s="372" cm="1">
        <f t="array" ref="U117">IFERROR(INDEX('rincian '!#REF!,$AL$5),0)</f>
      </c>
      <c r="V117" s="425">
        <f>IFERROR(U117/N117*R117,0)</f>
      </c>
      <c r="W117" s="244">
        <f ca="1">S117+U117</f>
      </c>
      <c r="X117" s="202">
        <f ca="1">T117+V117</f>
      </c>
      <c r="AL117" s="460"/>
      <c r="AM117" s="460"/>
      <c r="AN117" s="460"/>
      <c r="AO117" s="460"/>
      <c r="AP117" s="460"/>
      <c r="AQ117" s="460"/>
    </row>
    <row r="118" spans="2:43" s="105" customFormat="1" ht="27" customHeight="1">
      <c r="B118" s="401">
        <f>#REF!</f>
      </c>
      <c r="C118" s="373"/>
      <c r="D118" s="374">
        <f>IF(#REF!&lt;&gt;"",#REF!,IF(#REF!&lt;&gt;"",#REF!,""))</f>
      </c>
      <c r="E118" s="375"/>
      <c r="F118" s="376"/>
      <c r="G118" s="376"/>
      <c r="H118" s="377"/>
      <c r="I118" s="378"/>
      <c r="J118" s="379"/>
      <c r="K118" s="380"/>
      <c r="L118" s="381"/>
      <c r="M118" s="382"/>
      <c r="N118" s="167"/>
      <c r="O118" s="167"/>
      <c r="P118" s="260"/>
      <c r="Q118" s="168"/>
      <c r="R118" s="425"/>
      <c r="S118" s="371"/>
      <c r="T118" s="425"/>
      <c r="U118" s="372"/>
      <c r="V118" s="425"/>
      <c r="W118" s="244"/>
      <c r="X118" s="202"/>
      <c r="AL118" s="460"/>
      <c r="AM118" s="460"/>
      <c r="AN118" s="460"/>
      <c r="AO118" s="460"/>
      <c r="AP118" s="460"/>
      <c r="AQ118" s="460"/>
    </row>
    <row r="119" spans="2:43" s="105" customFormat="1" ht="27" customHeight="1">
      <c r="B119" s="370">
        <f>#REF!</f>
      </c>
      <c r="C119" s="232"/>
      <c r="D119" s="164">
        <f>IF(#REF!&lt;&gt;"",#REF!,IF(#REF!&lt;&gt;"",#REF!,""))</f>
      </c>
      <c r="E119" s="235"/>
      <c r="F119" s="236"/>
      <c r="G119" s="236"/>
      <c r="H119" s="237"/>
      <c r="I119" s="238"/>
      <c r="J119" s="239"/>
      <c r="K119" s="240"/>
      <c r="L119" s="241"/>
      <c r="M119" s="242"/>
      <c r="N119" s="167">
        <f>#REF!</f>
      </c>
      <c r="O119" s="167">
        <f>#REF!</f>
      </c>
      <c r="P119" s="260">
        <f>#REF!</f>
      </c>
      <c r="Q119" s="168">
        <f>P119*N119</f>
      </c>
      <c r="R119" s="425">
        <f>IFERROR(Q119/$Q$166,0)</f>
      </c>
      <c r="S119" s="371">
        <f ca="1">IF($AL$5&lt;=1,0,SUM(OFFSET('rincian '!#REF!,0,0,1,$AL$5-1)))</f>
      </c>
      <c r="T119" s="425">
        <f ca="1">IFERROR(S119/N119*R119,0)</f>
      </c>
      <c r="U119" s="372" cm="1">
        <f t="array" ref="U119">IFERROR(INDEX('rincian '!#REF!,$AL$5),0)</f>
      </c>
      <c r="V119" s="425">
        <f>IFERROR(U119/N119*R119,0)</f>
      </c>
      <c r="W119" s="244">
        <f t="shared" ref="W119:X123" ca="1" si="26">S119+U119</f>
      </c>
      <c r="X119" s="202">
        <f t="shared" ca="1" si="26"/>
      </c>
      <c r="AL119" s="460"/>
      <c r="AM119" s="460"/>
      <c r="AN119" s="460"/>
      <c r="AO119" s="460"/>
      <c r="AP119" s="460"/>
      <c r="AQ119" s="460"/>
    </row>
    <row r="120" spans="2:43" s="105" customFormat="1" ht="27" customHeight="1">
      <c r="B120" s="370">
        <f>#REF!</f>
      </c>
      <c r="C120" s="232"/>
      <c r="D120" s="164">
        <f>IF(#REF!&lt;&gt;"",#REF!,IF(#REF!&lt;&gt;"",#REF!,""))</f>
      </c>
      <c r="E120" s="235"/>
      <c r="F120" s="236"/>
      <c r="G120" s="236"/>
      <c r="H120" s="237"/>
      <c r="I120" s="238"/>
      <c r="J120" s="239"/>
      <c r="K120" s="240"/>
      <c r="L120" s="241"/>
      <c r="M120" s="242"/>
      <c r="N120" s="167">
        <f>#REF!</f>
      </c>
      <c r="O120" s="167">
        <f>#REF!</f>
      </c>
      <c r="P120" s="260">
        <f>#REF!</f>
      </c>
      <c r="Q120" s="168">
        <f>P120*N120</f>
      </c>
      <c r="R120" s="425">
        <f>IFERROR(Q120/$Q$166,0)</f>
      </c>
      <c r="S120" s="371">
        <f ca="1">IF($AL$5&lt;=1,0,SUM(OFFSET('rincian '!#REF!,0,0,1,$AL$5-1)))</f>
      </c>
      <c r="T120" s="425">
        <f ca="1">IFERROR(S120/N120*R120,0)</f>
      </c>
      <c r="U120" s="372" cm="1">
        <f t="array" ref="U120">IFERROR(INDEX('rincian '!#REF!,$AL$5),0)</f>
      </c>
      <c r="V120" s="425">
        <f>IFERROR(U120/N120*R120,0)</f>
      </c>
      <c r="W120" s="244">
        <f t="shared" ca="1" si="26"/>
      </c>
      <c r="X120" s="202">
        <f t="shared" ca="1" si="26"/>
      </c>
      <c r="AL120" s="460"/>
      <c r="AM120" s="460"/>
      <c r="AN120" s="460"/>
      <c r="AO120" s="460"/>
      <c r="AP120" s="460"/>
      <c r="AQ120" s="460"/>
    </row>
    <row r="121" spans="2:43" s="105" customFormat="1" ht="27" customHeight="1">
      <c r="B121" s="370">
        <f>#REF!</f>
      </c>
      <c r="C121" s="232"/>
      <c r="D121" s="164">
        <f>IF(#REF!&lt;&gt;"",#REF!,IF(#REF!&lt;&gt;"",#REF!,""))</f>
      </c>
      <c r="E121" s="235"/>
      <c r="F121" s="236"/>
      <c r="G121" s="236"/>
      <c r="H121" s="237"/>
      <c r="I121" s="238"/>
      <c r="J121" s="239"/>
      <c r="K121" s="240"/>
      <c r="L121" s="241"/>
      <c r="M121" s="242"/>
      <c r="N121" s="167">
        <f>#REF!</f>
      </c>
      <c r="O121" s="167">
        <f>#REF!</f>
      </c>
      <c r="P121" s="260">
        <f>#REF!</f>
      </c>
      <c r="Q121" s="168">
        <f>P121*N121</f>
      </c>
      <c r="R121" s="425">
        <f>IFERROR(Q121/$Q$166,0)</f>
      </c>
      <c r="S121" s="371">
        <f ca="1">IF($AL$5&lt;=1,0,SUM(OFFSET('rincian '!#REF!,0,0,1,$AL$5-1)))</f>
      </c>
      <c r="T121" s="425">
        <f ca="1">IFERROR(S121/N121*R121,0)</f>
      </c>
      <c r="U121" s="372" cm="1">
        <f t="array" ref="U121">IFERROR(INDEX('rincian '!#REF!,$AL$5),0)</f>
      </c>
      <c r="V121" s="425">
        <f>IFERROR(U121/N121*R121,0)</f>
      </c>
      <c r="W121" s="244">
        <f t="shared" ca="1" si="26"/>
      </c>
      <c r="X121" s="202">
        <f t="shared" ca="1" si="26"/>
      </c>
      <c r="AL121" s="460"/>
      <c r="AM121" s="460"/>
      <c r="AN121" s="460"/>
      <c r="AO121" s="460"/>
      <c r="AP121" s="460"/>
      <c r="AQ121" s="460"/>
    </row>
    <row r="122" spans="2:43" s="105" customFormat="1" ht="27" customHeight="1">
      <c r="B122" s="370">
        <f>#REF!</f>
      </c>
      <c r="C122" s="232"/>
      <c r="D122" s="164">
        <f>IF(#REF!&lt;&gt;"",#REF!,IF(#REF!&lt;&gt;"",#REF!,""))</f>
      </c>
      <c r="E122" s="235"/>
      <c r="F122" s="236"/>
      <c r="G122" s="236"/>
      <c r="H122" s="237"/>
      <c r="I122" s="238"/>
      <c r="J122" s="239"/>
      <c r="K122" s="240"/>
      <c r="L122" s="241"/>
      <c r="M122" s="242"/>
      <c r="N122" s="167">
        <f>#REF!</f>
      </c>
      <c r="O122" s="167">
        <f>#REF!</f>
      </c>
      <c r="P122" s="260">
        <f>#REF!</f>
      </c>
      <c r="Q122" s="168">
        <f>P122*N122</f>
      </c>
      <c r="R122" s="425">
        <f>IFERROR(Q122/$Q$166,0)</f>
      </c>
      <c r="S122" s="371">
        <f ca="1">IF($AL$5&lt;=1,0,SUM(OFFSET('rincian '!#REF!,0,0,1,$AL$5-1)))</f>
      </c>
      <c r="T122" s="425">
        <f ca="1">IFERROR(S122/N122*R122,0)</f>
      </c>
      <c r="U122" s="372" cm="1">
        <f t="array" ref="U122">IFERROR(INDEX('rincian '!#REF!,$AL$5),0)</f>
      </c>
      <c r="V122" s="425">
        <f>IFERROR(U122/N122*R122,0)</f>
      </c>
      <c r="W122" s="244">
        <f t="shared" ca="1" si="26"/>
      </c>
      <c r="X122" s="202">
        <f t="shared" ca="1" si="26"/>
      </c>
      <c r="AL122" s="460"/>
      <c r="AM122" s="460"/>
      <c r="AN122" s="460"/>
      <c r="AO122" s="460"/>
      <c r="AP122" s="460"/>
      <c r="AQ122" s="460"/>
    </row>
    <row r="123" spans="2:43" s="105" customFormat="1" ht="27" customHeight="1">
      <c r="B123" s="370">
        <f>#REF!</f>
      </c>
      <c r="C123" s="232"/>
      <c r="D123" s="164">
        <f>IF(#REF!&lt;&gt;"",#REF!,IF(#REF!&lt;&gt;"",#REF!,""))</f>
      </c>
      <c r="E123" s="235"/>
      <c r="F123" s="236"/>
      <c r="G123" s="236"/>
      <c r="H123" s="237"/>
      <c r="I123" s="238"/>
      <c r="J123" s="239"/>
      <c r="K123" s="240"/>
      <c r="L123" s="241"/>
      <c r="M123" s="242"/>
      <c r="N123" s="167">
        <f>#REF!</f>
      </c>
      <c r="O123" s="167">
        <f>#REF!</f>
      </c>
      <c r="P123" s="260">
        <f>#REF!</f>
      </c>
      <c r="Q123" s="168">
        <f>P123*N123</f>
      </c>
      <c r="R123" s="425">
        <f>IFERROR(Q123/$Q$166,0)</f>
      </c>
      <c r="S123" s="371">
        <f ca="1">IF($AL$5&lt;=1,0,SUM(OFFSET('rincian '!#REF!,0,0,1,$AL$5-1)))</f>
      </c>
      <c r="T123" s="425">
        <f ca="1">IFERROR(S123/N123*R123,0)</f>
      </c>
      <c r="U123" s="372" cm="1">
        <f t="array" ref="U123">IFERROR(INDEX('rincian '!#REF!,$AL$5),0)</f>
      </c>
      <c r="V123" s="425">
        <f>IFERROR(U123/N123*R123,0)</f>
      </c>
      <c r="W123" s="244">
        <f t="shared" ca="1" si="26"/>
      </c>
      <c r="X123" s="202">
        <f t="shared" ca="1" si="26"/>
      </c>
      <c r="AL123" s="460"/>
      <c r="AM123" s="460"/>
      <c r="AN123" s="460"/>
      <c r="AO123" s="460"/>
      <c r="AP123" s="460"/>
      <c r="AQ123" s="460"/>
    </row>
    <row r="124" spans="2:43" s="105" customFormat="1" ht="27" customHeight="1">
      <c r="B124" s="401">
        <f>#REF!</f>
      </c>
      <c r="C124" s="373"/>
      <c r="D124" s="374">
        <f>IF(#REF!&lt;&gt;"",#REF!,IF(#REF!&lt;&gt;"",#REF!,""))</f>
      </c>
      <c r="E124" s="375"/>
      <c r="F124" s="376"/>
      <c r="G124" s="376"/>
      <c r="H124" s="377"/>
      <c r="I124" s="378"/>
      <c r="J124" s="379"/>
      <c r="K124" s="380"/>
      <c r="L124" s="381"/>
      <c r="M124" s="382"/>
      <c r="N124" s="167"/>
      <c r="O124" s="167"/>
      <c r="P124" s="260"/>
      <c r="Q124" s="168"/>
      <c r="R124" s="425"/>
      <c r="S124" s="371"/>
      <c r="T124" s="425"/>
      <c r="U124" s="372"/>
      <c r="V124" s="425"/>
      <c r="W124" s="244"/>
      <c r="X124" s="202"/>
      <c r="AL124" s="460"/>
      <c r="AM124" s="460"/>
      <c r="AN124" s="460"/>
      <c r="AO124" s="460"/>
      <c r="AP124" s="460"/>
      <c r="AQ124" s="460"/>
    </row>
    <row r="125" spans="2:43" s="105" customFormat="1" ht="27" customHeight="1">
      <c r="B125" s="370">
        <f>#REF!</f>
      </c>
      <c r="C125" s="232"/>
      <c r="D125" s="164">
        <f>IF(#REF!&lt;&gt;"",#REF!,IF(#REF!&lt;&gt;"",#REF!,""))</f>
      </c>
      <c r="E125" s="235"/>
      <c r="F125" s="236"/>
      <c r="G125" s="236"/>
      <c r="H125" s="237"/>
      <c r="I125" s="238"/>
      <c r="J125" s="239"/>
      <c r="K125" s="240"/>
      <c r="L125" s="241"/>
      <c r="M125" s="242"/>
      <c r="N125" s="167">
        <f>#REF!</f>
      </c>
      <c r="O125" s="167">
        <f>#REF!</f>
      </c>
      <c r="P125" s="260">
        <f>#REF!</f>
      </c>
      <c r="Q125" s="168">
        <f>P125*N125</f>
      </c>
      <c r="R125" s="425">
        <f>IFERROR(Q125/$Q$166,0)</f>
      </c>
      <c r="S125" s="371">
        <f ca="1">IF($AL$5&lt;=1,0,SUM(OFFSET('rincian '!#REF!,0,0,1,$AL$5-1)))</f>
      </c>
      <c r="T125" s="425">
        <f ca="1">IFERROR(S125/N125*R125,0)</f>
      </c>
      <c r="U125" s="372" cm="1">
        <f t="array" ref="U125">IFERROR(INDEX('rincian '!#REF!,$AL$5),0)</f>
      </c>
      <c r="V125" s="425">
        <f>IFERROR(U125/N125*R125,0)</f>
      </c>
      <c r="W125" s="244">
        <f ca="1">S125+U125</f>
      </c>
      <c r="X125" s="202">
        <f ca="1">T125+V125</f>
      </c>
      <c r="AL125" s="460"/>
      <c r="AM125" s="460"/>
      <c r="AN125" s="460"/>
      <c r="AO125" s="460"/>
      <c r="AP125" s="460"/>
      <c r="AQ125" s="460"/>
    </row>
    <row r="126" spans="2:43" s="105" customFormat="1" ht="27" customHeight="1">
      <c r="B126" s="370">
        <f>#REF!</f>
      </c>
      <c r="C126" s="232"/>
      <c r="D126" s="164">
        <f>IF(#REF!&lt;&gt;"",#REF!,IF(#REF!&lt;&gt;"",#REF!,""))</f>
      </c>
      <c r="E126" s="235"/>
      <c r="F126" s="236"/>
      <c r="G126" s="236"/>
      <c r="H126" s="237"/>
      <c r="I126" s="238"/>
      <c r="J126" s="239"/>
      <c r="K126" s="240"/>
      <c r="L126" s="241"/>
      <c r="M126" s="242"/>
      <c r="N126" s="167">
        <f>#REF!</f>
      </c>
      <c r="O126" s="167">
        <f>#REF!</f>
      </c>
      <c r="P126" s="260">
        <f>#REF!</f>
      </c>
      <c r="Q126" s="168">
        <f>P126*N126</f>
      </c>
      <c r="R126" s="425">
        <f>IFERROR(Q126/$Q$166,0)</f>
      </c>
      <c r="S126" s="371">
        <f ca="1">IF($AL$5&lt;=1,0,SUM(OFFSET('rincian '!#REF!,0,0,1,$AL$5-1)))</f>
      </c>
      <c r="T126" s="425">
        <f ca="1">IFERROR(S126/N126*R126,0)</f>
      </c>
      <c r="U126" s="372" cm="1">
        <f t="array" ref="U126">IFERROR(INDEX('rincian '!#REF!,$AL$5),0)</f>
      </c>
      <c r="V126" s="425">
        <f>IFERROR(U126/N126*R126,0)</f>
      </c>
      <c r="W126" s="244">
        <f ca="1">S126+U126</f>
      </c>
      <c r="X126" s="202">
        <f ca="1">T126+V126</f>
      </c>
      <c r="AL126" s="460"/>
      <c r="AM126" s="460"/>
      <c r="AN126" s="460"/>
      <c r="AO126" s="460"/>
      <c r="AP126" s="460"/>
      <c r="AQ126" s="460"/>
    </row>
    <row r="127" spans="2:43" s="105" customFormat="1" ht="27" customHeight="1">
      <c r="B127" s="401">
        <f>#REF!</f>
      </c>
      <c r="C127" s="373"/>
      <c r="D127" s="374">
        <f>IF(#REF!&lt;&gt;"",#REF!,IF(#REF!&lt;&gt;"",#REF!,""))</f>
      </c>
      <c r="E127" s="375"/>
      <c r="F127" s="376"/>
      <c r="G127" s="376"/>
      <c r="H127" s="377"/>
      <c r="I127" s="378"/>
      <c r="J127" s="379"/>
      <c r="K127" s="380"/>
      <c r="L127" s="381"/>
      <c r="M127" s="382"/>
      <c r="N127" s="167"/>
      <c r="O127" s="167"/>
      <c r="P127" s="260"/>
      <c r="Q127" s="168"/>
      <c r="R127" s="425"/>
      <c r="S127" s="371"/>
      <c r="T127" s="425"/>
      <c r="U127" s="372"/>
      <c r="V127" s="425"/>
      <c r="W127" s="244"/>
      <c r="X127" s="202"/>
      <c r="AL127" s="460"/>
      <c r="AM127" s="460"/>
      <c r="AN127" s="460"/>
      <c r="AO127" s="460"/>
      <c r="AP127" s="460"/>
      <c r="AQ127" s="460"/>
    </row>
    <row r="128" spans="2:43" s="105" customFormat="1" ht="27" customHeight="1">
      <c r="B128" s="370">
        <f>#REF!</f>
      </c>
      <c r="C128" s="232"/>
      <c r="D128" s="164">
        <f>IF(#REF!&lt;&gt;"",#REF!,IF(#REF!&lt;&gt;"",#REF!,""))</f>
      </c>
      <c r="E128" s="235"/>
      <c r="F128" s="236"/>
      <c r="G128" s="236"/>
      <c r="H128" s="237"/>
      <c r="I128" s="238"/>
      <c r="J128" s="239"/>
      <c r="K128" s="240"/>
      <c r="L128" s="241"/>
      <c r="M128" s="242"/>
      <c r="N128" s="167">
        <f>#REF!</f>
      </c>
      <c r="O128" s="167">
        <f>#REF!</f>
      </c>
      <c r="P128" s="260">
        <f>#REF!</f>
      </c>
      <c r="Q128" s="168">
        <f>P128*N128</f>
      </c>
      <c r="R128" s="425">
        <f>IFERROR(Q128/$Q$166,0)</f>
      </c>
      <c r="S128" s="371">
        <f ca="1">IF($AL$5&lt;=1,0,SUM(OFFSET('rincian '!#REF!,0,0,1,$AL$5-1)))</f>
      </c>
      <c r="T128" s="425">
        <f ca="1">IFERROR(S128/N128*R128,0)</f>
      </c>
      <c r="U128" s="372" cm="1">
        <f t="array" ref="U128">IFERROR(INDEX('rincian '!#REF!,$AL$5),0)</f>
      </c>
      <c r="V128" s="425">
        <f>IFERROR(U128/N128*R128,0)</f>
      </c>
      <c r="W128" s="244">
        <f t="shared" ref="W128:X130" ca="1" si="27">S128+U128</f>
      </c>
      <c r="X128" s="202">
        <f t="shared" ca="1" si="27"/>
      </c>
      <c r="AL128" s="460"/>
      <c r="AM128" s="460"/>
      <c r="AN128" s="460"/>
      <c r="AO128" s="460"/>
      <c r="AP128" s="460"/>
      <c r="AQ128" s="460"/>
    </row>
    <row r="129" spans="2:43" s="105" customFormat="1" ht="27" customHeight="1">
      <c r="B129" s="370">
        <f>#REF!</f>
      </c>
      <c r="C129" s="232"/>
      <c r="D129" s="164">
        <f>IF(#REF!&lt;&gt;"",#REF!,IF(#REF!&lt;&gt;"",#REF!,""))</f>
      </c>
      <c r="E129" s="235"/>
      <c r="F129" s="236"/>
      <c r="G129" s="236"/>
      <c r="H129" s="237"/>
      <c r="I129" s="238"/>
      <c r="J129" s="239"/>
      <c r="K129" s="240"/>
      <c r="L129" s="241"/>
      <c r="M129" s="242"/>
      <c r="N129" s="167">
        <f>#REF!</f>
      </c>
      <c r="O129" s="167">
        <f>#REF!</f>
      </c>
      <c r="P129" s="260">
        <f>#REF!</f>
      </c>
      <c r="Q129" s="168">
        <f>P129*N129</f>
      </c>
      <c r="R129" s="425">
        <f>IFERROR(Q129/$Q$166,0)</f>
      </c>
      <c r="S129" s="371">
        <f ca="1">IF($AL$5&lt;=1,0,SUM(OFFSET('rincian '!#REF!,0,0,1,$AL$5-1)))</f>
      </c>
      <c r="T129" s="425">
        <f ca="1">IFERROR(S129/N129*R129,0)</f>
      </c>
      <c r="U129" s="372" cm="1">
        <f t="array" ref="U129">IFERROR(INDEX('rincian '!#REF!,$AL$5),0)</f>
      </c>
      <c r="V129" s="425">
        <f>IFERROR(U129/N129*R129,0)</f>
      </c>
      <c r="W129" s="244">
        <f t="shared" ca="1" si="27"/>
      </c>
      <c r="X129" s="202">
        <f t="shared" ca="1" si="27"/>
      </c>
      <c r="AL129" s="460"/>
      <c r="AM129" s="460"/>
      <c r="AN129" s="460"/>
      <c r="AO129" s="460"/>
      <c r="AP129" s="460"/>
      <c r="AQ129" s="460"/>
    </row>
    <row r="130" spans="2:43" s="105" customFormat="1" ht="27" customHeight="1">
      <c r="B130" s="370">
        <f>#REF!</f>
      </c>
      <c r="C130" s="232"/>
      <c r="D130" s="164">
        <f>IF(#REF!&lt;&gt;"",#REF!,IF(#REF!&lt;&gt;"",#REF!,""))</f>
      </c>
      <c r="E130" s="235"/>
      <c r="F130" s="236"/>
      <c r="G130" s="236"/>
      <c r="H130" s="237"/>
      <c r="I130" s="238"/>
      <c r="J130" s="239"/>
      <c r="K130" s="240"/>
      <c r="L130" s="241"/>
      <c r="M130" s="242"/>
      <c r="N130" s="167">
        <f>#REF!</f>
      </c>
      <c r="O130" s="167">
        <f>#REF!</f>
      </c>
      <c r="P130" s="260">
        <f>#REF!</f>
      </c>
      <c r="Q130" s="168">
        <f>P130*N130</f>
      </c>
      <c r="R130" s="425">
        <f>IFERROR(Q130/$Q$166,0)</f>
      </c>
      <c r="S130" s="371">
        <f ca="1">IF($AL$5&lt;=1,0,SUM(OFFSET('rincian '!#REF!,0,0,1,$AL$5-1)))</f>
      </c>
      <c r="T130" s="425">
        <f ca="1">IFERROR(S130/N130*R130,0)</f>
      </c>
      <c r="U130" s="372" cm="1">
        <f t="array" ref="U130">IFERROR(INDEX('rincian '!#REF!,$AL$5),0)</f>
      </c>
      <c r="V130" s="425">
        <f>IFERROR(U130/N130*R130,0)</f>
      </c>
      <c r="W130" s="244">
        <f t="shared" ca="1" si="27"/>
      </c>
      <c r="X130" s="202">
        <f t="shared" ca="1" si="27"/>
      </c>
      <c r="AL130" s="460"/>
      <c r="AM130" s="460"/>
      <c r="AN130" s="460"/>
      <c r="AO130" s="460"/>
      <c r="AP130" s="460"/>
      <c r="AQ130" s="460"/>
    </row>
    <row r="131" spans="2:43" s="105" customFormat="1" ht="27" customHeight="1">
      <c r="B131" s="401">
        <f>#REF!</f>
      </c>
      <c r="C131" s="373"/>
      <c r="D131" s="374">
        <f>IF(#REF!&lt;&gt;"",#REF!,IF(#REF!&lt;&gt;"",#REF!,""))</f>
      </c>
      <c r="E131" s="375"/>
      <c r="F131" s="376"/>
      <c r="G131" s="376"/>
      <c r="H131" s="377"/>
      <c r="I131" s="378"/>
      <c r="J131" s="379"/>
      <c r="K131" s="380"/>
      <c r="L131" s="381"/>
      <c r="M131" s="382"/>
      <c r="N131" s="167"/>
      <c r="O131" s="167"/>
      <c r="P131" s="260"/>
      <c r="Q131" s="168"/>
      <c r="R131" s="425"/>
      <c r="S131" s="371"/>
      <c r="T131" s="425"/>
      <c r="U131" s="372"/>
      <c r="V131" s="425"/>
      <c r="W131" s="244"/>
      <c r="X131" s="202"/>
      <c r="AL131" s="460"/>
      <c r="AM131" s="460"/>
      <c r="AN131" s="460"/>
      <c r="AO131" s="460"/>
      <c r="AP131" s="460"/>
      <c r="AQ131" s="460"/>
    </row>
    <row r="132" spans="2:43" s="105" customFormat="1" ht="27" customHeight="1">
      <c r="B132" s="370">
        <f>#REF!</f>
      </c>
      <c r="C132" s="232"/>
      <c r="D132" s="164">
        <f>IF(#REF!&lt;&gt;"",#REF!,IF(#REF!&lt;&gt;"",#REF!,""))</f>
      </c>
      <c r="E132" s="235"/>
      <c r="F132" s="236"/>
      <c r="G132" s="236"/>
      <c r="H132" s="237"/>
      <c r="I132" s="238"/>
      <c r="J132" s="239"/>
      <c r="K132" s="240"/>
      <c r="L132" s="241"/>
      <c r="M132" s="242"/>
      <c r="N132" s="167">
        <f>#REF!</f>
      </c>
      <c r="O132" s="167">
        <f>#REF!</f>
      </c>
      <c r="P132" s="260">
        <f>#REF!</f>
      </c>
      <c r="Q132" s="168">
        <f>P132*N132</f>
      </c>
      <c r="R132" s="425">
        <f>IFERROR(Q132/$Q$166,0)</f>
      </c>
      <c r="S132" s="371">
        <f ca="1">IF($AL$5&lt;=1,0,SUM(OFFSET('rincian '!#REF!,0,0,1,$AL$5-1)))</f>
      </c>
      <c r="T132" s="425">
        <f ca="1">IFERROR(S132/N132*R132,0)</f>
      </c>
      <c r="U132" s="372" cm="1">
        <f t="array" ref="U132">IFERROR(INDEX('rincian '!#REF!,$AL$5),0)</f>
      </c>
      <c r="V132" s="425">
        <f>IFERROR(U132/N132*R132,0)</f>
      </c>
      <c r="W132" s="244">
        <f ca="1">S132+U132</f>
      </c>
      <c r="X132" s="202">
        <f ca="1">T132+V132</f>
      </c>
      <c r="AL132" s="460"/>
      <c r="AM132" s="460"/>
      <c r="AN132" s="460"/>
      <c r="AO132" s="460"/>
      <c r="AP132" s="460"/>
      <c r="AQ132" s="460"/>
    </row>
    <row r="133" spans="2:43" s="105" customFormat="1" ht="27" customHeight="1">
      <c r="B133" s="370">
        <f>#REF!</f>
      </c>
      <c r="C133" s="232"/>
      <c r="D133" s="164">
        <f>IF(#REF!&lt;&gt;"",#REF!,IF(#REF!&lt;&gt;"",#REF!,""))</f>
      </c>
      <c r="E133" s="235"/>
      <c r="F133" s="236"/>
      <c r="G133" s="236"/>
      <c r="H133" s="237"/>
      <c r="I133" s="238"/>
      <c r="J133" s="239"/>
      <c r="K133" s="240"/>
      <c r="L133" s="241"/>
      <c r="M133" s="242"/>
      <c r="N133" s="167">
        <f>#REF!</f>
      </c>
      <c r="O133" s="167">
        <f>#REF!</f>
      </c>
      <c r="P133" s="260">
        <f>#REF!</f>
      </c>
      <c r="Q133" s="168">
        <f>P133*N133</f>
      </c>
      <c r="R133" s="425">
        <f>IFERROR(Q133/$Q$166,0)</f>
      </c>
      <c r="S133" s="371">
        <f ca="1">IF($AL$5&lt;=1,0,SUM(OFFSET('rincian '!#REF!,0,0,1,$AL$5-1)))</f>
      </c>
      <c r="T133" s="425">
        <f ca="1">IFERROR(S133/N133*R133,0)</f>
      </c>
      <c r="U133" s="372" cm="1">
        <f t="array" ref="U133">IFERROR(INDEX('rincian '!#REF!,$AL$5),0)</f>
      </c>
      <c r="V133" s="425">
        <f>IFERROR(U133/N133*R133,0)</f>
      </c>
      <c r="W133" s="244">
        <f ca="1">S133+U133</f>
      </c>
      <c r="X133" s="202">
        <f ca="1">T133+V133</f>
      </c>
      <c r="AL133" s="460"/>
      <c r="AM133" s="460"/>
      <c r="AN133" s="460"/>
      <c r="AO133" s="460"/>
      <c r="AP133" s="460"/>
      <c r="AQ133" s="460"/>
    </row>
    <row r="134" spans="2:43" s="105" customFormat="1" ht="27" customHeight="1">
      <c r="B134" s="401">
        <f>#REF!</f>
      </c>
      <c r="C134" s="373"/>
      <c r="D134" s="374">
        <f>IF(#REF!&lt;&gt;"",#REF!,IF(#REF!&lt;&gt;"",#REF!,""))</f>
      </c>
      <c r="E134" s="375"/>
      <c r="F134" s="376"/>
      <c r="G134" s="376"/>
      <c r="H134" s="377"/>
      <c r="I134" s="378"/>
      <c r="J134" s="379"/>
      <c r="K134" s="380"/>
      <c r="L134" s="381"/>
      <c r="M134" s="382"/>
      <c r="N134" s="167"/>
      <c r="O134" s="167"/>
      <c r="P134" s="260"/>
      <c r="Q134" s="168"/>
      <c r="R134" s="425"/>
      <c r="S134" s="371"/>
      <c r="T134" s="425"/>
      <c r="U134" s="372"/>
      <c r="V134" s="425"/>
      <c r="W134" s="244"/>
      <c r="X134" s="202"/>
      <c r="AL134" s="460"/>
      <c r="AM134" s="460"/>
      <c r="AN134" s="460"/>
      <c r="AO134" s="460"/>
      <c r="AP134" s="460"/>
      <c r="AQ134" s="460"/>
    </row>
    <row r="135" spans="2:43" s="105" customFormat="1" ht="27" customHeight="1">
      <c r="B135" s="370">
        <f>#REF!</f>
      </c>
      <c r="C135" s="232"/>
      <c r="D135" s="164">
        <f>IF(#REF!&lt;&gt;"",#REF!,IF(#REF!&lt;&gt;"",#REF!,""))</f>
      </c>
      <c r="E135" s="235"/>
      <c r="F135" s="236"/>
      <c r="G135" s="236"/>
      <c r="H135" s="237"/>
      <c r="I135" s="238"/>
      <c r="J135" s="239"/>
      <c r="K135" s="240"/>
      <c r="L135" s="241"/>
      <c r="M135" s="242"/>
      <c r="N135" s="167">
        <f>#REF!</f>
      </c>
      <c r="O135" s="167">
        <f>#REF!</f>
      </c>
      <c r="P135" s="260">
        <f>#REF!</f>
      </c>
      <c r="Q135" s="168">
        <f>P135*N135</f>
      </c>
      <c r="R135" s="425">
        <f>IFERROR(Q135/$Q$166,0)</f>
      </c>
      <c r="S135" s="371">
        <f ca="1">IF($AL$5&lt;=1,0,SUM(OFFSET('rincian '!#REF!,0,0,1,$AL$5-1)))</f>
      </c>
      <c r="T135" s="425">
        <f ca="1">IFERROR(S135/N135*R135,0)</f>
      </c>
      <c r="U135" s="372" cm="1">
        <f t="array" ref="U135">IFERROR(INDEX('rincian '!#REF!,$AL$5),0)</f>
      </c>
      <c r="V135" s="425">
        <f>IFERROR(U135/N135*R135,0)</f>
      </c>
      <c r="W135" s="244">
        <f t="shared" ref="W135:X137" ca="1" si="28">S135+U135</f>
      </c>
      <c r="X135" s="202">
        <f t="shared" ca="1" si="28"/>
      </c>
      <c r="AL135" s="460"/>
      <c r="AM135" s="460"/>
      <c r="AN135" s="460"/>
      <c r="AO135" s="460"/>
      <c r="AP135" s="460"/>
      <c r="AQ135" s="460"/>
    </row>
    <row r="136" spans="2:43" s="105" customFormat="1" ht="27" customHeight="1">
      <c r="B136" s="370">
        <f>#REF!</f>
      </c>
      <c r="C136" s="232"/>
      <c r="D136" s="164">
        <f>IF(#REF!&lt;&gt;"",#REF!,IF(#REF!&lt;&gt;"",#REF!,""))</f>
      </c>
      <c r="E136" s="235"/>
      <c r="F136" s="236"/>
      <c r="G136" s="236"/>
      <c r="H136" s="237"/>
      <c r="I136" s="238"/>
      <c r="J136" s="239"/>
      <c r="K136" s="240"/>
      <c r="L136" s="241"/>
      <c r="M136" s="242"/>
      <c r="N136" s="167">
        <f>#REF!</f>
      </c>
      <c r="O136" s="167">
        <f>#REF!</f>
      </c>
      <c r="P136" s="260">
        <f>#REF!</f>
      </c>
      <c r="Q136" s="168">
        <f>P136*N136</f>
      </c>
      <c r="R136" s="425">
        <f>IFERROR(Q136/$Q$166,0)</f>
      </c>
      <c r="S136" s="371">
        <f ca="1">IF($AL$5&lt;=1,0,SUM(OFFSET('rincian '!#REF!,0,0,1,$AL$5-1)))</f>
      </c>
      <c r="T136" s="425">
        <f ca="1">IFERROR(S136/N136*R136,0)</f>
      </c>
      <c r="U136" s="372" cm="1">
        <f t="array" ref="U136">IFERROR(INDEX('rincian '!#REF!,$AL$5),0)</f>
      </c>
      <c r="V136" s="425">
        <f>IFERROR(U136/N136*R136,0)</f>
      </c>
      <c r="W136" s="244">
        <f t="shared" ca="1" si="28"/>
      </c>
      <c r="X136" s="202">
        <f t="shared" ca="1" si="28"/>
      </c>
      <c r="AL136" s="460"/>
      <c r="AM136" s="460"/>
      <c r="AN136" s="460"/>
      <c r="AO136" s="460"/>
      <c r="AP136" s="460"/>
      <c r="AQ136" s="460"/>
    </row>
    <row r="137" spans="2:43" s="105" customFormat="1" ht="27" customHeight="1">
      <c r="B137" s="370">
        <f>#REF!</f>
      </c>
      <c r="C137" s="232"/>
      <c r="D137" s="164">
        <f>IF(#REF!&lt;&gt;"",#REF!,IF(#REF!&lt;&gt;"",#REF!,""))</f>
      </c>
      <c r="E137" s="235"/>
      <c r="F137" s="236"/>
      <c r="G137" s="236"/>
      <c r="H137" s="237"/>
      <c r="I137" s="238"/>
      <c r="J137" s="239"/>
      <c r="K137" s="240"/>
      <c r="L137" s="241"/>
      <c r="M137" s="242"/>
      <c r="N137" s="167">
        <f>#REF!</f>
      </c>
      <c r="O137" s="167">
        <f>#REF!</f>
      </c>
      <c r="P137" s="260">
        <f>#REF!</f>
      </c>
      <c r="Q137" s="168">
        <f>P137*N137</f>
      </c>
      <c r="R137" s="425">
        <f>IFERROR(Q137/$Q$166,0)</f>
      </c>
      <c r="S137" s="371">
        <f ca="1">IF($AL$5&lt;=1,0,SUM(OFFSET('rincian '!#REF!,0,0,1,$AL$5-1)))</f>
      </c>
      <c r="T137" s="425">
        <f ca="1">IFERROR(S137/N137*R137,0)</f>
      </c>
      <c r="U137" s="372" cm="1">
        <f t="array" ref="U137">IFERROR(INDEX('rincian '!#REF!,$AL$5),0)</f>
      </c>
      <c r="V137" s="425">
        <f>IFERROR(U137/N137*R137,0)</f>
      </c>
      <c r="W137" s="244">
        <f t="shared" ca="1" si="28"/>
      </c>
      <c r="X137" s="202">
        <f t="shared" ca="1" si="28"/>
      </c>
      <c r="AL137" s="460"/>
      <c r="AM137" s="460"/>
      <c r="AN137" s="460"/>
      <c r="AO137" s="460"/>
      <c r="AP137" s="460"/>
      <c r="AQ137" s="460"/>
    </row>
    <row r="138" spans="2:43" s="105" customFormat="1" ht="27" customHeight="1">
      <c r="B138" s="402">
        <f>#REF!</f>
      </c>
      <c r="C138" s="384"/>
      <c r="D138" s="385">
        <f>IF(#REF!&lt;&gt;"",#REF!,IF(#REF!&lt;&gt;"",#REF!,""))</f>
      </c>
      <c r="E138" s="386"/>
      <c r="F138" s="387"/>
      <c r="G138" s="387"/>
      <c r="H138" s="388"/>
      <c r="I138" s="389"/>
      <c r="J138" s="390"/>
      <c r="K138" s="391"/>
      <c r="L138" s="392"/>
      <c r="M138" s="393"/>
      <c r="N138" s="394"/>
      <c r="O138" s="394"/>
      <c r="P138" s="395"/>
      <c r="Q138" s="396"/>
      <c r="R138" s="426"/>
      <c r="S138" s="403"/>
      <c r="T138" s="426"/>
      <c r="U138" s="403"/>
      <c r="V138" s="426"/>
      <c r="W138" s="399"/>
      <c r="X138" s="400"/>
      <c r="AL138" s="460"/>
      <c r="AM138" s="460"/>
      <c r="AN138" s="460"/>
      <c r="AO138" s="460"/>
      <c r="AP138" s="460"/>
      <c r="AQ138" s="460"/>
    </row>
    <row r="139" spans="2:43" s="105" customFormat="1" ht="27" customHeight="1">
      <c r="B139" s="401">
        <f>#REF!</f>
      </c>
      <c r="C139" s="373"/>
      <c r="D139" s="374">
        <f>IF(#REF!&lt;&gt;"",#REF!,IF(#REF!&lt;&gt;"",#REF!,""))</f>
      </c>
      <c r="E139" s="375"/>
      <c r="F139" s="376"/>
      <c r="G139" s="376"/>
      <c r="H139" s="377"/>
      <c r="I139" s="378"/>
      <c r="J139" s="379"/>
      <c r="K139" s="380"/>
      <c r="L139" s="381"/>
      <c r="M139" s="382"/>
      <c r="N139" s="167"/>
      <c r="O139" s="167"/>
      <c r="P139" s="260"/>
      <c r="Q139" s="168"/>
      <c r="R139" s="425"/>
      <c r="S139" s="371"/>
      <c r="T139" s="425"/>
      <c r="U139" s="372"/>
      <c r="V139" s="425"/>
      <c r="W139" s="244"/>
      <c r="X139" s="202"/>
      <c r="AL139" s="460"/>
      <c r="AM139" s="460"/>
      <c r="AN139" s="460"/>
      <c r="AO139" s="460"/>
      <c r="AP139" s="460"/>
      <c r="AQ139" s="460"/>
    </row>
    <row r="140" spans="2:43" s="105" customFormat="1" ht="27" customHeight="1">
      <c r="B140" s="370">
        <f>#REF!</f>
      </c>
      <c r="C140" s="232"/>
      <c r="D140" s="164">
        <f>IF(#REF!&lt;&gt;"",#REF!,IF(#REF!&lt;&gt;"",#REF!,""))</f>
      </c>
      <c r="E140" s="235"/>
      <c r="F140" s="236"/>
      <c r="G140" s="236"/>
      <c r="H140" s="237"/>
      <c r="I140" s="238"/>
      <c r="J140" s="239"/>
      <c r="K140" s="240"/>
      <c r="L140" s="241"/>
      <c r="M140" s="242"/>
      <c r="N140" s="167">
        <f>#REF!</f>
      </c>
      <c r="O140" s="167">
        <f>#REF!</f>
      </c>
      <c r="P140" s="260">
        <f>#REF!</f>
      </c>
      <c r="Q140" s="168">
        <f>P140*N140</f>
      </c>
      <c r="R140" s="425">
        <f>IFERROR(Q140/$Q$166,0)</f>
      </c>
      <c r="S140" s="371">
        <f ca="1">IF($AL$5&lt;=1,0,SUM(OFFSET('rincian '!#REF!,0,0,1,$AL$5-1)))</f>
      </c>
      <c r="T140" s="425">
        <f ca="1">IFERROR(S140/N140*R140,0)</f>
      </c>
      <c r="U140" s="372" cm="1">
        <f t="array" ref="U140">IFERROR(INDEX('rincian '!#REF!,$AL$5),0)</f>
      </c>
      <c r="V140" s="425">
        <f>IFERROR(U140/N140*R140,0)</f>
      </c>
      <c r="W140" s="244">
        <f t="shared" ref="W140:X143" ca="1" si="29">S140+U140</f>
      </c>
      <c r="X140" s="202">
        <f t="shared" ca="1" si="29"/>
      </c>
      <c r="AL140" s="460"/>
      <c r="AM140" s="460"/>
      <c r="AN140" s="460"/>
      <c r="AO140" s="460"/>
      <c r="AP140" s="460"/>
      <c r="AQ140" s="460"/>
    </row>
    <row r="141" spans="2:43" s="105" customFormat="1" ht="27" customHeight="1">
      <c r="B141" s="370">
        <f>#REF!</f>
      </c>
      <c r="C141" s="232"/>
      <c r="D141" s="164">
        <f>IF(#REF!&lt;&gt;"",#REF!,IF(#REF!&lt;&gt;"",#REF!,""))</f>
      </c>
      <c r="E141" s="235"/>
      <c r="F141" s="236"/>
      <c r="G141" s="236"/>
      <c r="H141" s="237"/>
      <c r="I141" s="238"/>
      <c r="J141" s="239"/>
      <c r="K141" s="240"/>
      <c r="L141" s="241"/>
      <c r="M141" s="242"/>
      <c r="N141" s="167">
        <f>#REF!</f>
      </c>
      <c r="O141" s="167">
        <f>#REF!</f>
      </c>
      <c r="P141" s="260">
        <f>#REF!</f>
      </c>
      <c r="Q141" s="168">
        <f>P141*N141</f>
      </c>
      <c r="R141" s="425">
        <f>IFERROR(Q141/$Q$166,0)</f>
      </c>
      <c r="S141" s="371">
        <f ca="1">IF($AL$5&lt;=1,0,SUM(OFFSET('rincian '!#REF!,0,0,1,$AL$5-1)))</f>
      </c>
      <c r="T141" s="425">
        <f ca="1">IFERROR(S141/N141*R141,0)</f>
      </c>
      <c r="U141" s="372" cm="1">
        <f t="array" ref="U141">IFERROR(INDEX('rincian '!#REF!,$AL$5),0)</f>
      </c>
      <c r="V141" s="425">
        <f>IFERROR(U141/N141*R141,0)</f>
      </c>
      <c r="W141" s="244">
        <f t="shared" ca="1" si="29"/>
      </c>
      <c r="X141" s="202">
        <f t="shared" ca="1" si="29"/>
      </c>
      <c r="AL141" s="460"/>
      <c r="AM141" s="460"/>
      <c r="AN141" s="460"/>
      <c r="AO141" s="460"/>
      <c r="AP141" s="460"/>
      <c r="AQ141" s="460"/>
    </row>
    <row r="142" spans="2:43" s="105" customFormat="1" ht="27" customHeight="1">
      <c r="B142" s="370">
        <f>#REF!</f>
      </c>
      <c r="C142" s="232"/>
      <c r="D142" s="164">
        <f>IF(#REF!&lt;&gt;"",#REF!,IF(#REF!&lt;&gt;"",#REF!,""))</f>
      </c>
      <c r="E142" s="235"/>
      <c r="F142" s="236"/>
      <c r="G142" s="236"/>
      <c r="H142" s="237"/>
      <c r="I142" s="238"/>
      <c r="J142" s="239"/>
      <c r="K142" s="240"/>
      <c r="L142" s="241"/>
      <c r="M142" s="242"/>
      <c r="N142" s="167">
        <f>#REF!</f>
      </c>
      <c r="O142" s="167">
        <f>#REF!</f>
      </c>
      <c r="P142" s="260">
        <f>#REF!</f>
      </c>
      <c r="Q142" s="168">
        <f>P142*N142</f>
      </c>
      <c r="R142" s="425">
        <f>IFERROR(Q142/$Q$166,0)</f>
      </c>
      <c r="S142" s="371">
        <f ca="1">IF($AL$5&lt;=1,0,SUM(OFFSET('rincian '!#REF!,0,0,1,$AL$5-1)))</f>
      </c>
      <c r="T142" s="425">
        <f ca="1">IFERROR(S142/N142*R142,0)</f>
      </c>
      <c r="U142" s="372" cm="1">
        <f t="array" ref="U142">IFERROR(INDEX('rincian '!#REF!,$AL$5),0)</f>
      </c>
      <c r="V142" s="425">
        <f>IFERROR(U142/N142*R142,0)</f>
      </c>
      <c r="W142" s="244">
        <f t="shared" ca="1" si="29"/>
      </c>
      <c r="X142" s="202">
        <f t="shared" ca="1" si="29"/>
      </c>
      <c r="AL142" s="460"/>
      <c r="AM142" s="460"/>
      <c r="AN142" s="460"/>
      <c r="AO142" s="460"/>
      <c r="AP142" s="460"/>
      <c r="AQ142" s="460"/>
    </row>
    <row r="143" spans="2:43" s="105" customFormat="1" ht="27" customHeight="1">
      <c r="B143" s="370">
        <f>#REF!</f>
      </c>
      <c r="C143" s="232"/>
      <c r="D143" s="164">
        <f>IF(#REF!&lt;&gt;"",#REF!,IF(#REF!&lt;&gt;"",#REF!,""))</f>
      </c>
      <c r="E143" s="235"/>
      <c r="F143" s="236"/>
      <c r="G143" s="236"/>
      <c r="H143" s="237"/>
      <c r="I143" s="238"/>
      <c r="J143" s="239"/>
      <c r="K143" s="240"/>
      <c r="L143" s="241"/>
      <c r="M143" s="242"/>
      <c r="N143" s="167">
        <f>#REF!</f>
      </c>
      <c r="O143" s="167">
        <f>#REF!</f>
      </c>
      <c r="P143" s="260">
        <f>#REF!</f>
      </c>
      <c r="Q143" s="168">
        <f>P143*N143</f>
      </c>
      <c r="R143" s="425">
        <f>IFERROR(Q143/$Q$166,0)</f>
      </c>
      <c r="S143" s="371">
        <f ca="1">IF($AL$5&lt;=1,0,SUM(OFFSET('rincian '!#REF!,0,0,1,$AL$5-1)))</f>
      </c>
      <c r="T143" s="425">
        <f ca="1">IFERROR(S143/N143*R143,0)</f>
      </c>
      <c r="U143" s="372" cm="1">
        <f t="array" ref="U143">IFERROR(INDEX('rincian '!#REF!,$AL$5),0)</f>
      </c>
      <c r="V143" s="425">
        <f>IFERROR(U143/N143*R143,0)</f>
      </c>
      <c r="W143" s="244">
        <f t="shared" ca="1" si="29"/>
      </c>
      <c r="X143" s="202">
        <f t="shared" ca="1" si="29"/>
      </c>
      <c r="AL143" s="460"/>
      <c r="AM143" s="460"/>
      <c r="AN143" s="460"/>
      <c r="AO143" s="460"/>
      <c r="AP143" s="460"/>
      <c r="AQ143" s="460"/>
    </row>
    <row r="144" spans="2:43" s="105" customFormat="1" ht="27" customHeight="1">
      <c r="B144" s="370">
        <f>#REF!</f>
      </c>
      <c r="C144" s="232"/>
      <c r="D144" s="164">
        <f>IF(#REF!&lt;&gt;"",#REF!,IF(#REF!&lt;&gt;"",#REF!,""))</f>
      </c>
      <c r="E144" s="235"/>
      <c r="F144" s="236"/>
      <c r="G144" s="236"/>
      <c r="H144" s="237"/>
      <c r="I144" s="238"/>
      <c r="J144" s="239"/>
      <c r="K144" s="240"/>
      <c r="L144" s="241"/>
      <c r="M144" s="242"/>
      <c r="N144" s="167"/>
      <c r="O144" s="167"/>
      <c r="P144" s="260"/>
      <c r="Q144" s="168"/>
      <c r="R144" s="425"/>
      <c r="S144" s="371"/>
      <c r="T144" s="425"/>
      <c r="U144" s="372"/>
      <c r="V144" s="425"/>
      <c r="W144" s="244"/>
      <c r="X144" s="202"/>
      <c r="AL144" s="460"/>
      <c r="AM144" s="460"/>
      <c r="AN144" s="460"/>
      <c r="AO144" s="460"/>
      <c r="AP144" s="460"/>
      <c r="AQ144" s="460"/>
    </row>
    <row r="145" spans="2:43" s="105" customFormat="1" ht="27" customHeight="1">
      <c r="B145" s="370">
        <f>#REF!</f>
      </c>
      <c r="C145" s="232"/>
      <c r="D145" s="164">
        <f>IF(#REF!&lt;&gt;"",#REF!,IF(#REF!&lt;&gt;"",#REF!,""))</f>
      </c>
      <c r="E145" s="235"/>
      <c r="F145" s="236"/>
      <c r="G145" s="236"/>
      <c r="H145" s="237"/>
      <c r="I145" s="238"/>
      <c r="J145" s="239"/>
      <c r="K145" s="240"/>
      <c r="L145" s="241"/>
      <c r="M145" s="242"/>
      <c r="N145" s="167"/>
      <c r="O145" s="167"/>
      <c r="P145" s="260"/>
      <c r="Q145" s="168"/>
      <c r="R145" s="425"/>
      <c r="S145" s="371"/>
      <c r="T145" s="425"/>
      <c r="U145" s="372"/>
      <c r="V145" s="425"/>
      <c r="W145" s="244"/>
      <c r="X145" s="202"/>
      <c r="AL145" s="460"/>
      <c r="AM145" s="460"/>
      <c r="AN145" s="460"/>
      <c r="AO145" s="460"/>
      <c r="AP145" s="460"/>
      <c r="AQ145" s="460"/>
    </row>
    <row r="146" spans="2:43" s="105" customFormat="1" ht="21" customHeight="1">
      <c r="B146" s="370">
        <f>#REF!</f>
      </c>
      <c r="C146" s="232"/>
      <c r="D146" s="704">
        <f>IF(#REF!&lt;&gt;"",#REF!,IF(#REF!&lt;&gt;"",#REF!,""))</f>
      </c>
      <c r="E146" s="704"/>
      <c r="F146" s="704"/>
      <c r="G146" s="704"/>
      <c r="H146" s="704"/>
      <c r="I146" s="704"/>
      <c r="J146" s="704"/>
      <c r="K146" s="704"/>
      <c r="L146" s="704"/>
      <c r="M146" s="705"/>
      <c r="N146" s="167"/>
      <c r="O146" s="167"/>
      <c r="P146" s="260"/>
      <c r="Q146" s="168"/>
      <c r="R146" s="425"/>
      <c r="S146" s="371"/>
      <c r="T146" s="425"/>
      <c r="U146" s="372"/>
      <c r="V146" s="425"/>
      <c r="W146" s="244"/>
      <c r="X146" s="202"/>
      <c r="AL146" s="460"/>
      <c r="AM146" s="460"/>
      <c r="AN146" s="460"/>
      <c r="AO146" s="460"/>
      <c r="AP146" s="460"/>
      <c r="AQ146" s="460"/>
    </row>
    <row r="147" spans="2:43" s="105" customFormat="1" ht="27" customHeight="1">
      <c r="B147" s="370">
        <f>#REF!</f>
      </c>
      <c r="C147" s="232"/>
      <c r="D147" s="164">
        <f>IF(#REF!&lt;&gt;"",#REF!,IF(#REF!&lt;&gt;"",#REF!,""))</f>
      </c>
      <c r="E147" s="235"/>
      <c r="F147" s="236"/>
      <c r="G147" s="236"/>
      <c r="H147" s="237"/>
      <c r="I147" s="238"/>
      <c r="J147" s="239"/>
      <c r="K147" s="240"/>
      <c r="L147" s="241"/>
      <c r="M147" s="242"/>
      <c r="N147" s="167">
        <f>#REF!</f>
      </c>
      <c r="O147" s="167">
        <f>#REF!</f>
      </c>
      <c r="P147" s="260">
        <f>#REF!</f>
      </c>
      <c r="Q147" s="168">
        <f>P147*N147</f>
      </c>
      <c r="R147" s="425">
        <f>IFERROR(Q147/$Q$166,0)</f>
      </c>
      <c r="S147" s="371">
        <f ca="1">IF($AL$5&lt;=1,0,SUM(OFFSET('rincian '!#REF!,0,0,1,$AL$5-1)))</f>
      </c>
      <c r="T147" s="425">
        <f ca="1">IFERROR(S147/N147*R147,0)</f>
      </c>
      <c r="U147" s="372" cm="1">
        <f t="array" ref="U147">IFERROR(INDEX('rincian '!#REF!,$AL$5),0)</f>
      </c>
      <c r="V147" s="425">
        <f>IFERROR(U147/N147*R147,0)</f>
      </c>
      <c r="W147" s="244">
        <f ca="1">S147+U147</f>
      </c>
      <c r="X147" s="202">
        <f ca="1">T147+V147</f>
      </c>
      <c r="AL147" s="460"/>
      <c r="AM147" s="460"/>
      <c r="AN147" s="460"/>
      <c r="AO147" s="460"/>
      <c r="AP147" s="460"/>
      <c r="AQ147" s="460"/>
    </row>
    <row r="148" spans="2:43" s="105" customFormat="1" ht="27" customHeight="1">
      <c r="B148" s="370">
        <f>#REF!</f>
      </c>
      <c r="C148" s="232"/>
      <c r="D148" s="164">
        <f>IF(#REF!&lt;&gt;"",#REF!,IF(#REF!&lt;&gt;"",#REF!,""))</f>
      </c>
      <c r="E148" s="235"/>
      <c r="F148" s="236"/>
      <c r="G148" s="236"/>
      <c r="H148" s="237"/>
      <c r="I148" s="238"/>
      <c r="J148" s="239"/>
      <c r="K148" s="240"/>
      <c r="L148" s="241"/>
      <c r="M148" s="242"/>
      <c r="N148" s="167"/>
      <c r="O148" s="167"/>
      <c r="P148" s="260"/>
      <c r="Q148" s="168"/>
      <c r="R148" s="425"/>
      <c r="S148" s="371"/>
      <c r="T148" s="425"/>
      <c r="U148" s="372"/>
      <c r="V148" s="425"/>
      <c r="W148" s="244"/>
      <c r="X148" s="202"/>
      <c r="AL148" s="460"/>
      <c r="AM148" s="460"/>
      <c r="AN148" s="460"/>
      <c r="AO148" s="460"/>
      <c r="AP148" s="460"/>
      <c r="AQ148" s="460"/>
    </row>
    <row r="149" spans="2:43" s="105" customFormat="1" ht="27" customHeight="1">
      <c r="B149" s="370">
        <f>#REF!</f>
      </c>
      <c r="C149" s="232"/>
      <c r="D149" s="164">
        <f>IF(#REF!&lt;&gt;"",#REF!,IF(#REF!&lt;&gt;"",#REF!,""))</f>
      </c>
      <c r="E149" s="235"/>
      <c r="F149" s="236"/>
      <c r="G149" s="236"/>
      <c r="H149" s="237"/>
      <c r="I149" s="238"/>
      <c r="J149" s="239"/>
      <c r="K149" s="240"/>
      <c r="L149" s="241"/>
      <c r="M149" s="242"/>
      <c r="N149" s="167"/>
      <c r="O149" s="167"/>
      <c r="P149" s="260"/>
      <c r="Q149" s="168"/>
      <c r="R149" s="425"/>
      <c r="S149" s="371"/>
      <c r="T149" s="425"/>
      <c r="U149" s="372"/>
      <c r="V149" s="425"/>
      <c r="W149" s="244"/>
      <c r="X149" s="202"/>
      <c r="AL149" s="460"/>
      <c r="AM149" s="460"/>
      <c r="AN149" s="460"/>
      <c r="AO149" s="460"/>
      <c r="AP149" s="460"/>
      <c r="AQ149" s="460"/>
    </row>
    <row r="150" spans="2:43" s="105" customFormat="1" ht="27" customHeight="1">
      <c r="B150" s="370">
        <f>#REF!</f>
      </c>
      <c r="C150" s="232"/>
      <c r="D150" s="164">
        <f>IF(#REF!&lt;&gt;"",#REF!,IF(#REF!&lt;&gt;"",#REF!,""))</f>
      </c>
      <c r="E150" s="235"/>
      <c r="F150" s="236"/>
      <c r="G150" s="236"/>
      <c r="H150" s="237"/>
      <c r="I150" s="238"/>
      <c r="J150" s="239"/>
      <c r="K150" s="240"/>
      <c r="L150" s="241"/>
      <c r="M150" s="242"/>
      <c r="N150" s="167"/>
      <c r="O150" s="167"/>
      <c r="P150" s="260"/>
      <c r="Q150" s="168"/>
      <c r="R150" s="425"/>
      <c r="S150" s="371"/>
      <c r="T150" s="425"/>
      <c r="U150" s="372"/>
      <c r="V150" s="425"/>
      <c r="W150" s="244"/>
      <c r="X150" s="202"/>
      <c r="AL150" s="460"/>
      <c r="AM150" s="460"/>
      <c r="AN150" s="460"/>
      <c r="AO150" s="460"/>
      <c r="AP150" s="460"/>
      <c r="AQ150" s="460"/>
    </row>
    <row r="151" spans="2:43" s="105" customFormat="1" ht="27" customHeight="1">
      <c r="B151" s="370">
        <f>#REF!</f>
      </c>
      <c r="C151" s="232"/>
      <c r="D151" s="164">
        <f>IF(#REF!&lt;&gt;"",#REF!,IF(#REF!&lt;&gt;"",#REF!,""))</f>
      </c>
      <c r="E151" s="235"/>
      <c r="F151" s="236"/>
      <c r="G151" s="236"/>
      <c r="H151" s="237"/>
      <c r="I151" s="238"/>
      <c r="J151" s="239"/>
      <c r="K151" s="240"/>
      <c r="L151" s="241"/>
      <c r="M151" s="242"/>
      <c r="N151" s="167"/>
      <c r="O151" s="167"/>
      <c r="P151" s="260"/>
      <c r="Q151" s="168"/>
      <c r="R151" s="425"/>
      <c r="S151" s="371"/>
      <c r="T151" s="425"/>
      <c r="U151" s="372"/>
      <c r="V151" s="425"/>
      <c r="W151" s="244"/>
      <c r="X151" s="202"/>
      <c r="AL151" s="460"/>
      <c r="AM151" s="460"/>
      <c r="AN151" s="460"/>
      <c r="AO151" s="460"/>
      <c r="AP151" s="460"/>
      <c r="AQ151" s="460"/>
    </row>
    <row r="152" spans="2:43" s="105" customFormat="1" ht="27" customHeight="1">
      <c r="B152" s="370">
        <f>#REF!</f>
      </c>
      <c r="C152" s="232"/>
      <c r="D152" s="164">
        <f>IF(#REF!&lt;&gt;"",#REF!,IF(#REF!&lt;&gt;"",#REF!,""))</f>
      </c>
      <c r="E152" s="235"/>
      <c r="F152" s="236"/>
      <c r="G152" s="236"/>
      <c r="H152" s="237"/>
      <c r="I152" s="238"/>
      <c r="J152" s="239"/>
      <c r="K152" s="240"/>
      <c r="L152" s="241"/>
      <c r="M152" s="242"/>
      <c r="N152" s="167">
        <f>#REF!</f>
      </c>
      <c r="O152" s="167">
        <f>#REF!</f>
      </c>
      <c r="P152" s="260">
        <f>#REF!</f>
      </c>
      <c r="Q152" s="168">
        <f>P152*N152</f>
      </c>
      <c r="R152" s="425">
        <f>IFERROR(Q152/$Q$166,0)</f>
      </c>
      <c r="S152" s="371">
        <f ca="1">IF($AL$5&lt;=1,0,SUM(OFFSET('rincian '!#REF!,0,0,1,$AL$5-1)))</f>
      </c>
      <c r="T152" s="425">
        <f ca="1">IFERROR(S152/N152*R152,0)</f>
      </c>
      <c r="U152" s="372" cm="1">
        <f t="array" ref="U152">IFERROR(INDEX('rincian '!#REF!,$AL$5),0)</f>
      </c>
      <c r="V152" s="425">
        <f>IFERROR(U152/N152*R152,0)</f>
      </c>
      <c r="W152" s="244">
        <f ca="1">S152+U152</f>
      </c>
      <c r="X152" s="202">
        <f ca="1">T152+V152</f>
      </c>
      <c r="AL152" s="460"/>
      <c r="AM152" s="460"/>
      <c r="AN152" s="460"/>
      <c r="AO152" s="460"/>
      <c r="AP152" s="460"/>
      <c r="AQ152" s="460"/>
    </row>
    <row r="153" spans="2:43" s="105" customFormat="1" ht="27" customHeight="1">
      <c r="B153" s="401">
        <f>#REF!</f>
      </c>
      <c r="C153" s="373"/>
      <c r="D153" s="374">
        <f>IF(#REF!&lt;&gt;"",#REF!,IF(#REF!&lt;&gt;"",#REF!,""))</f>
      </c>
      <c r="E153" s="375"/>
      <c r="F153" s="376"/>
      <c r="G153" s="376"/>
      <c r="H153" s="377"/>
      <c r="I153" s="378"/>
      <c r="J153" s="379"/>
      <c r="K153" s="380"/>
      <c r="L153" s="381"/>
      <c r="M153" s="382"/>
      <c r="N153" s="167"/>
      <c r="O153" s="167"/>
      <c r="P153" s="260"/>
      <c r="Q153" s="168"/>
      <c r="R153" s="425"/>
      <c r="S153" s="371"/>
      <c r="T153" s="425"/>
      <c r="U153" s="372"/>
      <c r="V153" s="425"/>
      <c r="W153" s="244"/>
      <c r="X153" s="202"/>
      <c r="AL153" s="460"/>
      <c r="AM153" s="460"/>
      <c r="AN153" s="460"/>
      <c r="AO153" s="460"/>
      <c r="AP153" s="460"/>
      <c r="AQ153" s="460"/>
    </row>
    <row r="154" spans="2:43" s="105" customFormat="1" ht="27" customHeight="1">
      <c r="B154" s="370">
        <f>#REF!</f>
      </c>
      <c r="C154" s="232"/>
      <c r="D154" s="164">
        <f>IF(#REF!&lt;&gt;"",#REF!,IF(#REF!&lt;&gt;"",#REF!,""))</f>
      </c>
      <c r="E154" s="235"/>
      <c r="F154" s="236"/>
      <c r="G154" s="236"/>
      <c r="H154" s="237"/>
      <c r="I154" s="238"/>
      <c r="J154" s="239"/>
      <c r="K154" s="240"/>
      <c r="L154" s="241"/>
      <c r="M154" s="242"/>
      <c r="N154" s="167">
        <f>#REF!</f>
      </c>
      <c r="O154" s="167">
        <f>#REF!</f>
      </c>
      <c r="P154" s="260">
        <f>#REF!</f>
      </c>
      <c r="Q154" s="168">
        <f>P154*N154</f>
      </c>
      <c r="R154" s="425">
        <f>IFERROR(Q154/$Q$166,0)</f>
      </c>
      <c r="S154" s="371">
        <f ca="1">IF($AL$5&lt;=1,0,SUM(OFFSET('rincian '!#REF!,0,0,1,$AL$5-1)))</f>
      </c>
      <c r="T154" s="425">
        <f ca="1">IFERROR(S154/N154*R154,0)</f>
      </c>
      <c r="U154" s="372" cm="1">
        <f t="array" ref="U154">IFERROR(INDEX('rincian '!#REF!,$AL$5),0)</f>
      </c>
      <c r="V154" s="425">
        <f>IFERROR(U154/N154*R154,0)</f>
      </c>
      <c r="W154" s="244">
        <f ca="1">S154+U154</f>
      </c>
      <c r="X154" s="202">
        <f ca="1">T154+V154</f>
      </c>
      <c r="AL154" s="460"/>
      <c r="AM154" s="460"/>
      <c r="AN154" s="460"/>
      <c r="AO154" s="460"/>
      <c r="AP154" s="460"/>
      <c r="AQ154" s="460"/>
    </row>
    <row r="155" spans="2:43" s="105" customFormat="1" ht="27" customHeight="1">
      <c r="B155" s="370">
        <f>#REF!</f>
      </c>
      <c r="C155" s="232"/>
      <c r="D155" s="164">
        <f>IF(#REF!&lt;&gt;"",#REF!,IF(#REF!&lt;&gt;"",#REF!,""))</f>
      </c>
      <c r="E155" s="235"/>
      <c r="F155" s="236"/>
      <c r="G155" s="236"/>
      <c r="H155" s="237"/>
      <c r="I155" s="238"/>
      <c r="J155" s="239"/>
      <c r="K155" s="240"/>
      <c r="L155" s="241"/>
      <c r="M155" s="242"/>
      <c r="N155" s="167">
        <f>#REF!</f>
      </c>
      <c r="O155" s="167">
        <f>#REF!</f>
      </c>
      <c r="P155" s="260">
        <f>#REF!</f>
      </c>
      <c r="Q155" s="168">
        <f>P155*N155</f>
      </c>
      <c r="R155" s="425">
        <f>IFERROR(Q155/$Q$166,0)</f>
      </c>
      <c r="S155" s="371">
        <f ca="1">IF($AL$5&lt;=1,0,SUM(OFFSET('rincian '!#REF!,0,0,1,$AL$5-1)))</f>
      </c>
      <c r="T155" s="425">
        <f ca="1">IFERROR(S155/N155*R155,0)</f>
      </c>
      <c r="U155" s="372" cm="1">
        <f t="array" ref="U155">IFERROR(INDEX('rincian '!#REF!,$AL$5),0)</f>
      </c>
      <c r="V155" s="425">
        <f>IFERROR(U155/N155*R155,0)</f>
      </c>
      <c r="W155" s="244">
        <f ca="1">S155+U155</f>
      </c>
      <c r="X155" s="202">
        <f ca="1">T155+V155</f>
      </c>
      <c r="AL155" s="460"/>
      <c r="AM155" s="460"/>
      <c r="AN155" s="460"/>
      <c r="AO155" s="460"/>
      <c r="AP155" s="460"/>
      <c r="AQ155" s="460"/>
    </row>
    <row r="156" spans="2:43" s="105" customFormat="1" ht="27" customHeight="1">
      <c r="B156" s="370">
        <f>#REF!</f>
      </c>
      <c r="C156" s="232"/>
      <c r="D156" s="164">
        <f>IF(#REF!&lt;&gt;"",#REF!,IF(#REF!&lt;&gt;"",#REF!,""))</f>
      </c>
      <c r="E156" s="235"/>
      <c r="F156" s="236"/>
      <c r="G156" s="236"/>
      <c r="H156" s="237"/>
      <c r="I156" s="238"/>
      <c r="J156" s="239"/>
      <c r="K156" s="240"/>
      <c r="L156" s="241"/>
      <c r="M156" s="242"/>
      <c r="N156" s="167"/>
      <c r="O156" s="167"/>
      <c r="P156" s="260"/>
      <c r="Q156" s="168"/>
      <c r="R156" s="425"/>
      <c r="S156" s="371"/>
      <c r="T156" s="425"/>
      <c r="U156" s="372"/>
      <c r="V156" s="425"/>
      <c r="W156" s="244"/>
      <c r="X156" s="202"/>
      <c r="AL156" s="460"/>
      <c r="AM156" s="460"/>
      <c r="AN156" s="460"/>
      <c r="AO156" s="460"/>
      <c r="AP156" s="460"/>
      <c r="AQ156" s="460"/>
    </row>
    <row r="157" spans="2:43" s="105" customFormat="1" ht="27" customHeight="1">
      <c r="B157" s="370">
        <f>#REF!</f>
      </c>
      <c r="C157" s="232"/>
      <c r="D157" s="164">
        <f>IF(#REF!&lt;&gt;"",#REF!,IF(#REF!&lt;&gt;"",#REF!,""))</f>
      </c>
      <c r="E157" s="235"/>
      <c r="F157" s="236"/>
      <c r="G157" s="236"/>
      <c r="H157" s="237"/>
      <c r="I157" s="238"/>
      <c r="J157" s="239"/>
      <c r="K157" s="240"/>
      <c r="L157" s="241"/>
      <c r="M157" s="242"/>
      <c r="N157" s="167"/>
      <c r="O157" s="167"/>
      <c r="P157" s="260"/>
      <c r="Q157" s="168"/>
      <c r="R157" s="425"/>
      <c r="S157" s="371"/>
      <c r="T157" s="425"/>
      <c r="U157" s="372"/>
      <c r="V157" s="425"/>
      <c r="W157" s="244"/>
      <c r="X157" s="202"/>
      <c r="AL157" s="460"/>
      <c r="AM157" s="460"/>
      <c r="AN157" s="460"/>
      <c r="AO157" s="460"/>
      <c r="AP157" s="460"/>
      <c r="AQ157" s="460"/>
    </row>
    <row r="158" spans="2:43" s="105" customFormat="1" ht="27" customHeight="1">
      <c r="B158" s="370">
        <f>#REF!</f>
      </c>
      <c r="C158" s="232"/>
      <c r="D158" s="164">
        <f>IF(#REF!&lt;&gt;"",#REF!,IF(#REF!&lt;&gt;"",#REF!,""))</f>
      </c>
      <c r="E158" s="235"/>
      <c r="F158" s="236"/>
      <c r="G158" s="236"/>
      <c r="H158" s="237"/>
      <c r="I158" s="238"/>
      <c r="J158" s="239"/>
      <c r="K158" s="240"/>
      <c r="L158" s="241"/>
      <c r="M158" s="242"/>
      <c r="N158" s="167"/>
      <c r="O158" s="167"/>
      <c r="P158" s="260"/>
      <c r="Q158" s="168"/>
      <c r="R158" s="425"/>
      <c r="S158" s="371"/>
      <c r="T158" s="425"/>
      <c r="U158" s="372"/>
      <c r="V158" s="425"/>
      <c r="W158" s="244"/>
      <c r="X158" s="202"/>
      <c r="AL158" s="460"/>
      <c r="AM158" s="460"/>
      <c r="AN158" s="460"/>
      <c r="AO158" s="460"/>
      <c r="AP158" s="460"/>
      <c r="AQ158" s="460"/>
    </row>
    <row r="159" spans="2:43" s="105" customFormat="1" ht="27" customHeight="1">
      <c r="B159" s="370">
        <f>#REF!</f>
      </c>
      <c r="C159" s="232"/>
      <c r="D159" s="164">
        <f>IF(#REF!&lt;&gt;"",#REF!,IF(#REF!&lt;&gt;"",#REF!,""))</f>
      </c>
      <c r="E159" s="235"/>
      <c r="F159" s="236"/>
      <c r="G159" s="236"/>
      <c r="H159" s="237"/>
      <c r="I159" s="238"/>
      <c r="J159" s="239"/>
      <c r="K159" s="240"/>
      <c r="L159" s="241"/>
      <c r="M159" s="242"/>
      <c r="N159" s="167">
        <f>#REF!</f>
      </c>
      <c r="O159" s="167">
        <f>#REF!</f>
      </c>
      <c r="P159" s="260">
        <f>#REF!</f>
      </c>
      <c r="Q159" s="168">
        <f>P159*N159</f>
      </c>
      <c r="R159" s="425">
        <f>IFERROR(Q159/$Q$166,0)</f>
      </c>
      <c r="S159" s="371">
        <f ca="1">IF($AL$5&lt;=1,0,SUM(OFFSET('rincian '!#REF!,0,0,1,$AL$5-1)))</f>
      </c>
      <c r="T159" s="425">
        <f ca="1">IFERROR(S159/N159*R159,0)</f>
      </c>
      <c r="U159" s="372" cm="1">
        <f t="array" ref="U159">IFERROR(INDEX('rincian '!#REF!,$AL$5),0)</f>
      </c>
      <c r="V159" s="425">
        <f>IFERROR(U159/N159*R159,0)</f>
      </c>
      <c r="W159" s="244">
        <f ca="1">S159+U159</f>
      </c>
      <c r="X159" s="202">
        <f ca="1">T159+V159</f>
      </c>
      <c r="AL159" s="460"/>
      <c r="AM159" s="460"/>
      <c r="AN159" s="460"/>
      <c r="AO159" s="460"/>
      <c r="AP159" s="460"/>
      <c r="AQ159" s="460"/>
    </row>
    <row r="160" spans="2:43" s="105" customFormat="1" ht="27" customHeight="1">
      <c r="B160" s="370">
        <f>#REF!</f>
      </c>
      <c r="C160" s="232"/>
      <c r="D160" s="164">
        <f>IF(#REF!&lt;&gt;"",#REF!,IF(#REF!&lt;&gt;"",#REF!,""))</f>
      </c>
      <c r="E160" s="235"/>
      <c r="F160" s="236"/>
      <c r="G160" s="236"/>
      <c r="H160" s="237"/>
      <c r="I160" s="238"/>
      <c r="J160" s="239"/>
      <c r="K160" s="240"/>
      <c r="L160" s="241"/>
      <c r="M160" s="242"/>
      <c r="N160" s="167"/>
      <c r="O160" s="167"/>
      <c r="P160" s="260"/>
      <c r="Q160" s="168"/>
      <c r="R160" s="425"/>
      <c r="S160" s="371"/>
      <c r="T160" s="425"/>
      <c r="U160" s="372"/>
      <c r="V160" s="425"/>
      <c r="W160" s="244"/>
      <c r="X160" s="202"/>
      <c r="AL160" s="460"/>
      <c r="AM160" s="460"/>
      <c r="AN160" s="460"/>
      <c r="AO160" s="460"/>
      <c r="AP160" s="460"/>
      <c r="AQ160" s="460"/>
    </row>
    <row r="161" spans="2:43" s="105" customFormat="1" ht="27" customHeight="1">
      <c r="B161" s="370">
        <f>#REF!</f>
      </c>
      <c r="C161" s="232"/>
      <c r="D161" s="164">
        <f>IF(#REF!&lt;&gt;"",#REF!,IF(#REF!&lt;&gt;"",#REF!,""))</f>
      </c>
      <c r="E161" s="235"/>
      <c r="F161" s="236"/>
      <c r="G161" s="236"/>
      <c r="H161" s="237"/>
      <c r="I161" s="238"/>
      <c r="J161" s="239"/>
      <c r="K161" s="240"/>
      <c r="L161" s="241"/>
      <c r="M161" s="242"/>
      <c r="N161" s="167"/>
      <c r="O161" s="167"/>
      <c r="P161" s="260"/>
      <c r="Q161" s="168"/>
      <c r="R161" s="425"/>
      <c r="S161" s="371"/>
      <c r="T161" s="425"/>
      <c r="U161" s="372"/>
      <c r="V161" s="425"/>
      <c r="W161" s="244"/>
      <c r="X161" s="202"/>
      <c r="AL161" s="460"/>
      <c r="AM161" s="460"/>
      <c r="AN161" s="460"/>
      <c r="AO161" s="460"/>
      <c r="AP161" s="460"/>
      <c r="AQ161" s="460"/>
    </row>
    <row r="162" spans="2:43" s="105" customFormat="1" ht="27" customHeight="1">
      <c r="B162" s="370">
        <f>#REF!</f>
      </c>
      <c r="C162" s="232"/>
      <c r="D162" s="164">
        <f>IF(#REF!&lt;&gt;"",#REF!,IF(#REF!&lt;&gt;"",#REF!,""))</f>
      </c>
      <c r="E162" s="235"/>
      <c r="F162" s="236"/>
      <c r="G162" s="236"/>
      <c r="H162" s="237"/>
      <c r="I162" s="238"/>
      <c r="J162" s="239"/>
      <c r="K162" s="240"/>
      <c r="L162" s="241"/>
      <c r="M162" s="242"/>
      <c r="N162" s="167">
        <f>#REF!</f>
      </c>
      <c r="O162" s="167">
        <f>#REF!</f>
      </c>
      <c r="P162" s="260">
        <f>#REF!</f>
      </c>
      <c r="Q162" s="168">
        <f>P162*N162</f>
      </c>
      <c r="R162" s="425">
        <f>IFERROR(Q162/$Q$166,0)</f>
      </c>
      <c r="S162" s="371">
        <f ca="1">IF($AL$5&lt;=1,0,SUM(OFFSET('rincian '!#REF!,0,0,1,$AL$5-1)))</f>
      </c>
      <c r="T162" s="425">
        <f ca="1">IFERROR(S162/N162*R162,0)</f>
      </c>
      <c r="U162" s="372" cm="1">
        <f t="array" ref="U162">IFERROR(INDEX('rincian '!#REF!,$AL$5),0)</f>
      </c>
      <c r="V162" s="425">
        <f>IFERROR(U162/N162*R162,0)</f>
      </c>
      <c r="W162" s="244">
        <f t="shared" ref="W162:X164" ca="1" si="30">S162+U162</f>
      </c>
      <c r="X162" s="202">
        <f t="shared" ca="1" si="30"/>
      </c>
      <c r="AL162" s="460"/>
      <c r="AM162" s="460"/>
      <c r="AN162" s="460"/>
      <c r="AO162" s="460"/>
      <c r="AP162" s="460"/>
      <c r="AQ162" s="460"/>
    </row>
    <row r="163" spans="2:43" s="105" customFormat="1" ht="27" customHeight="1">
      <c r="B163" s="370">
        <f>#REF!</f>
      </c>
      <c r="C163" s="232"/>
      <c r="D163" s="164">
        <f>IF(#REF!&lt;&gt;"",#REF!,IF(#REF!&lt;&gt;"",#REF!,""))</f>
      </c>
      <c r="E163" s="235"/>
      <c r="F163" s="236"/>
      <c r="G163" s="236"/>
      <c r="H163" s="237"/>
      <c r="I163" s="238"/>
      <c r="J163" s="239"/>
      <c r="K163" s="240"/>
      <c r="L163" s="241"/>
      <c r="M163" s="242"/>
      <c r="N163" s="167">
        <f>#REF!</f>
      </c>
      <c r="O163" s="167">
        <f>#REF!</f>
      </c>
      <c r="P163" s="260">
        <f>#REF!</f>
      </c>
      <c r="Q163" s="168">
        <f>P163*N163</f>
      </c>
      <c r="R163" s="425">
        <f>IFERROR(Q163/$Q$166,0)</f>
      </c>
      <c r="S163" s="371">
        <f ca="1">IF($AL$5&lt;=1,0,SUM(OFFSET('rincian '!#REF!,0,0,1,$AL$5-1)))</f>
      </c>
      <c r="T163" s="425">
        <f ca="1">IFERROR(S163/N163*R163,0)</f>
      </c>
      <c r="U163" s="372" cm="1">
        <f t="array" ref="U163">IFERROR(INDEX('rincian '!#REF!,$AL$5),0)</f>
      </c>
      <c r="V163" s="425">
        <f>IFERROR(U163/N163*R163,0)</f>
      </c>
      <c r="W163" s="244">
        <f t="shared" ca="1" si="30"/>
      </c>
      <c r="X163" s="202">
        <f t="shared" ca="1" si="30"/>
      </c>
      <c r="AL163" s="460"/>
      <c r="AM163" s="460"/>
      <c r="AN163" s="460"/>
      <c r="AO163" s="460"/>
      <c r="AP163" s="460"/>
      <c r="AQ163" s="460"/>
    </row>
    <row r="164" spans="2:43" s="105" customFormat="1" ht="27" customHeight="1">
      <c r="B164" s="370">
        <f>#REF!</f>
      </c>
      <c r="C164" s="232"/>
      <c r="D164" s="164">
        <f>IF(#REF!&lt;&gt;"",#REF!,IF(#REF!&lt;&gt;"",#REF!,""))</f>
      </c>
      <c r="E164" s="235"/>
      <c r="F164" s="236"/>
      <c r="G164" s="236"/>
      <c r="H164" s="237"/>
      <c r="I164" s="238"/>
      <c r="J164" s="239"/>
      <c r="K164" s="240"/>
      <c r="L164" s="241"/>
      <c r="M164" s="242"/>
      <c r="N164" s="167">
        <f>#REF!</f>
      </c>
      <c r="O164" s="167">
        <f>#REF!</f>
      </c>
      <c r="P164" s="260">
        <f>#REF!</f>
      </c>
      <c r="Q164" s="168">
        <f>P164*N164</f>
      </c>
      <c r="R164" s="425">
        <f>IFERROR(Q164/$Q$166,0)</f>
      </c>
      <c r="S164" s="371">
        <f ca="1">IF($AL$5&lt;=1,0,SUM(OFFSET('rincian '!#REF!,0,0,1,$AL$5-1)))</f>
      </c>
      <c r="T164" s="425">
        <f ca="1">IFERROR(S164/N164*R164,0)</f>
      </c>
      <c r="U164" s="372" cm="1">
        <f t="array" ref="U164">IFERROR(INDEX('rincian '!#REF!,$AL$5),0)</f>
      </c>
      <c r="V164" s="425">
        <f>IFERROR(U164/N164*R164,0)</f>
      </c>
      <c r="W164" s="244">
        <f t="shared" ca="1" si="30"/>
      </c>
      <c r="X164" s="202">
        <f t="shared" ca="1" si="30"/>
      </c>
      <c r="AL164" s="460"/>
      <c r="AM164" s="460"/>
      <c r="AN164" s="460"/>
      <c r="AO164" s="460"/>
      <c r="AP164" s="460"/>
      <c r="AQ164" s="460"/>
    </row>
    <row r="165" spans="2:43" s="105" customFormat="1" ht="25.2" customHeight="1">
      <c r="B165" s="140"/>
      <c r="C165" s="200"/>
      <c r="D165" s="196"/>
      <c r="E165" s="141"/>
      <c r="F165" s="141"/>
      <c r="G165" s="141"/>
      <c r="H165" s="141"/>
      <c r="I165" s="142"/>
      <c r="J165" s="143"/>
      <c r="K165" s="144"/>
      <c r="L165" s="145"/>
      <c r="M165" s="145"/>
      <c r="N165" s="167"/>
      <c r="O165" s="132"/>
      <c r="P165" s="133"/>
      <c r="Q165" s="168"/>
      <c r="R165" s="427"/>
      <c r="S165" s="146"/>
      <c r="T165" s="427"/>
      <c r="U165" s="146"/>
      <c r="V165" s="427"/>
      <c r="W165" s="170"/>
      <c r="X165" s="171"/>
    </row>
    <row r="166" spans="2:43" ht="25.2" customHeight="1" thickBot="1">
      <c r="B166" s="147"/>
      <c r="C166" s="148" t="s">
        <v>123</v>
      </c>
      <c r="D166" s="149"/>
      <c r="E166" s="150"/>
      <c r="F166" s="150"/>
      <c r="G166" s="150"/>
      <c r="H166" s="150"/>
      <c r="I166" s="150"/>
      <c r="J166" s="151"/>
      <c r="K166" s="152"/>
      <c r="L166" s="153"/>
      <c r="M166" s="154"/>
      <c r="N166" s="155"/>
      <c r="O166" s="151"/>
      <c r="P166" s="156"/>
      <c r="Q166" s="169">
        <f>SUM(Q12:Q165)</f>
      </c>
      <c r="R166" s="428">
        <f>SUM(R12:R165)</f>
      </c>
      <c r="S166" s="197"/>
      <c r="T166" s="428">
        <f ca="1">SUM(T12:T165)</f>
      </c>
      <c r="U166" s="198"/>
      <c r="V166" s="428">
        <f>SUM(V12:V165)</f>
      </c>
      <c r="W166" s="197"/>
      <c r="X166" s="199">
        <f ca="1">SUM(X12:X165)</f>
      </c>
      <c r="Z166" s="666" cm="1">
        <f t="array" aca="1" ref="Z166" ca="1">IF(SUMPRODUCT(--(W12:W165&gt;IFERROR(N12:N165*1,0)))&gt;0,"DITOLAK: ada item dengan progres s/d periode ini MELEBIHI volume kontrak",IF(ROUND(X166,6)&gt;1,"DITOLAK: bobot s/d periode ini "&amp;TEXT(X166,"0.00%")&amp;" sudah melebihi 100%",IF(ROUND(X166,6)=1,"PROGRES SUDAH 100% - VOLUME KONTRAK HABIS, penambahan progres ditolak","SISA BOBOT BELUM DITAGIH: "&amp;TEXT(1-X166,"0.00%"))))</f>
      </c>
      <c r="AA166" s="665"/>
      <c r="AB166" s="665"/>
      <c r="AC166" s="665"/>
      <c r="AD166" s="665"/>
      <c r="AE166" s="665"/>
      <c r="AF166" s="665"/>
      <c r="AG166" s="665"/>
      <c r="AH166" s="665"/>
    </row>
    <row r="167" spans="2:43" ht="25.2" customHeight="1">
      <c r="B167" s="157"/>
      <c r="C167" s="158"/>
      <c r="D167" s="159"/>
      <c r="E167" s="158"/>
      <c r="F167" s="158"/>
      <c r="G167" s="158"/>
      <c r="H167" s="158"/>
      <c r="I167" s="158"/>
      <c r="J167" s="160"/>
      <c r="K167" s="158"/>
      <c r="L167" s="158"/>
      <c r="M167" s="158"/>
      <c r="N167" s="161"/>
      <c r="O167" s="160"/>
      <c r="P167" s="161"/>
      <c r="Q167" s="161"/>
      <c r="R167" s="162"/>
      <c r="S167" s="120"/>
      <c r="T167" s="120"/>
      <c r="U167" s="120"/>
      <c r="V167" s="120"/>
      <c r="W167" s="120"/>
      <c r="X167" s="120"/>
      <c r="Z167" s="665"/>
      <c r="AA167" s="665"/>
      <c r="AB167" s="665"/>
      <c r="AC167" s="665"/>
      <c r="AD167" s="665"/>
      <c r="AE167" s="665"/>
      <c r="AF167" s="665"/>
      <c r="AG167" s="665"/>
      <c r="AH167" s="665"/>
    </row>
    <row r="168" spans="2:43" ht="25.2" customHeight="1">
      <c r="B168" s="157"/>
      <c r="C168" s="158"/>
      <c r="D168" s="159"/>
      <c r="E168" s="158"/>
      <c r="F168" s="158"/>
      <c r="G168" s="158"/>
      <c r="H168" s="158"/>
      <c r="I168" s="158"/>
      <c r="J168" s="160"/>
      <c r="K168" s="158"/>
      <c r="L168" s="158"/>
      <c r="M168" s="158"/>
      <c r="N168" s="163"/>
      <c r="O168" s="160"/>
      <c r="P168" s="161"/>
      <c r="Q168" s="161"/>
      <c r="R168" s="120"/>
      <c r="S168" s="120"/>
      <c r="T168" s="120"/>
      <c r="U168" s="120"/>
      <c r="V168" s="172"/>
      <c r="W168" s="203">
        <f>DATA!$B$36&amp;", "&amp;'BAPP 5'!W2</f>
      </c>
      <c r="X168" s="172"/>
    </row>
    <row r="169" spans="2:43" ht="25.2" customHeight="1">
      <c r="B169" s="658" t="s">
        <v>166</v>
      </c>
      <c r="C169" s="658"/>
      <c r="D169" s="658"/>
      <c r="E169" s="658"/>
      <c r="F169" s="658"/>
      <c r="G169" s="658"/>
      <c r="H169" s="658"/>
      <c r="I169" s="173"/>
      <c r="J169" s="173"/>
      <c r="K169" s="173"/>
      <c r="L169" s="173"/>
      <c r="M169" s="173"/>
      <c r="N169" s="658" t="s">
        <v>167</v>
      </c>
      <c r="O169" s="658"/>
      <c r="P169" s="658"/>
      <c r="Q169" s="658"/>
      <c r="R169" s="658"/>
      <c r="S169" s="658"/>
      <c r="T169" s="658"/>
      <c r="U169" s="120"/>
      <c r="V169" s="658" t="s">
        <v>168</v>
      </c>
      <c r="W169" s="658"/>
      <c r="X169" s="658"/>
    </row>
    <row r="170" spans="2:43" ht="25.2" hidden="1" customHeight="1">
      <c r="B170" s="658">
        <f>DATA!$B$107</f>
      </c>
      <c r="C170" s="658"/>
      <c r="D170" s="658"/>
      <c r="E170" s="658"/>
      <c r="F170" s="658"/>
      <c r="G170" s="658"/>
      <c r="H170" s="658"/>
      <c r="I170" s="173"/>
      <c r="J170" s="173"/>
      <c r="K170" s="173"/>
      <c r="L170" s="173"/>
      <c r="M170" s="173"/>
      <c r="N170" s="658">
        <f>B170</f>
      </c>
      <c r="O170" s="658"/>
      <c r="P170" s="658"/>
      <c r="Q170" s="161"/>
      <c r="R170" s="655">
        <f>N170</f>
      </c>
      <c r="S170" s="655"/>
      <c r="T170" s="655"/>
      <c r="U170" s="120"/>
      <c r="V170" s="655" t="s">
        <v>169</v>
      </c>
      <c r="W170" s="655"/>
      <c r="X170" s="655"/>
    </row>
    <row r="171" spans="2:43" ht="25.2" hidden="1" customHeight="1">
      <c r="B171" s="658">
        <f>DATA!$B$108</f>
      </c>
      <c r="C171" s="658"/>
      <c r="D171" s="658"/>
      <c r="E171" s="658"/>
      <c r="F171" s="658"/>
      <c r="G171" s="658"/>
      <c r="H171" s="658"/>
      <c r="I171" s="173"/>
      <c r="J171" s="173"/>
      <c r="K171" s="173"/>
      <c r="L171" s="173"/>
      <c r="M171" s="173"/>
      <c r="N171" s="658">
        <f>$B$171</f>
      </c>
      <c r="O171" s="658"/>
      <c r="P171" s="658"/>
      <c r="Q171" s="161"/>
      <c r="R171" s="655">
        <f>$B$171</f>
      </c>
      <c r="S171" s="655"/>
      <c r="T171" s="655"/>
      <c r="U171" s="120"/>
      <c r="V171" s="655"/>
      <c r="W171" s="655"/>
      <c r="X171" s="655"/>
    </row>
    <row r="172" spans="2:43" ht="25.2" customHeight="1">
      <c r="B172" s="157"/>
      <c r="C172" s="158"/>
      <c r="D172" s="159"/>
      <c r="E172" s="158"/>
      <c r="F172" s="158"/>
      <c r="G172" s="158"/>
      <c r="H172" s="158"/>
      <c r="I172" s="158"/>
      <c r="J172" s="158"/>
      <c r="K172" s="158"/>
      <c r="L172" s="158"/>
      <c r="M172" s="158"/>
      <c r="N172" s="161"/>
      <c r="O172" s="158"/>
      <c r="P172" s="161"/>
      <c r="Q172" s="161"/>
      <c r="R172" s="120"/>
      <c r="S172" s="120"/>
      <c r="T172" s="120"/>
      <c r="U172" s="120"/>
      <c r="V172" s="120"/>
      <c r="W172" s="120"/>
      <c r="X172" s="120"/>
    </row>
    <row r="173" spans="2:43" ht="25.2" customHeight="1">
      <c r="B173" s="157"/>
      <c r="C173" s="158"/>
      <c r="D173" s="159"/>
      <c r="E173" s="158"/>
      <c r="F173" s="158"/>
      <c r="G173" s="158"/>
      <c r="H173" s="158"/>
      <c r="I173" s="158"/>
      <c r="J173" s="158"/>
      <c r="K173" s="158"/>
      <c r="L173" s="158"/>
      <c r="M173" s="158"/>
      <c r="N173" s="161"/>
      <c r="O173" s="158"/>
      <c r="P173" s="161"/>
      <c r="Q173" s="161"/>
      <c r="R173" s="120"/>
      <c r="S173" s="120"/>
      <c r="T173" s="120"/>
      <c r="U173" s="120"/>
      <c r="V173" s="120"/>
      <c r="W173" s="120"/>
      <c r="X173" s="120"/>
    </row>
    <row r="174" spans="2:43" ht="25.2" customHeight="1">
      <c r="B174" s="157"/>
      <c r="C174" s="158"/>
      <c r="D174" s="159"/>
      <c r="E174" s="158"/>
      <c r="F174" s="158"/>
      <c r="G174" s="158"/>
      <c r="H174" s="158"/>
      <c r="I174" s="158"/>
      <c r="J174" s="158"/>
      <c r="K174" s="158"/>
      <c r="L174" s="158"/>
      <c r="M174" s="158"/>
      <c r="N174" s="161"/>
      <c r="O174" s="158"/>
      <c r="P174" s="161"/>
      <c r="Q174" s="161"/>
      <c r="R174" s="120"/>
      <c r="S174" s="120"/>
      <c r="T174" s="120"/>
      <c r="U174" s="120"/>
      <c r="V174" s="120"/>
      <c r="W174" s="120"/>
      <c r="X174" s="120"/>
    </row>
    <row r="175" spans="2:43" ht="25.2" customHeight="1">
      <c r="B175" s="157"/>
      <c r="C175" s="158"/>
      <c r="D175" s="159"/>
      <c r="E175" s="158"/>
      <c r="F175" s="158"/>
      <c r="G175" s="158"/>
      <c r="H175" s="158"/>
      <c r="I175" s="158"/>
      <c r="J175" s="158"/>
      <c r="K175" s="158"/>
      <c r="L175" s="158"/>
      <c r="M175" s="158"/>
      <c r="N175" s="161"/>
      <c r="O175" s="158"/>
      <c r="P175" s="161"/>
      <c r="Q175" s="161"/>
      <c r="R175" s="120"/>
      <c r="S175" s="120"/>
      <c r="T175" s="120"/>
      <c r="U175" s="120"/>
      <c r="V175" s="120"/>
      <c r="W175" s="120"/>
      <c r="X175" s="120"/>
    </row>
    <row r="176" spans="2:43" ht="25.2" customHeight="1">
      <c r="B176" s="157"/>
      <c r="C176" s="158"/>
      <c r="D176" s="159"/>
      <c r="E176" s="158"/>
      <c r="F176" s="158"/>
      <c r="G176" s="158"/>
      <c r="H176" s="158"/>
      <c r="I176" s="158"/>
      <c r="J176" s="158"/>
      <c r="K176" s="158"/>
      <c r="L176" s="158"/>
      <c r="M176" s="158"/>
      <c r="N176" s="161"/>
      <c r="O176" s="158"/>
      <c r="P176" s="161"/>
      <c r="Q176" s="161"/>
      <c r="R176" s="120"/>
      <c r="S176" s="120"/>
      <c r="T176" s="120"/>
      <c r="U176" s="120"/>
      <c r="V176" s="120"/>
      <c r="W176" s="120"/>
      <c r="X176" s="120"/>
    </row>
    <row r="177" spans="2:24" ht="25.2" customHeight="1">
      <c r="B177" s="157"/>
      <c r="C177" s="158"/>
      <c r="D177" s="159"/>
      <c r="E177" s="158"/>
      <c r="F177" s="158"/>
      <c r="G177" s="158"/>
      <c r="H177" s="158"/>
      <c r="I177" s="158"/>
      <c r="J177" s="158"/>
      <c r="K177" s="158"/>
      <c r="L177" s="158"/>
      <c r="M177" s="158"/>
      <c r="N177" s="161"/>
      <c r="O177" s="158"/>
      <c r="P177" s="161"/>
      <c r="Q177" s="161"/>
      <c r="R177" s="120"/>
      <c r="S177" s="120"/>
      <c r="T177" s="120"/>
      <c r="U177" s="120"/>
      <c r="V177" s="120"/>
      <c r="W177" s="120"/>
      <c r="X177" s="120"/>
    </row>
    <row r="178" spans="2:24" ht="25.2" customHeight="1">
      <c r="B178" s="659">
        <f>DATA!$B$109</f>
      </c>
      <c r="C178" s="660"/>
      <c r="D178" s="660"/>
      <c r="E178" s="660"/>
      <c r="F178" s="660"/>
      <c r="G178" s="660"/>
      <c r="H178" s="660"/>
      <c r="I178" s="174"/>
      <c r="J178" s="174"/>
      <c r="K178" s="174"/>
      <c r="L178" s="174"/>
      <c r="M178" s="174"/>
      <c r="N178" s="659">
        <f>DATA!$B$111</f>
      </c>
      <c r="O178" s="660"/>
      <c r="P178" s="660"/>
      <c r="Q178" s="218"/>
      <c r="R178" s="664">
        <f>DATA!$B$113</f>
      </c>
      <c r="S178" s="665"/>
      <c r="T178" s="665"/>
      <c r="U178" s="665"/>
      <c r="V178" s="663">
        <f>#REF!</f>
      </c>
      <c r="W178" s="663"/>
      <c r="X178" s="663"/>
    </row>
    <row r="179" spans="2:24" ht="25.2" customHeight="1">
      <c r="B179" s="658">
        <f>DATA!$B$110</f>
      </c>
      <c r="C179" s="658"/>
      <c r="D179" s="658"/>
      <c r="E179" s="658"/>
      <c r="F179" s="658"/>
      <c r="G179" s="658"/>
      <c r="H179" s="658"/>
      <c r="I179" s="173"/>
      <c r="J179" s="173"/>
      <c r="K179" s="173"/>
      <c r="L179" s="173"/>
      <c r="M179" s="173"/>
      <c r="N179" s="658">
        <f>DATA!$B$112</f>
      </c>
      <c r="O179" s="658"/>
      <c r="P179" s="658"/>
      <c r="Q179" s="219"/>
      <c r="R179" s="710">
        <f>DATA!$B$114</f>
      </c>
      <c r="S179" s="665"/>
      <c r="T179" s="665"/>
      <c r="U179" s="665"/>
      <c r="V179" s="709">
        <f>#REF!</f>
      </c>
      <c r="W179" s="709"/>
      <c r="X179" s="709"/>
    </row>
    <row r="182" spans="2:24" ht="25.2" customHeight="1">
      <c r="P182" s="166"/>
    </row>
    <row r="183" spans="2:24" ht="25.2" customHeight="1">
      <c r="J183" s="165" t="s">
        <v>170</v>
      </c>
      <c r="O183" s="165"/>
      <c r="P183" s="165"/>
    </row>
    <row r="184" spans="2:24" ht="25.2" customHeight="1">
      <c r="J184" s="165">
        <f>DATA!$B$62</f>
      </c>
      <c r="O184" s="165"/>
    </row>
    <row r="185" spans="2:24" ht="25.2" customHeight="1">
      <c r="J185" s="165">
        <f>DATA!$B$108</f>
      </c>
      <c r="O185" s="165"/>
    </row>
  </sheetData>
  <mergeCells count="53">
    <mergeCell ref="B179:H179"/>
    <mergeCell ref="N179:P179"/>
    <mergeCell ref="V179:X179"/>
    <mergeCell ref="B171:H171"/>
    <mergeCell ref="N171:P171"/>
    <mergeCell ref="R171:T171"/>
    <mergeCell ref="V171:X171"/>
    <mergeCell ref="B178:H178"/>
    <mergeCell ref="N178:P178"/>
    <mergeCell ref="V178:X178"/>
    <mergeCell ref="R178:U178"/>
    <mergeCell ref="R179:U179"/>
    <mergeCell ref="B169:H169"/>
    <mergeCell ref="V169:X169"/>
    <mergeCell ref="B170:H170"/>
    <mergeCell ref="N170:P170"/>
    <mergeCell ref="R170:T170"/>
    <mergeCell ref="V170:X170"/>
    <mergeCell ref="D40:M40"/>
    <mergeCell ref="D58:M58"/>
    <mergeCell ref="D59:M59"/>
    <mergeCell ref="D60:M60"/>
    <mergeCell ref="D101:M101"/>
    <mergeCell ref="X8:X9"/>
    <mergeCell ref="C11:I11"/>
    <mergeCell ref="D15:M15"/>
    <mergeCell ref="D16:M16"/>
    <mergeCell ref="D17:M17"/>
    <mergeCell ref="P7:P9"/>
    <mergeCell ref="Q7:Q9"/>
    <mergeCell ref="S7:T7"/>
    <mergeCell ref="U7:V7"/>
    <mergeCell ref="W7:X7"/>
    <mergeCell ref="R8:R9"/>
    <mergeCell ref="S8:S9"/>
    <mergeCell ref="T8:T9"/>
    <mergeCell ref="U8:U9"/>
    <mergeCell ref="Z166:AH166"/>
    <mergeCell ref="Z167:AH167"/>
    <mergeCell ref="N169:T169"/>
    <mergeCell ref="V8:V9"/>
    <mergeCell ref="B2:X2"/>
    <mergeCell ref="B3:X3"/>
    <mergeCell ref="B4:X4"/>
    <mergeCell ref="B5:X5"/>
    <mergeCell ref="B7:B9"/>
    <mergeCell ref="C7:I9"/>
    <mergeCell ref="J7:J9"/>
    <mergeCell ref="K7:M8"/>
    <mergeCell ref="N7:N9"/>
    <mergeCell ref="O7:O9"/>
    <mergeCell ref="D146:M146"/>
    <mergeCell ref="W8:W9"/>
  </mergeCells>
  <conditionalFormatting sqref="Z166:AH167">
    <cfRule type="containsText" dxfId="12" priority="1" operator="containsText" text="DITOLAK">
      <formula>NOT(ISERROR(SEARCH("DITOLAK",Z166)))</formula>
    </cfRule>
    <cfRule type="containsText" dxfId="11" priority="2" operator="containsText" text="HABIS">
      <formula>NOT(ISERROR(SEARCH("HABIS",Z166)))</formula>
    </cfRule>
    <cfRule type="containsText" dxfId="10" priority="3" operator="containsText" text="SISA">
      <formula>NOT(ISERROR(SEARCH("SISA",Z166)))</formula>
    </cfRule>
  </conditionalFormatting>
  <printOptions horizontalCentered="1"/>
  <pageMargins left="0.18" right="0.14000000000000001" top="0.39370078740157499" bottom="0.39370078740157499" header="0.31496062992126" footer="0.31496062992126"/>
  <pageSetup paperSize="9" scale="39" fitToHeight="0" orientation="landscape" r:id="rId1"/>
  <rowBreaks count="3" manualBreakCount="3">
    <brk id="50" min="1" max="23" man="1"/>
    <brk id="100" min="1" max="23" man="1"/>
    <brk id="147" min="1" max="2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C267-55E0-44CA-BEC4-1C95B614ED0D}">
  <sheetPr>
    <tabColor rgb="FF0070C0"/>
  </sheetPr>
  <dimension ref="B2:AQ185"/>
  <sheetViews>
    <sheetView view="pageBreakPreview" topLeftCell="E119" zoomScale="40" zoomScaleNormal="60" zoomScaleSheetLayoutView="40" workbookViewId="0">
      <selection activeCell="B3" sqref="B3:K3"/>
    </sheetView>
  </sheetViews>
  <sheetFormatPr defaultColWidth="4.1796875" defaultRowHeight="25.2" customHeight="1"/>
  <cols>
    <col min="1" max="1" width="5.453125" style="101" customWidth="1"/>
    <col min="2" max="2" width="5.54296875" style="106" customWidth="1"/>
    <col min="3" max="3" width="3.453125" style="107" customWidth="1"/>
    <col min="4" max="4" width="3.81640625" style="108" customWidth="1"/>
    <col min="5" max="5" width="5.1796875" style="107" customWidth="1"/>
    <col min="6" max="6" width="3.81640625" style="107" customWidth="1"/>
    <col min="7" max="7" width="3.08984375" style="107" customWidth="1"/>
    <col min="8" max="8" width="23" style="107" customWidth="1"/>
    <col min="9" max="9" width="29.1796875" style="107" customWidth="1"/>
    <col min="10" max="10" width="6.1796875" style="109" hidden="1" customWidth="1"/>
    <col min="11" max="11" width="12.81640625" style="109" hidden="1" customWidth="1"/>
    <col min="12" max="12" width="17" style="110" hidden="1" customWidth="1"/>
    <col min="13" max="13" width="22.1796875" style="110" hidden="1" customWidth="1"/>
    <col min="14" max="14" width="13.81640625" style="102" customWidth="1"/>
    <col min="15" max="15" width="14.54296875" style="109" bestFit="1" customWidth="1"/>
    <col min="16" max="16" width="24.81640625" style="111" customWidth="1"/>
    <col min="17" max="17" width="26.81640625" style="111" customWidth="1"/>
    <col min="18" max="18" width="14.81640625" style="102" bestFit="1" customWidth="1"/>
    <col min="19" max="21" width="13.453125" style="102" customWidth="1"/>
    <col min="22" max="22" width="14.453125" style="102" customWidth="1"/>
    <col min="23" max="23" width="13.453125" style="102" customWidth="1"/>
    <col min="24" max="24" width="14.81640625" style="102" bestFit="1" customWidth="1"/>
    <col min="25" max="25" width="9" style="101" customWidth="1"/>
    <col min="26" max="27" width="7.08984375" style="101" customWidth="1"/>
    <col min="28" max="28" width="14.453125" style="101" bestFit="1" customWidth="1"/>
    <col min="29" max="29" width="17.81640625" style="101" bestFit="1" customWidth="1"/>
    <col min="30" max="30" width="15.1796875" style="101" bestFit="1" customWidth="1"/>
    <col min="31" max="31" width="17.81640625" style="101" bestFit="1" customWidth="1"/>
    <col min="32" max="32" width="9.81640625" style="101" bestFit="1" customWidth="1"/>
    <col min="33" max="35" width="7.08984375" style="101" customWidth="1"/>
    <col min="36" max="36" width="15.1796875" style="101" bestFit="1" customWidth="1"/>
    <col min="37" max="37" width="7.08984375" style="101" customWidth="1"/>
    <col min="38" max="43" width="10.36328125" style="101" customWidth="1"/>
    <col min="44" max="128" width="7.08984375" style="101" customWidth="1"/>
    <col min="129" max="129" width="5.453125" style="101" customWidth="1"/>
    <col min="130" max="130" width="6.1796875" style="101" customWidth="1"/>
    <col min="131" max="131" width="4.81640625" style="101" customWidth="1"/>
    <col min="132" max="132" width="6" style="101" customWidth="1"/>
    <col min="133" max="16384" width="4.1796875" style="101"/>
  </cols>
  <sheetData>
    <row r="2" spans="2:43" ht="25.2" customHeight="1"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7"/>
      <c r="U2" s="667"/>
      <c r="V2" s="667"/>
      <c r="W2" s="667"/>
      <c r="X2" s="667"/>
    </row>
    <row r="3" spans="2:43" ht="25.2" customHeight="1">
      <c r="B3" s="668" t="s">
        <v>137</v>
      </c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  <c r="N3" s="668"/>
      <c r="O3" s="668"/>
      <c r="P3" s="668"/>
      <c r="Q3" s="668"/>
      <c r="R3" s="668"/>
      <c r="S3" s="668"/>
      <c r="T3" s="668"/>
      <c r="U3" s="668"/>
      <c r="V3" s="668"/>
      <c r="W3" s="668"/>
      <c r="X3" s="668"/>
    </row>
    <row r="4" spans="2:43" ht="25.2" customHeight="1">
      <c r="B4" s="668">
        <f>UPPER(""&amp;#REF!)</f>
      </c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  <c r="N4" s="668"/>
      <c r="O4" s="668"/>
      <c r="P4" s="668"/>
      <c r="Q4" s="668"/>
      <c r="R4" s="668"/>
      <c r="S4" s="668"/>
      <c r="T4" s="668"/>
      <c r="U4" s="668"/>
      <c r="V4" s="668"/>
      <c r="W4" s="668"/>
      <c r="X4" s="668"/>
      <c r="AC4" s="251"/>
      <c r="AI4" s="247"/>
      <c r="AJ4" s="248"/>
      <c r="AL4" s="466" t="s">
        <v>51</v>
      </c>
    </row>
    <row r="5" spans="2:43" ht="25.2" customHeight="1">
      <c r="B5" s="668" t="s">
        <v>138</v>
      </c>
      <c r="C5" s="668"/>
      <c r="D5" s="668"/>
      <c r="E5" s="668"/>
      <c r="F5" s="668"/>
      <c r="G5" s="668"/>
      <c r="H5" s="668"/>
      <c r="I5" s="668"/>
      <c r="J5" s="668"/>
      <c r="K5" s="668"/>
      <c r="L5" s="668"/>
      <c r="M5" s="668"/>
      <c r="N5" s="668"/>
      <c r="O5" s="668"/>
      <c r="P5" s="668"/>
      <c r="Q5" s="668"/>
      <c r="R5" s="668"/>
      <c r="S5" s="668"/>
      <c r="T5" s="668"/>
      <c r="U5" s="668"/>
      <c r="V5" s="668"/>
      <c r="W5" s="668"/>
      <c r="X5" s="668"/>
      <c r="AC5" s="251"/>
      <c r="AG5" s="247"/>
      <c r="AI5" s="247"/>
      <c r="AJ5" s="249"/>
      <c r="AL5" s="467">
        <v>6</v>
      </c>
    </row>
    <row r="6" spans="2:43" ht="15" customHeight="1" thickBot="1">
      <c r="B6" s="112"/>
      <c r="C6" s="113"/>
      <c r="D6" s="114"/>
      <c r="E6" s="113"/>
      <c r="F6" s="113"/>
      <c r="G6" s="113"/>
      <c r="H6" s="113"/>
      <c r="I6" s="113"/>
      <c r="J6" s="115"/>
      <c r="K6" s="116"/>
      <c r="L6" s="117"/>
      <c r="M6" s="117"/>
      <c r="N6" s="118"/>
      <c r="O6" s="115"/>
      <c r="P6" s="119"/>
      <c r="Q6" s="119"/>
      <c r="R6" s="120"/>
      <c r="S6" s="120"/>
      <c r="T6" s="120"/>
      <c r="U6" s="120"/>
      <c r="V6" s="120"/>
      <c r="W6" s="120"/>
      <c r="X6" s="120"/>
    </row>
    <row r="7" spans="2:43" s="103" customFormat="1" ht="25.2" customHeight="1">
      <c r="B7" s="669" t="s">
        <v>139</v>
      </c>
      <c r="C7" s="672" t="s">
        <v>140</v>
      </c>
      <c r="D7" s="673"/>
      <c r="E7" s="673"/>
      <c r="F7" s="673"/>
      <c r="G7" s="673"/>
      <c r="H7" s="673"/>
      <c r="I7" s="674"/>
      <c r="J7" s="681" t="s">
        <v>141</v>
      </c>
      <c r="K7" s="684" t="s">
        <v>142</v>
      </c>
      <c r="L7" s="685"/>
      <c r="M7" s="686"/>
      <c r="N7" s="690" t="s">
        <v>143</v>
      </c>
      <c r="O7" s="681" t="s">
        <v>141</v>
      </c>
      <c r="P7" s="693" t="s">
        <v>144</v>
      </c>
      <c r="Q7" s="693" t="s">
        <v>145</v>
      </c>
      <c r="R7" s="121" t="s">
        <v>146</v>
      </c>
      <c r="S7" s="696" t="s">
        <v>147</v>
      </c>
      <c r="T7" s="696"/>
      <c r="U7" s="696" t="s">
        <v>148</v>
      </c>
      <c r="V7" s="696"/>
      <c r="W7" s="696" t="s">
        <v>149</v>
      </c>
      <c r="X7" s="697"/>
      <c r="AJ7" s="250"/>
      <c r="AL7" s="457" t="s">
        <v>171</v>
      </c>
    </row>
    <row r="8" spans="2:43" s="103" customFormat="1" ht="25.2" customHeight="1">
      <c r="B8" s="670"/>
      <c r="C8" s="675"/>
      <c r="D8" s="676"/>
      <c r="E8" s="676"/>
      <c r="F8" s="676"/>
      <c r="G8" s="676"/>
      <c r="H8" s="676"/>
      <c r="I8" s="677"/>
      <c r="J8" s="682"/>
      <c r="K8" s="687"/>
      <c r="L8" s="688"/>
      <c r="M8" s="689"/>
      <c r="N8" s="691"/>
      <c r="O8" s="682"/>
      <c r="P8" s="694"/>
      <c r="Q8" s="694"/>
      <c r="R8" s="698" t="s">
        <v>152</v>
      </c>
      <c r="S8" s="661" t="s">
        <v>153</v>
      </c>
      <c r="T8" s="661" t="s">
        <v>146</v>
      </c>
      <c r="U8" s="661" t="s">
        <v>153</v>
      </c>
      <c r="V8" s="661" t="s">
        <v>146</v>
      </c>
      <c r="W8" s="661" t="s">
        <v>153</v>
      </c>
      <c r="X8" s="656" t="s">
        <v>146</v>
      </c>
    </row>
    <row r="9" spans="2:43" s="103" customFormat="1" ht="32.25" customHeight="1" thickBot="1">
      <c r="B9" s="671"/>
      <c r="C9" s="678"/>
      <c r="D9" s="679"/>
      <c r="E9" s="679"/>
      <c r="F9" s="679"/>
      <c r="G9" s="679"/>
      <c r="H9" s="679"/>
      <c r="I9" s="680"/>
      <c r="J9" s="683"/>
      <c r="K9" s="122" t="s">
        <v>143</v>
      </c>
      <c r="L9" s="122" t="s">
        <v>154</v>
      </c>
      <c r="M9" s="122" t="s">
        <v>155</v>
      </c>
      <c r="N9" s="692"/>
      <c r="O9" s="683"/>
      <c r="P9" s="695"/>
      <c r="Q9" s="695"/>
      <c r="R9" s="662"/>
      <c r="S9" s="662"/>
      <c r="T9" s="662"/>
      <c r="U9" s="662"/>
      <c r="V9" s="662"/>
      <c r="W9" s="662"/>
      <c r="X9" s="657"/>
      <c r="AL9" s="458" t="s">
        <v>156</v>
      </c>
      <c r="AM9" s="458" t="s">
        <v>157</v>
      </c>
      <c r="AN9" s="458" t="s">
        <v>158</v>
      </c>
      <c r="AO9" s="458" t="s">
        <v>159</v>
      </c>
      <c r="AP9" s="458" t="s">
        <v>160</v>
      </c>
      <c r="AQ9" s="458" t="s">
        <v>161</v>
      </c>
    </row>
    <row r="10" spans="2:43" s="104" customFormat="1" ht="25.2" customHeight="1">
      <c r="B10" s="123"/>
      <c r="C10" s="124"/>
      <c r="D10" s="125"/>
      <c r="E10" s="126"/>
      <c r="F10" s="126"/>
      <c r="G10" s="126"/>
      <c r="H10" s="126"/>
      <c r="I10" s="126"/>
      <c r="J10" s="127"/>
      <c r="K10" s="127"/>
      <c r="L10" s="128"/>
      <c r="M10" s="127"/>
      <c r="N10" s="129"/>
      <c r="O10" s="127"/>
      <c r="P10" s="130"/>
      <c r="Q10" s="130"/>
      <c r="R10" s="129"/>
      <c r="S10" s="129"/>
      <c r="T10" s="129"/>
      <c r="U10" s="129"/>
      <c r="V10" s="129"/>
      <c r="W10" s="129"/>
      <c r="X10" s="131"/>
      <c r="AL10" s="459"/>
      <c r="AM10" s="459"/>
      <c r="AN10" s="459"/>
      <c r="AO10" s="459"/>
      <c r="AP10" s="459"/>
      <c r="AQ10" s="459"/>
    </row>
    <row r="11" spans="2:43" s="105" customFormat="1" ht="64.8" customHeight="1">
      <c r="B11" s="123"/>
      <c r="C11" s="706">
        <f>DATA!$B$6</f>
      </c>
      <c r="D11" s="707"/>
      <c r="E11" s="707"/>
      <c r="F11" s="707"/>
      <c r="G11" s="707"/>
      <c r="H11" s="707"/>
      <c r="I11" s="708"/>
      <c r="J11" s="136"/>
      <c r="K11" s="137"/>
      <c r="L11" s="138"/>
      <c r="M11" s="139"/>
      <c r="N11" s="167"/>
      <c r="O11" s="167"/>
      <c r="P11" s="134"/>
      <c r="Q11" s="167"/>
      <c r="R11" s="201"/>
      <c r="S11" s="135"/>
      <c r="T11" s="201"/>
      <c r="U11" s="213"/>
      <c r="V11" s="201"/>
      <c r="W11" s="170"/>
      <c r="X11" s="202"/>
      <c r="AC11" s="105" t="s">
        <v>165</v>
      </c>
      <c r="AL11" s="460"/>
      <c r="AM11" s="460"/>
      <c r="AN11" s="460"/>
      <c r="AO11" s="460"/>
      <c r="AP11" s="460"/>
      <c r="AQ11" s="460"/>
    </row>
    <row r="12" spans="2:43" s="105" customFormat="1" ht="27" customHeight="1">
      <c r="B12" s="383">
        <f>#REF!</f>
      </c>
      <c r="C12" s="384"/>
      <c r="D12" s="385">
        <f>IF(#REF!&lt;&gt;"",#REF!,IF(#REF!&lt;&gt;"",#REF!,""))</f>
      </c>
      <c r="E12" s="386"/>
      <c r="F12" s="387"/>
      <c r="G12" s="387"/>
      <c r="H12" s="388"/>
      <c r="I12" s="389"/>
      <c r="J12" s="390"/>
      <c r="K12" s="391"/>
      <c r="L12" s="392"/>
      <c r="M12" s="393"/>
      <c r="N12" s="394"/>
      <c r="O12" s="394"/>
      <c r="P12" s="395"/>
      <c r="Q12" s="396"/>
      <c r="R12" s="397"/>
      <c r="S12" s="398"/>
      <c r="T12" s="397"/>
      <c r="U12" s="398"/>
      <c r="V12" s="397"/>
      <c r="W12" s="399"/>
      <c r="X12" s="400"/>
      <c r="AL12" s="460"/>
      <c r="AM12" s="460"/>
      <c r="AN12" s="460"/>
      <c r="AO12" s="460"/>
      <c r="AP12" s="460"/>
      <c r="AQ12" s="460"/>
    </row>
    <row r="13" spans="2:43" s="105" customFormat="1" ht="27" customHeight="1">
      <c r="B13" s="123">
        <f>#REF!</f>
      </c>
      <c r="C13" s="373"/>
      <c r="D13" s="374">
        <f>IF(#REF!&lt;&gt;"",#REF!,IF(#REF!&lt;&gt;"",#REF!,""))</f>
      </c>
      <c r="E13" s="375"/>
      <c r="F13" s="376"/>
      <c r="G13" s="376"/>
      <c r="H13" s="377"/>
      <c r="I13" s="378"/>
      <c r="J13" s="379"/>
      <c r="K13" s="380"/>
      <c r="L13" s="381"/>
      <c r="M13" s="382"/>
      <c r="N13" s="167"/>
      <c r="O13" s="167"/>
      <c r="P13" s="260"/>
      <c r="Q13" s="168"/>
      <c r="R13" s="201"/>
      <c r="S13" s="135"/>
      <c r="T13" s="201"/>
      <c r="U13" s="213"/>
      <c r="V13" s="201"/>
      <c r="W13" s="244"/>
      <c r="X13" s="202"/>
      <c r="AL13" s="460"/>
      <c r="AM13" s="460"/>
      <c r="AN13" s="460"/>
      <c r="AO13" s="460"/>
      <c r="AP13" s="460"/>
      <c r="AQ13" s="460"/>
    </row>
    <row r="14" spans="2:43" s="105" customFormat="1" ht="27" customHeight="1">
      <c r="B14" s="243">
        <f>#REF!</f>
      </c>
      <c r="C14" s="232"/>
      <c r="D14" s="164">
        <f>IF(#REF!&lt;&gt;"",#REF!,IF(#REF!&lt;&gt;"",#REF!,""))</f>
      </c>
      <c r="E14" s="235"/>
      <c r="F14" s="236"/>
      <c r="G14" s="236"/>
      <c r="H14" s="237"/>
      <c r="I14" s="238"/>
      <c r="J14" s="239"/>
      <c r="K14" s="240"/>
      <c r="L14" s="241"/>
      <c r="M14" s="242"/>
      <c r="N14" s="167">
        <f>#REF!</f>
      </c>
      <c r="O14" s="167">
        <f>#REF!</f>
      </c>
      <c r="P14" s="260">
        <f>#REF!</f>
      </c>
      <c r="Q14" s="168">
        <f>P14*N14</f>
      </c>
      <c r="R14" s="425">
        <f>IFERROR(Q14/$Q$166,0)</f>
      </c>
      <c r="S14" s="135">
        <f ca="1">IF($AL$5&lt;=1,0,SUM(OFFSET('rincian '!#REF!,0,0,1,$AL$5-1)))</f>
      </c>
      <c r="T14" s="425">
        <f ca="1">IFERROR(S14/N14*R14,0)</f>
      </c>
      <c r="U14" s="213" cm="1">
        <f t="array" ref="U14">IFERROR(INDEX('rincian '!#REF!,$AL$5),0)</f>
      </c>
      <c r="V14" s="425">
        <f>IFERROR(U14/N14*R14,0)</f>
      </c>
      <c r="W14" s="244">
        <f t="shared" ref="W14:X17" ca="1" si="0">S14+U14</f>
      </c>
      <c r="X14" s="202">
        <f t="shared" ca="1" si="0"/>
      </c>
      <c r="AL14" s="460"/>
      <c r="AM14" s="460"/>
      <c r="AN14" s="460"/>
      <c r="AO14" s="460"/>
      <c r="AP14" s="460"/>
      <c r="AQ14" s="460"/>
    </row>
    <row r="15" spans="2:43" s="105" customFormat="1" ht="40.049999999999997" customHeight="1">
      <c r="B15" s="243">
        <f>#REF!</f>
      </c>
      <c r="C15" s="232"/>
      <c r="D15" s="704">
        <f>IF(#REF!&lt;&gt;"",#REF!,IF(#REF!&lt;&gt;"",#REF!,""))</f>
      </c>
      <c r="E15" s="704"/>
      <c r="F15" s="704"/>
      <c r="G15" s="704"/>
      <c r="H15" s="704"/>
      <c r="I15" s="704"/>
      <c r="J15" s="704"/>
      <c r="K15" s="704"/>
      <c r="L15" s="704"/>
      <c r="M15" s="705"/>
      <c r="N15" s="167">
        <f>#REF!</f>
      </c>
      <c r="O15" s="167">
        <f>#REF!</f>
      </c>
      <c r="P15" s="260">
        <f>#REF!</f>
      </c>
      <c r="Q15" s="168">
        <f>P15*N15</f>
      </c>
      <c r="R15" s="425">
        <f>IFERROR(Q15/$Q$166,0)</f>
      </c>
      <c r="S15" s="135">
        <f ca="1">IF($AL$5&lt;=1,0,SUM(OFFSET('rincian '!$AL15,0,0,1,$AL$5-1)))</f>
      </c>
      <c r="T15" s="425">
        <f ca="1">IFERROR(S15/N15*R15,0)</f>
      </c>
      <c r="U15" s="213" cm="1">
        <f t="array" ref="U15">IFERROR(INDEX('rincian '!$AL15:$AQ15,$AL$5),0)</f>
      </c>
      <c r="V15" s="425">
        <f>IFERROR(U15/N15*R15,0)</f>
      </c>
      <c r="W15" s="244">
        <f t="shared" ca="1" si="0"/>
      </c>
      <c r="X15" s="202">
        <f t="shared" ca="1" si="0"/>
      </c>
      <c r="AL15" s="460"/>
      <c r="AM15" s="460"/>
      <c r="AN15" s="460"/>
      <c r="AO15" s="460"/>
      <c r="AP15" s="460"/>
      <c r="AQ15" s="460"/>
    </row>
    <row r="16" spans="2:43" s="105" customFormat="1" ht="40.049999999999997" customHeight="1">
      <c r="B16" s="243">
        <f>#REF!</f>
      </c>
      <c r="C16" s="232"/>
      <c r="D16" s="704">
        <f>IF(#REF!&lt;&gt;"",#REF!,IF(#REF!&lt;&gt;"",#REF!,""))</f>
      </c>
      <c r="E16" s="704"/>
      <c r="F16" s="704"/>
      <c r="G16" s="704"/>
      <c r="H16" s="704"/>
      <c r="I16" s="704"/>
      <c r="J16" s="704"/>
      <c r="K16" s="704"/>
      <c r="L16" s="704"/>
      <c r="M16" s="705"/>
      <c r="N16" s="167">
        <f>#REF!</f>
      </c>
      <c r="O16" s="167">
        <f>#REF!</f>
      </c>
      <c r="P16" s="260">
        <f>#REF!</f>
      </c>
      <c r="Q16" s="168">
        <f>P16*N16</f>
      </c>
      <c r="R16" s="425">
        <f>IFERROR(Q16/$Q$166,0)</f>
      </c>
      <c r="S16" s="135">
        <f ca="1">IF($AL$5&lt;=1,0,SUM(OFFSET('rincian '!$AL16,0,0,1,$AL$5-1)))</f>
      </c>
      <c r="T16" s="425">
        <f ca="1">IFERROR(S16/N16*R16,0)</f>
      </c>
      <c r="U16" s="213" cm="1">
        <f t="array" ref="U16">IFERROR(INDEX('rincian '!$AL16:$AQ16,$AL$5),0)</f>
      </c>
      <c r="V16" s="425">
        <f>IFERROR(U16/N16*R16,0)</f>
      </c>
      <c r="W16" s="244">
        <f t="shared" ca="1" si="0"/>
      </c>
      <c r="X16" s="202">
        <f t="shared" ca="1" si="0"/>
      </c>
      <c r="AL16" s="460"/>
      <c r="AM16" s="460"/>
      <c r="AN16" s="460"/>
      <c r="AO16" s="460"/>
      <c r="AP16" s="460"/>
      <c r="AQ16" s="460"/>
    </row>
    <row r="17" spans="2:43" s="105" customFormat="1" ht="40.049999999999997" customHeight="1">
      <c r="B17" s="243">
        <f>#REF!</f>
      </c>
      <c r="C17" s="232"/>
      <c r="D17" s="704">
        <f>IF(#REF!&lt;&gt;"",#REF!,IF(#REF!&lt;&gt;"",#REF!,""))</f>
      </c>
      <c r="E17" s="704"/>
      <c r="F17" s="704"/>
      <c r="G17" s="704"/>
      <c r="H17" s="704"/>
      <c r="I17" s="704"/>
      <c r="J17" s="704"/>
      <c r="K17" s="704"/>
      <c r="L17" s="704"/>
      <c r="M17" s="705"/>
      <c r="N17" s="167">
        <f>#REF!</f>
      </c>
      <c r="O17" s="167">
        <f>#REF!</f>
      </c>
      <c r="P17" s="260">
        <f>#REF!</f>
      </c>
      <c r="Q17" s="168">
        <f>P17*N17</f>
      </c>
      <c r="R17" s="425">
        <f>IFERROR(Q17/$Q$166,0)</f>
      </c>
      <c r="S17" s="135">
        <f ca="1">IF($AL$5&lt;=1,0,SUM(OFFSET('rincian '!$AL17,0,0,1,$AL$5-1)))</f>
      </c>
      <c r="T17" s="425">
        <f ca="1">IFERROR(S17/N17*R17,0)</f>
      </c>
      <c r="U17" s="213" cm="1">
        <f t="array" ref="U17">IFERROR(INDEX('rincian '!$AL17:$AQ17,$AL$5),0)</f>
      </c>
      <c r="V17" s="425">
        <f>IFERROR(U17/N17*R17,0)</f>
      </c>
      <c r="W17" s="244">
        <f t="shared" ca="1" si="0"/>
      </c>
      <c r="X17" s="202">
        <f t="shared" ca="1" si="0"/>
      </c>
      <c r="AL17" s="460"/>
      <c r="AM17" s="460"/>
      <c r="AN17" s="460"/>
      <c r="AO17" s="460"/>
      <c r="AP17" s="460"/>
      <c r="AQ17" s="460"/>
    </row>
    <row r="18" spans="2:43" s="105" customFormat="1" ht="27" customHeight="1">
      <c r="B18" s="123">
        <f>#REF!</f>
      </c>
      <c r="C18" s="373"/>
      <c r="D18" s="374">
        <f>IF(#REF!&lt;&gt;"",#REF!,IF(#REF!&lt;&gt;"",#REF!,""))</f>
      </c>
      <c r="E18" s="375"/>
      <c r="F18" s="376"/>
      <c r="G18" s="376"/>
      <c r="H18" s="377"/>
      <c r="I18" s="378"/>
      <c r="J18" s="379"/>
      <c r="K18" s="380"/>
      <c r="L18" s="381"/>
      <c r="M18" s="382"/>
      <c r="N18" s="167"/>
      <c r="O18" s="167"/>
      <c r="P18" s="260"/>
      <c r="Q18" s="168"/>
      <c r="R18" s="425"/>
      <c r="S18" s="135"/>
      <c r="T18" s="425"/>
      <c r="U18" s="213"/>
      <c r="V18" s="425"/>
      <c r="W18" s="244"/>
      <c r="X18" s="202"/>
      <c r="AL18" s="460"/>
      <c r="AM18" s="460"/>
      <c r="AN18" s="460"/>
      <c r="AO18" s="460"/>
      <c r="AP18" s="460"/>
      <c r="AQ18" s="460"/>
    </row>
    <row r="19" spans="2:43" s="105" customFormat="1" ht="27" customHeight="1">
      <c r="B19" s="370">
        <f>#REF!</f>
      </c>
      <c r="C19" s="232"/>
      <c r="D19" s="164">
        <f>IF(#REF!&lt;&gt;"",#REF!,IF(#REF!&lt;&gt;"",#REF!,""))</f>
      </c>
      <c r="E19" s="235"/>
      <c r="F19" s="236"/>
      <c r="G19" s="236"/>
      <c r="H19" s="237"/>
      <c r="I19" s="238"/>
      <c r="J19" s="239"/>
      <c r="K19" s="240"/>
      <c r="L19" s="241"/>
      <c r="M19" s="242"/>
      <c r="N19" s="167">
        <f>#REF!</f>
      </c>
      <c r="O19" s="167">
        <f>#REF!</f>
      </c>
      <c r="P19" s="260">
        <f>#REF!</f>
      </c>
      <c r="Q19" s="168">
        <f t="shared" ref="Q19:Q24" si="1">P19*N19</f>
      </c>
      <c r="R19" s="425">
        <f t="shared" ref="R19:R24" si="2">IFERROR(Q19/$Q$166,0)</f>
      </c>
      <c r="S19" s="371">
        <f ca="1">IF($AL$5&lt;=1,0,SUM(OFFSET('rincian '!$AL19,0,0,1,$AL$5-1)))</f>
      </c>
      <c r="T19" s="425">
        <f t="shared" ref="T19:T24" ca="1" si="3">IFERROR(S19/N19*R19,0)</f>
      </c>
      <c r="U19" s="372" cm="1">
        <f t="array" ref="U19">IFERROR(INDEX('rincian '!$AL19:$AQ19,$AL$5),0)</f>
      </c>
      <c r="V19" s="425">
        <f>IFERROR(U19/N19*R19,0)</f>
      </c>
      <c r="W19" s="244">
        <f t="shared" ref="W19:X24" ca="1" si="4">S19+U19</f>
      </c>
      <c r="X19" s="202">
        <f t="shared" ca="1" si="4"/>
      </c>
      <c r="AL19" s="460"/>
      <c r="AM19" s="460"/>
      <c r="AN19" s="460"/>
      <c r="AO19" s="460"/>
      <c r="AP19" s="460"/>
      <c r="AQ19" s="460"/>
    </row>
    <row r="20" spans="2:43" s="105" customFormat="1" ht="27" customHeight="1">
      <c r="B20" s="370">
        <f>#REF!</f>
      </c>
      <c r="C20" s="232"/>
      <c r="D20" s="164">
        <f>IF(#REF!&lt;&gt;"",#REF!,IF(#REF!&lt;&gt;"",#REF!,""))</f>
      </c>
      <c r="E20" s="235"/>
      <c r="F20" s="236"/>
      <c r="G20" s="236"/>
      <c r="H20" s="237"/>
      <c r="I20" s="238"/>
      <c r="J20" s="239"/>
      <c r="K20" s="240"/>
      <c r="L20" s="241"/>
      <c r="M20" s="242"/>
      <c r="N20" s="167">
        <f>#REF!</f>
      </c>
      <c r="O20" s="167">
        <f>#REF!</f>
      </c>
      <c r="P20" s="260">
        <f>#REF!</f>
      </c>
      <c r="Q20" s="168">
        <f t="shared" si="1"/>
      </c>
      <c r="R20" s="425">
        <f t="shared" si="2"/>
      </c>
      <c r="S20" s="371">
        <f ca="1">IF($AL$5&lt;=1,0,SUM(OFFSET('rincian '!$AL20,0,0,1,$AL$5-1)))</f>
      </c>
      <c r="T20" s="425">
        <f t="shared" ca="1" si="3"/>
      </c>
      <c r="U20" s="372" cm="1">
        <f t="array" ref="U20">IFERROR(INDEX('rincian '!$AL20:$AQ20,$AL$5),0)</f>
      </c>
      <c r="V20" s="425">
        <f t="shared" ref="V20:V24" si="5">IFERROR(U20/N20*R20,0)</f>
      </c>
      <c r="W20" s="244">
        <f t="shared" ca="1" si="4"/>
      </c>
      <c r="X20" s="202">
        <f t="shared" ca="1" si="4"/>
      </c>
      <c r="AL20" s="460"/>
      <c r="AM20" s="460"/>
      <c r="AN20" s="460"/>
      <c r="AO20" s="460"/>
      <c r="AP20" s="460"/>
      <c r="AQ20" s="460"/>
    </row>
    <row r="21" spans="2:43" s="105" customFormat="1" ht="27" customHeight="1">
      <c r="B21" s="370">
        <f>#REF!</f>
      </c>
      <c r="C21" s="232"/>
      <c r="D21" s="164">
        <f>IF(#REF!&lt;&gt;"",#REF!,IF(#REF!&lt;&gt;"",#REF!,""))</f>
      </c>
      <c r="E21" s="235"/>
      <c r="F21" s="236"/>
      <c r="G21" s="236"/>
      <c r="H21" s="237"/>
      <c r="I21" s="238"/>
      <c r="J21" s="239"/>
      <c r="K21" s="240"/>
      <c r="L21" s="241"/>
      <c r="M21" s="242"/>
      <c r="N21" s="167">
        <f>#REF!</f>
      </c>
      <c r="O21" s="167">
        <f>#REF!</f>
      </c>
      <c r="P21" s="260">
        <f>#REF!</f>
      </c>
      <c r="Q21" s="168">
        <f t="shared" si="1"/>
      </c>
      <c r="R21" s="425">
        <f t="shared" si="2"/>
      </c>
      <c r="S21" s="371">
        <f ca="1">IF($AL$5&lt;=1,0,SUM(OFFSET('rincian '!$AL21,0,0,1,$AL$5-1)))</f>
      </c>
      <c r="T21" s="425">
        <f t="shared" ca="1" si="3"/>
      </c>
      <c r="U21" s="372" cm="1">
        <f t="array" ref="U21">IFERROR(INDEX('rincian '!$AL21:$AQ21,$AL$5),0)</f>
      </c>
      <c r="V21" s="425">
        <f t="shared" si="5"/>
      </c>
      <c r="W21" s="244">
        <f t="shared" ca="1" si="4"/>
      </c>
      <c r="X21" s="202">
        <f t="shared" ca="1" si="4"/>
      </c>
      <c r="AL21" s="460"/>
      <c r="AM21" s="460"/>
      <c r="AN21" s="460"/>
      <c r="AO21" s="460"/>
      <c r="AP21" s="460"/>
      <c r="AQ21" s="460"/>
    </row>
    <row r="22" spans="2:43" s="105" customFormat="1" ht="27" customHeight="1">
      <c r="B22" s="370">
        <f>#REF!</f>
      </c>
      <c r="C22" s="232"/>
      <c r="D22" s="164">
        <f>IF(#REF!&lt;&gt;"",#REF!,IF(#REF!&lt;&gt;"",#REF!,""))</f>
      </c>
      <c r="E22" s="235"/>
      <c r="F22" s="236"/>
      <c r="G22" s="236"/>
      <c r="H22" s="237"/>
      <c r="I22" s="238"/>
      <c r="J22" s="239"/>
      <c r="K22" s="240"/>
      <c r="L22" s="241"/>
      <c r="M22" s="242"/>
      <c r="N22" s="167">
        <f>#REF!</f>
      </c>
      <c r="O22" s="167">
        <f>#REF!</f>
      </c>
      <c r="P22" s="260">
        <f>#REF!</f>
      </c>
      <c r="Q22" s="168">
        <f t="shared" si="1"/>
      </c>
      <c r="R22" s="425">
        <f t="shared" si="2"/>
      </c>
      <c r="S22" s="371">
        <f ca="1">IF($AL$5&lt;=1,0,SUM(OFFSET('rincian '!$AL22,0,0,1,$AL$5-1)))</f>
      </c>
      <c r="T22" s="425">
        <f t="shared" ca="1" si="3"/>
      </c>
      <c r="U22" s="372" cm="1">
        <f t="array" ref="U22">IFERROR(INDEX('rincian '!$AL22:$AQ22,$AL$5),0)</f>
      </c>
      <c r="V22" s="425">
        <f t="shared" si="5"/>
      </c>
      <c r="W22" s="244">
        <f t="shared" ca="1" si="4"/>
      </c>
      <c r="X22" s="202">
        <f t="shared" ca="1" si="4"/>
      </c>
      <c r="AL22" s="460"/>
      <c r="AM22" s="460"/>
      <c r="AN22" s="460"/>
      <c r="AO22" s="460"/>
      <c r="AP22" s="460"/>
      <c r="AQ22" s="460"/>
    </row>
    <row r="23" spans="2:43" s="105" customFormat="1" ht="27" customHeight="1">
      <c r="B23" s="370">
        <f>#REF!</f>
      </c>
      <c r="C23" s="232"/>
      <c r="D23" s="164">
        <f>IF(#REF!&lt;&gt;"",#REF!,IF(#REF!&lt;&gt;"",#REF!,""))</f>
      </c>
      <c r="E23" s="235"/>
      <c r="F23" s="236"/>
      <c r="G23" s="236"/>
      <c r="H23" s="237"/>
      <c r="I23" s="238"/>
      <c r="J23" s="239"/>
      <c r="K23" s="240"/>
      <c r="L23" s="241"/>
      <c r="M23" s="242"/>
      <c r="N23" s="167">
        <f>#REF!</f>
      </c>
      <c r="O23" s="167">
        <f>#REF!</f>
      </c>
      <c r="P23" s="260">
        <f>#REF!</f>
      </c>
      <c r="Q23" s="168">
        <f t="shared" si="1"/>
      </c>
      <c r="R23" s="425">
        <f t="shared" si="2"/>
      </c>
      <c r="S23" s="371">
        <f ca="1">IF($AL$5&lt;=1,0,SUM(OFFSET('rincian '!#REF!,0,0,1,$AL$5-1)))</f>
      </c>
      <c r="T23" s="425">
        <f t="shared" ca="1" si="3"/>
      </c>
      <c r="U23" s="372" cm="1">
        <f t="array" ref="U23">IFERROR(INDEX('rincian '!#REF!,$AL$5),0)</f>
      </c>
      <c r="V23" s="425">
        <f t="shared" si="5"/>
      </c>
      <c r="W23" s="244">
        <f t="shared" ca="1" si="4"/>
      </c>
      <c r="X23" s="202">
        <f t="shared" ca="1" si="4"/>
      </c>
      <c r="AL23" s="460"/>
      <c r="AM23" s="460"/>
      <c r="AN23" s="460"/>
      <c r="AO23" s="460"/>
      <c r="AP23" s="460"/>
      <c r="AQ23" s="460"/>
    </row>
    <row r="24" spans="2:43" s="105" customFormat="1" ht="27" customHeight="1">
      <c r="B24" s="401">
        <f>#REF!</f>
      </c>
      <c r="C24" s="373"/>
      <c r="D24" s="374">
        <f>IF(#REF!&lt;&gt;"",#REF!,IF(#REF!&lt;&gt;"",#REF!,""))</f>
      </c>
      <c r="E24" s="375"/>
      <c r="F24" s="376"/>
      <c r="G24" s="376"/>
      <c r="H24" s="377"/>
      <c r="I24" s="378"/>
      <c r="J24" s="379"/>
      <c r="K24" s="380"/>
      <c r="L24" s="381"/>
      <c r="M24" s="382"/>
      <c r="N24" s="167">
        <f>#REF!</f>
      </c>
      <c r="O24" s="167">
        <f>#REF!</f>
      </c>
      <c r="P24" s="260">
        <f>#REF!</f>
      </c>
      <c r="Q24" s="168">
        <f t="shared" si="1"/>
      </c>
      <c r="R24" s="425">
        <f t="shared" si="2"/>
      </c>
      <c r="S24" s="371">
        <f ca="1">IF($AL$5&lt;=1,0,SUM(OFFSET('rincian '!$AL24,0,0,1,$AL$5-1)))</f>
      </c>
      <c r="T24" s="425">
        <f t="shared" ca="1" si="3"/>
      </c>
      <c r="U24" s="372" cm="1">
        <f t="array" ref="U24">IFERROR(INDEX('rincian '!$AL24:$AQ24,$AL$5),0)</f>
      </c>
      <c r="V24" s="425">
        <f t="shared" si="5"/>
      </c>
      <c r="W24" s="244">
        <f t="shared" ca="1" si="4"/>
      </c>
      <c r="X24" s="202">
        <f t="shared" ca="1" si="4"/>
      </c>
      <c r="AL24" s="460"/>
      <c r="AM24" s="460"/>
      <c r="AN24" s="460"/>
      <c r="AO24" s="460"/>
      <c r="AP24" s="460"/>
      <c r="AQ24" s="460"/>
    </row>
    <row r="25" spans="2:43" s="105" customFormat="1" ht="27" customHeight="1">
      <c r="B25" s="401">
        <f>#REF!</f>
      </c>
      <c r="C25" s="373"/>
      <c r="D25" s="374">
        <f>IF(#REF!&lt;&gt;"",#REF!,IF(#REF!&lt;&gt;"",#REF!,""))</f>
      </c>
      <c r="E25" s="375"/>
      <c r="F25" s="376"/>
      <c r="G25" s="376"/>
      <c r="H25" s="377"/>
      <c r="I25" s="378"/>
      <c r="J25" s="379"/>
      <c r="K25" s="380"/>
      <c r="L25" s="381"/>
      <c r="M25" s="382"/>
      <c r="N25" s="167"/>
      <c r="O25" s="167"/>
      <c r="P25" s="260"/>
      <c r="Q25" s="168"/>
      <c r="R25" s="425"/>
      <c r="S25" s="371"/>
      <c r="T25" s="425"/>
      <c r="U25" s="372"/>
      <c r="V25" s="425"/>
      <c r="W25" s="244"/>
      <c r="X25" s="202"/>
      <c r="AL25" s="460"/>
      <c r="AM25" s="460"/>
      <c r="AN25" s="460"/>
      <c r="AO25" s="460"/>
      <c r="AP25" s="460"/>
      <c r="AQ25" s="460"/>
    </row>
    <row r="26" spans="2:43" s="105" customFormat="1" ht="27" customHeight="1">
      <c r="B26" s="370">
        <f>#REF!</f>
      </c>
      <c r="C26" s="232"/>
      <c r="D26" s="164">
        <f>IF(#REF!&lt;&gt;"",#REF!,IF(#REF!&lt;&gt;"",#REF!,""))</f>
      </c>
      <c r="E26" s="235"/>
      <c r="F26" s="236"/>
      <c r="G26" s="236"/>
      <c r="H26" s="237"/>
      <c r="I26" s="238"/>
      <c r="J26" s="239"/>
      <c r="K26" s="240"/>
      <c r="L26" s="241"/>
      <c r="M26" s="242"/>
      <c r="N26" s="167">
        <f>#REF!</f>
      </c>
      <c r="O26" s="167">
        <f>#REF!</f>
      </c>
      <c r="P26" s="260">
        <f>#REF!</f>
      </c>
      <c r="Q26" s="168">
        <f>P26*N26</f>
      </c>
      <c r="R26" s="425">
        <f>IFERROR(Q26/$Q$166,0)</f>
      </c>
      <c r="S26" s="371">
        <f ca="1">IF($AL$5&lt;=1,0,SUM(OFFSET('rincian '!$AL36,0,0,1,$AL$5-1)))</f>
      </c>
      <c r="T26" s="425">
        <f ca="1">IFERROR(S26/N26*R26,0)</f>
      </c>
      <c r="U26" s="372" cm="1">
        <f t="array" ref="U26">IFERROR(INDEX('rincian '!$AL36:$AQ36,$AL$5),0)</f>
      </c>
      <c r="V26" s="425">
        <f>IFERROR(U26/N26*R26,0)</f>
      </c>
      <c r="W26" s="244">
        <f t="shared" ref="W26:X29" ca="1" si="6">S26+U26</f>
      </c>
      <c r="X26" s="202">
        <f t="shared" ca="1" si="6"/>
      </c>
      <c r="AB26" s="424">
        <f>Q26/Q166</f>
      </c>
      <c r="AL26" s="460"/>
      <c r="AM26" s="460"/>
      <c r="AN26" s="460"/>
      <c r="AO26" s="460"/>
      <c r="AP26" s="460"/>
      <c r="AQ26" s="460"/>
    </row>
    <row r="27" spans="2:43" s="105" customFormat="1" ht="27" customHeight="1">
      <c r="B27" s="370">
        <f>#REF!</f>
      </c>
      <c r="C27" s="232"/>
      <c r="D27" s="164">
        <f>IF(#REF!&lt;&gt;"",#REF!,IF(#REF!&lt;&gt;"",#REF!,""))</f>
      </c>
      <c r="E27" s="235"/>
      <c r="F27" s="236"/>
      <c r="G27" s="236"/>
      <c r="H27" s="237"/>
      <c r="I27" s="238"/>
      <c r="J27" s="239"/>
      <c r="K27" s="240"/>
      <c r="L27" s="241"/>
      <c r="M27" s="242"/>
      <c r="N27" s="167">
        <f>#REF!</f>
      </c>
      <c r="O27" s="167">
        <f>#REF!</f>
      </c>
      <c r="P27" s="260">
        <f>#REF!</f>
      </c>
      <c r="Q27" s="168">
        <f>P27*N27</f>
      </c>
      <c r="R27" s="425">
        <f>IFERROR(Q27/$Q$166,0)</f>
      </c>
      <c r="S27" s="371">
        <f ca="1">IF($AL$5&lt;=1,0,SUM(OFFSET('rincian '!#REF!,0,0,1,$AL$5-1)))</f>
      </c>
      <c r="T27" s="425">
        <f ca="1">IFERROR(S27/N27*R27,0)</f>
      </c>
      <c r="U27" s="372" cm="1">
        <f t="array" ref="U27">IFERROR(INDEX('rincian '!#REF!,$AL$5),0)</f>
      </c>
      <c r="V27" s="425">
        <f t="shared" ref="V27:V29" si="7">IFERROR(U27/N27*R27,0)</f>
      </c>
      <c r="W27" s="244">
        <f t="shared" ca="1" si="6"/>
      </c>
      <c r="X27" s="202">
        <f t="shared" ca="1" si="6"/>
      </c>
      <c r="AL27" s="460"/>
      <c r="AM27" s="460"/>
      <c r="AN27" s="460"/>
      <c r="AO27" s="460"/>
      <c r="AP27" s="460"/>
      <c r="AQ27" s="460"/>
    </row>
    <row r="28" spans="2:43" s="105" customFormat="1" ht="27" customHeight="1">
      <c r="B28" s="370">
        <f>#REF!</f>
      </c>
      <c r="C28" s="232"/>
      <c r="D28" s="164">
        <f>IF(#REF!&lt;&gt;"",#REF!,IF(#REF!&lt;&gt;"",#REF!,""))</f>
      </c>
      <c r="E28" s="235"/>
      <c r="F28" s="236"/>
      <c r="G28" s="236"/>
      <c r="H28" s="237"/>
      <c r="I28" s="238"/>
      <c r="J28" s="239"/>
      <c r="K28" s="240"/>
      <c r="L28" s="241"/>
      <c r="M28" s="242"/>
      <c r="N28" s="167">
        <f>#REF!</f>
      </c>
      <c r="O28" s="167">
        <f>#REF!</f>
      </c>
      <c r="P28" s="260">
        <f>#REF!</f>
      </c>
      <c r="Q28" s="168">
        <f>P28*N28</f>
      </c>
      <c r="R28" s="425">
        <f>IFERROR(Q28/$Q$166,0)</f>
      </c>
      <c r="S28" s="371">
        <f ca="1">IF($AL$5&lt;=1,0,SUM(OFFSET('rincian '!#REF!,0,0,1,$AL$5-1)))</f>
      </c>
      <c r="T28" s="425">
        <f ca="1">IFERROR(S28/N28*R28,0)</f>
      </c>
      <c r="U28" s="372" cm="1">
        <f t="array" ref="U28">IFERROR(INDEX('rincian '!#REF!,$AL$5),0)</f>
      </c>
      <c r="V28" s="425">
        <f t="shared" si="7"/>
      </c>
      <c r="W28" s="244">
        <f t="shared" ca="1" si="6"/>
      </c>
      <c r="X28" s="202">
        <f t="shared" ca="1" si="6"/>
      </c>
      <c r="AL28" s="460"/>
      <c r="AM28" s="460"/>
      <c r="AN28" s="460"/>
      <c r="AO28" s="460"/>
      <c r="AP28" s="460"/>
      <c r="AQ28" s="460"/>
    </row>
    <row r="29" spans="2:43" s="105" customFormat="1" ht="27" customHeight="1">
      <c r="B29" s="370">
        <f>#REF!</f>
      </c>
      <c r="C29" s="232"/>
      <c r="D29" s="164">
        <f>IF(#REF!&lt;&gt;"",#REF!,IF(#REF!&lt;&gt;"",#REF!,""))</f>
      </c>
      <c r="E29" s="235"/>
      <c r="F29" s="236"/>
      <c r="G29" s="236"/>
      <c r="H29" s="237"/>
      <c r="I29" s="238"/>
      <c r="J29" s="239"/>
      <c r="K29" s="240"/>
      <c r="L29" s="241"/>
      <c r="M29" s="242"/>
      <c r="N29" s="167">
        <f>#REF!</f>
      </c>
      <c r="O29" s="167">
        <f>#REF!</f>
      </c>
      <c r="P29" s="260">
        <f>#REF!</f>
      </c>
      <c r="Q29" s="168">
        <f>P29*N29</f>
      </c>
      <c r="R29" s="425">
        <f>IFERROR(Q29/$Q$166,0)</f>
      </c>
      <c r="S29" s="371">
        <f ca="1">IF($AL$5&lt;=1,0,SUM(OFFSET('rincian '!#REF!,0,0,1,$AL$5-1)))</f>
      </c>
      <c r="T29" s="425">
        <f ca="1">IFERROR(S29/N29*R29,0)</f>
      </c>
      <c r="U29" s="372" cm="1">
        <f t="array" ref="U29">IFERROR(INDEX('rincian '!#REF!,$AL$5),0)</f>
      </c>
      <c r="V29" s="425">
        <f t="shared" si="7"/>
      </c>
      <c r="W29" s="244">
        <f t="shared" ca="1" si="6"/>
      </c>
      <c r="X29" s="202">
        <f t="shared" ca="1" si="6"/>
      </c>
      <c r="AL29" s="460"/>
      <c r="AM29" s="460"/>
      <c r="AN29" s="460"/>
      <c r="AO29" s="460"/>
      <c r="AP29" s="460"/>
      <c r="AQ29" s="460"/>
    </row>
    <row r="30" spans="2:43" s="105" customFormat="1" ht="27" customHeight="1">
      <c r="B30" s="401">
        <f>#REF!</f>
      </c>
      <c r="C30" s="373"/>
      <c r="D30" s="374">
        <f>IF(#REF!&lt;&gt;"",#REF!,IF(#REF!&lt;&gt;"",#REF!,""))</f>
      </c>
      <c r="E30" s="375"/>
      <c r="F30" s="376"/>
      <c r="G30" s="376"/>
      <c r="H30" s="377"/>
      <c r="I30" s="378"/>
      <c r="J30" s="379"/>
      <c r="K30" s="380"/>
      <c r="L30" s="381"/>
      <c r="M30" s="382"/>
      <c r="N30" s="167"/>
      <c r="O30" s="167"/>
      <c r="P30" s="260"/>
      <c r="Q30" s="168"/>
      <c r="R30" s="425"/>
      <c r="S30" s="371"/>
      <c r="T30" s="425"/>
      <c r="U30" s="372"/>
      <c r="V30" s="425"/>
      <c r="W30" s="244"/>
      <c r="X30" s="202"/>
      <c r="AL30" s="460"/>
      <c r="AM30" s="460"/>
      <c r="AN30" s="460"/>
      <c r="AO30" s="460"/>
      <c r="AP30" s="460"/>
      <c r="AQ30" s="460"/>
    </row>
    <row r="31" spans="2:43" s="105" customFormat="1" ht="27" customHeight="1">
      <c r="B31" s="370">
        <f>#REF!</f>
      </c>
      <c r="C31" s="232"/>
      <c r="D31" s="164">
        <f>IF(#REF!&lt;&gt;"",#REF!,IF(#REF!&lt;&gt;"",#REF!,""))</f>
      </c>
      <c r="E31" s="235"/>
      <c r="F31" s="236"/>
      <c r="G31" s="236"/>
      <c r="H31" s="237"/>
      <c r="I31" s="238"/>
      <c r="J31" s="239"/>
      <c r="K31" s="240"/>
      <c r="L31" s="241"/>
      <c r="M31" s="242"/>
      <c r="N31" s="167">
        <f>#REF!</f>
      </c>
      <c r="O31" s="167">
        <f>#REF!</f>
      </c>
      <c r="P31" s="260">
        <f>#REF!</f>
      </c>
      <c r="Q31" s="168">
        <f>P31*N31</f>
      </c>
      <c r="R31" s="425">
        <f>IFERROR(Q31/$Q$166,0)</f>
      </c>
      <c r="S31" s="371">
        <f ca="1">IF($AL$5&lt;=1,0,SUM(OFFSET('rincian '!#REF!,0,0,1,$AL$5-1)))</f>
      </c>
      <c r="T31" s="425">
        <f ca="1">IFERROR(S31/N31*R31,0)</f>
      </c>
      <c r="U31" s="372" cm="1">
        <f t="array" ref="U31">IFERROR(INDEX('rincian '!#REF!,$AL$5),0)</f>
      </c>
      <c r="V31" s="425">
        <f>IFERROR(U31/N31*R31,0)</f>
      </c>
      <c r="W31" s="244">
        <f t="shared" ref="W31:X35" ca="1" si="8">S31+U31</f>
      </c>
      <c r="X31" s="202">
        <f t="shared" ca="1" si="8"/>
      </c>
      <c r="AL31" s="460"/>
      <c r="AM31" s="460"/>
      <c r="AN31" s="460"/>
      <c r="AO31" s="460"/>
      <c r="AP31" s="460"/>
      <c r="AQ31" s="460"/>
    </row>
    <row r="32" spans="2:43" s="105" customFormat="1" ht="27" customHeight="1">
      <c r="B32" s="370">
        <f>#REF!</f>
      </c>
      <c r="C32" s="232"/>
      <c r="D32" s="164">
        <f>IF(#REF!&lt;&gt;"",#REF!,IF(#REF!&lt;&gt;"",#REF!,""))</f>
      </c>
      <c r="E32" s="235"/>
      <c r="F32" s="236"/>
      <c r="G32" s="236"/>
      <c r="H32" s="237"/>
      <c r="I32" s="238"/>
      <c r="J32" s="239"/>
      <c r="K32" s="240"/>
      <c r="L32" s="241"/>
      <c r="M32" s="242"/>
      <c r="N32" s="167">
        <f>#REF!</f>
      </c>
      <c r="O32" s="167">
        <f>#REF!</f>
      </c>
      <c r="P32" s="260">
        <f>#REF!</f>
      </c>
      <c r="Q32" s="168">
        <f>P32*N32</f>
      </c>
      <c r="R32" s="425">
        <f>IFERROR(Q32/$Q$166,0)</f>
      </c>
      <c r="S32" s="371">
        <f ca="1">IF($AL$5&lt;=1,0,SUM(OFFSET('rincian '!#REF!,0,0,1,$AL$5-1)))</f>
      </c>
      <c r="T32" s="425">
        <f ca="1">IFERROR(S32/N32*R32,0)</f>
      </c>
      <c r="U32" s="372" cm="1">
        <f t="array" ref="U32">IFERROR(INDEX('rincian '!#REF!,$AL$5),0)</f>
      </c>
      <c r="V32" s="425">
        <f>IFERROR(U32/N32*R32,0)</f>
      </c>
      <c r="W32" s="244">
        <f t="shared" ca="1" si="8"/>
      </c>
      <c r="X32" s="202">
        <f t="shared" ca="1" si="8"/>
      </c>
      <c r="AL32" s="460"/>
      <c r="AM32" s="460"/>
      <c r="AN32" s="460"/>
      <c r="AO32" s="460"/>
      <c r="AP32" s="460"/>
      <c r="AQ32" s="460"/>
    </row>
    <row r="33" spans="2:43" s="105" customFormat="1" ht="27" customHeight="1">
      <c r="B33" s="370">
        <f>#REF!</f>
      </c>
      <c r="C33" s="232"/>
      <c r="D33" s="164">
        <f>IF(#REF!&lt;&gt;"",#REF!,IF(#REF!&lt;&gt;"",#REF!,""))</f>
      </c>
      <c r="E33" s="235"/>
      <c r="F33" s="236"/>
      <c r="G33" s="236"/>
      <c r="H33" s="237"/>
      <c r="I33" s="238"/>
      <c r="J33" s="239"/>
      <c r="K33" s="240"/>
      <c r="L33" s="241"/>
      <c r="M33" s="242"/>
      <c r="N33" s="167">
        <f>#REF!</f>
      </c>
      <c r="O33" s="167">
        <f>#REF!</f>
      </c>
      <c r="P33" s="260">
        <f>#REF!</f>
      </c>
      <c r="Q33" s="168">
        <f>P33*N33</f>
      </c>
      <c r="R33" s="425">
        <f>IFERROR(Q33/$Q$166,0)</f>
      </c>
      <c r="S33" s="371">
        <f ca="1">IF($AL$5&lt;=1,0,SUM(OFFSET('rincian '!#REF!,0,0,1,$AL$5-1)))</f>
      </c>
      <c r="T33" s="425">
        <f ca="1">IFERROR(S33/N33*R33,0)</f>
      </c>
      <c r="U33" s="372" cm="1">
        <f t="array" ref="U33">IFERROR(INDEX('rincian '!#REF!,$AL$5),0)</f>
      </c>
      <c r="V33" s="425">
        <f>IFERROR(U33/N33*R33,0)</f>
      </c>
      <c r="W33" s="244">
        <f t="shared" ca="1" si="8"/>
      </c>
      <c r="X33" s="202">
        <f t="shared" ca="1" si="8"/>
      </c>
      <c r="AL33" s="460"/>
      <c r="AM33" s="460"/>
      <c r="AN33" s="460"/>
      <c r="AO33" s="460"/>
      <c r="AP33" s="460"/>
      <c r="AQ33" s="460"/>
    </row>
    <row r="34" spans="2:43" s="105" customFormat="1" ht="27" customHeight="1">
      <c r="B34" s="370">
        <f>#REF!</f>
      </c>
      <c r="C34" s="232"/>
      <c r="D34" s="164">
        <f>IF(#REF!&lt;&gt;"",#REF!,IF(#REF!&lt;&gt;"",#REF!,""))</f>
      </c>
      <c r="E34" s="235"/>
      <c r="F34" s="236"/>
      <c r="G34" s="236"/>
      <c r="H34" s="237"/>
      <c r="I34" s="238"/>
      <c r="J34" s="239"/>
      <c r="K34" s="240"/>
      <c r="L34" s="241"/>
      <c r="M34" s="242"/>
      <c r="N34" s="167">
        <f>#REF!</f>
      </c>
      <c r="O34" s="167">
        <f>#REF!</f>
      </c>
      <c r="P34" s="260">
        <f>#REF!</f>
      </c>
      <c r="Q34" s="168">
        <f>P34*N34</f>
      </c>
      <c r="R34" s="425">
        <f>IFERROR(Q34/$Q$166,0)</f>
      </c>
      <c r="S34" s="371">
        <f ca="1">IF($AL$5&lt;=1,0,SUM(OFFSET('rincian '!#REF!,0,0,1,$AL$5-1)))</f>
      </c>
      <c r="T34" s="425">
        <f ca="1">IFERROR(S34/N34*R34,0)</f>
      </c>
      <c r="U34" s="372" cm="1">
        <f t="array" ref="U34">IFERROR(INDEX('rincian '!#REF!,$AL$5),0)</f>
      </c>
      <c r="V34" s="425">
        <f>IFERROR(U34/N34*R34,0)</f>
      </c>
      <c r="W34" s="244">
        <f t="shared" ca="1" si="8"/>
      </c>
      <c r="X34" s="202">
        <f t="shared" ca="1" si="8"/>
      </c>
      <c r="AL34" s="460"/>
      <c r="AM34" s="460"/>
      <c r="AN34" s="460"/>
      <c r="AO34" s="460"/>
      <c r="AP34" s="460"/>
      <c r="AQ34" s="460"/>
    </row>
    <row r="35" spans="2:43" s="105" customFormat="1" ht="27" customHeight="1">
      <c r="B35" s="370">
        <f>#REF!</f>
      </c>
      <c r="C35" s="232"/>
      <c r="D35" s="164">
        <f>IF(#REF!&lt;&gt;"",#REF!,IF(#REF!&lt;&gt;"",#REF!,""))</f>
      </c>
      <c r="E35" s="235"/>
      <c r="F35" s="236"/>
      <c r="G35" s="236"/>
      <c r="H35" s="237"/>
      <c r="I35" s="238"/>
      <c r="J35" s="239"/>
      <c r="K35" s="240"/>
      <c r="L35" s="241"/>
      <c r="M35" s="242"/>
      <c r="N35" s="167">
        <f>#REF!</f>
      </c>
      <c r="O35" s="167">
        <f>#REF!</f>
      </c>
      <c r="P35" s="260">
        <f>#REF!</f>
      </c>
      <c r="Q35" s="168">
        <f>P35*N35</f>
      </c>
      <c r="R35" s="425">
        <f>IFERROR(Q35/$Q$166,0)</f>
      </c>
      <c r="S35" s="371">
        <f ca="1">IF($AL$5&lt;=1,0,SUM(OFFSET('rincian '!#REF!,0,0,1,$AL$5-1)))</f>
      </c>
      <c r="T35" s="425">
        <f ca="1">IFERROR(S35/N35*R35,0)</f>
      </c>
      <c r="U35" s="372" cm="1">
        <f t="array" ref="U35">IFERROR(INDEX('rincian '!#REF!,$AL$5),0)</f>
      </c>
      <c r="V35" s="425">
        <f>IFERROR(U35/N35*R35,0)</f>
      </c>
      <c r="W35" s="244">
        <f t="shared" ca="1" si="8"/>
      </c>
      <c r="X35" s="202">
        <f t="shared" ca="1" si="8"/>
      </c>
      <c r="AL35" s="460"/>
      <c r="AM35" s="460"/>
      <c r="AN35" s="460"/>
      <c r="AO35" s="460"/>
      <c r="AP35" s="460"/>
      <c r="AQ35" s="460"/>
    </row>
    <row r="36" spans="2:43" s="105" customFormat="1" ht="27" customHeight="1">
      <c r="B36" s="370">
        <f>#REF!</f>
      </c>
      <c r="C36" s="232"/>
      <c r="D36" s="164">
        <f>IF(#REF!&lt;&gt;"",#REF!,IF(#REF!&lt;&gt;"",#REF!,""))</f>
      </c>
      <c r="E36" s="235"/>
      <c r="F36" s="236"/>
      <c r="G36" s="236"/>
      <c r="H36" s="237"/>
      <c r="I36" s="238"/>
      <c r="J36" s="239"/>
      <c r="K36" s="240"/>
      <c r="L36" s="241"/>
      <c r="M36" s="242"/>
      <c r="N36" s="167"/>
      <c r="O36" s="167"/>
      <c r="P36" s="260"/>
      <c r="Q36" s="168"/>
      <c r="R36" s="425"/>
      <c r="S36" s="371"/>
      <c r="T36" s="425"/>
      <c r="U36" s="372"/>
      <c r="V36" s="425"/>
      <c r="W36" s="244"/>
      <c r="X36" s="202"/>
      <c r="AL36" s="460"/>
      <c r="AM36" s="460"/>
      <c r="AN36" s="460"/>
      <c r="AO36" s="460"/>
      <c r="AP36" s="460"/>
      <c r="AQ36" s="460"/>
    </row>
    <row r="37" spans="2:43" s="105" customFormat="1" ht="27" customHeight="1">
      <c r="B37" s="370">
        <f>#REF!</f>
      </c>
      <c r="C37" s="232"/>
      <c r="D37" s="164">
        <f>IF(#REF!&lt;&gt;"",#REF!,IF(#REF!&lt;&gt;"",#REF!,""))</f>
      </c>
      <c r="E37" s="235"/>
      <c r="F37" s="236"/>
      <c r="G37" s="236"/>
      <c r="H37" s="237"/>
      <c r="I37" s="238"/>
      <c r="J37" s="239"/>
      <c r="K37" s="240"/>
      <c r="L37" s="241"/>
      <c r="M37" s="242"/>
      <c r="N37" s="167">
        <f>#REF!</f>
      </c>
      <c r="O37" s="167">
        <f>#REF!</f>
      </c>
      <c r="P37" s="260">
        <f>#REF!</f>
      </c>
      <c r="Q37" s="168">
        <f t="shared" ref="Q37:Q53" si="9">P37*N37</f>
      </c>
      <c r="R37" s="425">
        <f t="shared" ref="R37:R53" si="10">IFERROR(Q37/$Q$166,0)</f>
      </c>
      <c r="S37" s="371">
        <f ca="1">IF($AL$5&lt;=1,0,SUM(OFFSET('rincian '!#REF!,0,0,1,$AL$5-1)))</f>
      </c>
      <c r="T37" s="425">
        <f t="shared" ref="T37:T53" ca="1" si="11">IFERROR(S37/N37*R37,0)</f>
      </c>
      <c r="U37" s="372" cm="1">
        <f t="array" ref="U37">IFERROR(INDEX('rincian '!#REF!,$AL$5),0)</f>
      </c>
      <c r="V37" s="425">
        <f t="shared" ref="V37:V53" si="12">IFERROR(U37/N37*R37,0)</f>
      </c>
      <c r="W37" s="244">
        <f t="shared" ref="W37:X53" ca="1" si="13">S37+U37</f>
      </c>
      <c r="X37" s="202">
        <f t="shared" ca="1" si="13"/>
      </c>
      <c r="AL37" s="460"/>
      <c r="AM37" s="460"/>
      <c r="AN37" s="460"/>
      <c r="AO37" s="460"/>
      <c r="AP37" s="460"/>
      <c r="AQ37" s="460"/>
    </row>
    <row r="38" spans="2:43" s="105" customFormat="1" ht="27" customHeight="1">
      <c r="B38" s="370">
        <f>#REF!</f>
      </c>
      <c r="C38" s="232"/>
      <c r="D38" s="164">
        <f>IF(#REF!&lt;&gt;"",#REF!,IF(#REF!&lt;&gt;"",#REF!,""))</f>
      </c>
      <c r="E38" s="235"/>
      <c r="F38" s="236"/>
      <c r="G38" s="236"/>
      <c r="H38" s="237"/>
      <c r="I38" s="238"/>
      <c r="J38" s="239"/>
      <c r="K38" s="240"/>
      <c r="L38" s="241"/>
      <c r="M38" s="242"/>
      <c r="N38" s="167">
        <f>#REF!</f>
      </c>
      <c r="O38" s="167">
        <f>#REF!</f>
      </c>
      <c r="P38" s="260">
        <f>#REF!</f>
      </c>
      <c r="Q38" s="168">
        <f t="shared" si="9"/>
      </c>
      <c r="R38" s="425">
        <f t="shared" si="10"/>
      </c>
      <c r="S38" s="371">
        <f ca="1">IF($AL$5&lt;=1,0,SUM(OFFSET('rincian '!#REF!,0,0,1,$AL$5-1)))</f>
      </c>
      <c r="T38" s="425">
        <f t="shared" ca="1" si="11"/>
      </c>
      <c r="U38" s="372" cm="1">
        <f t="array" ref="U38">IFERROR(INDEX('rincian '!#REF!,$AL$5),0)</f>
      </c>
      <c r="V38" s="425">
        <f t="shared" si="12"/>
      </c>
      <c r="W38" s="244">
        <f t="shared" ca="1" si="13"/>
      </c>
      <c r="X38" s="202">
        <f t="shared" ca="1" si="13"/>
      </c>
      <c r="AL38" s="460"/>
      <c r="AM38" s="460"/>
      <c r="AN38" s="460"/>
      <c r="AO38" s="460"/>
      <c r="AP38" s="460"/>
      <c r="AQ38" s="460"/>
    </row>
    <row r="39" spans="2:43" s="105" customFormat="1" ht="27" customHeight="1">
      <c r="B39" s="370">
        <f>#REF!</f>
      </c>
      <c r="C39" s="232"/>
      <c r="D39" s="164">
        <f>IF(#REF!&lt;&gt;"",#REF!,IF(#REF!&lt;&gt;"",#REF!,""))</f>
      </c>
      <c r="E39" s="235"/>
      <c r="F39" s="236"/>
      <c r="G39" s="236"/>
      <c r="H39" s="237"/>
      <c r="I39" s="238"/>
      <c r="J39" s="239"/>
      <c r="K39" s="240"/>
      <c r="L39" s="241"/>
      <c r="M39" s="242"/>
      <c r="N39" s="167">
        <f>#REF!</f>
      </c>
      <c r="O39" s="167">
        <f>#REF!</f>
      </c>
      <c r="P39" s="260">
        <f>#REF!</f>
      </c>
      <c r="Q39" s="168">
        <f t="shared" si="9"/>
      </c>
      <c r="R39" s="425">
        <f t="shared" si="10"/>
      </c>
      <c r="S39" s="371">
        <f ca="1">IF($AL$5&lt;=1,0,SUM(OFFSET('rincian '!#REF!,0,0,1,$AL$5-1)))</f>
      </c>
      <c r="T39" s="425">
        <f t="shared" ca="1" si="11"/>
      </c>
      <c r="U39" s="372" cm="1">
        <f t="array" ref="U39">IFERROR(INDEX('rincian '!#REF!,$AL$5),0)</f>
      </c>
      <c r="V39" s="425">
        <f t="shared" si="12"/>
      </c>
      <c r="W39" s="244">
        <f t="shared" ca="1" si="13"/>
      </c>
      <c r="X39" s="202">
        <f t="shared" ca="1" si="13"/>
      </c>
      <c r="AL39" s="460"/>
      <c r="AM39" s="460"/>
      <c r="AN39" s="460"/>
      <c r="AO39" s="460"/>
      <c r="AP39" s="460"/>
      <c r="AQ39" s="460"/>
    </row>
    <row r="40" spans="2:43" s="105" customFormat="1" ht="21" customHeight="1">
      <c r="B40" s="370">
        <f>#REF!</f>
      </c>
      <c r="C40" s="232"/>
      <c r="D40" s="704">
        <f>IF(#REF!&lt;&gt;"",#REF!,IF(#REF!&lt;&gt;"",#REF!,""))</f>
      </c>
      <c r="E40" s="704"/>
      <c r="F40" s="704"/>
      <c r="G40" s="704"/>
      <c r="H40" s="704"/>
      <c r="I40" s="704"/>
      <c r="J40" s="704"/>
      <c r="K40" s="704"/>
      <c r="L40" s="704"/>
      <c r="M40" s="705"/>
      <c r="N40" s="167">
        <f>#REF!</f>
      </c>
      <c r="O40" s="167">
        <f>#REF!</f>
      </c>
      <c r="P40" s="260">
        <f>#REF!</f>
      </c>
      <c r="Q40" s="168">
        <f t="shared" si="9"/>
      </c>
      <c r="R40" s="425">
        <f t="shared" si="10"/>
      </c>
      <c r="S40" s="371">
        <f ca="1">IF($AL$5&lt;=1,0,SUM(OFFSET('rincian '!#REF!,0,0,1,$AL$5-1)))</f>
      </c>
      <c r="T40" s="425">
        <f t="shared" ca="1" si="11"/>
      </c>
      <c r="U40" s="372" cm="1">
        <f t="array" ref="U40">IFERROR(INDEX('rincian '!#REF!,$AL$5),0)</f>
      </c>
      <c r="V40" s="425">
        <f t="shared" si="12"/>
      </c>
      <c r="W40" s="244">
        <f t="shared" ca="1" si="13"/>
      </c>
      <c r="X40" s="202">
        <f t="shared" ca="1" si="13"/>
      </c>
      <c r="AL40" s="460"/>
      <c r="AM40" s="460"/>
      <c r="AN40" s="460"/>
      <c r="AO40" s="460"/>
      <c r="AP40" s="460"/>
      <c r="AQ40" s="460"/>
    </row>
    <row r="41" spans="2:43" s="105" customFormat="1" ht="27" customHeight="1">
      <c r="B41" s="370">
        <f>#REF!</f>
      </c>
      <c r="C41" s="232"/>
      <c r="D41" s="164">
        <f>IF(#REF!&lt;&gt;"",#REF!,IF(#REF!&lt;&gt;"",#REF!,""))</f>
      </c>
      <c r="E41" s="235"/>
      <c r="F41" s="236"/>
      <c r="G41" s="236"/>
      <c r="H41" s="237"/>
      <c r="I41" s="238"/>
      <c r="J41" s="239"/>
      <c r="K41" s="240"/>
      <c r="L41" s="241"/>
      <c r="M41" s="242"/>
      <c r="N41" s="167">
        <f>#REF!</f>
      </c>
      <c r="O41" s="167">
        <f>#REF!</f>
      </c>
      <c r="P41" s="260">
        <f>#REF!</f>
      </c>
      <c r="Q41" s="168">
        <f t="shared" si="9"/>
      </c>
      <c r="R41" s="425">
        <f t="shared" si="10"/>
      </c>
      <c r="S41" s="371">
        <f ca="1">IF($AL$5&lt;=1,0,SUM(OFFSET('rincian '!#REF!,0,0,1,$AL$5-1)))</f>
      </c>
      <c r="T41" s="425">
        <f t="shared" ca="1" si="11"/>
      </c>
      <c r="U41" s="372" cm="1">
        <f t="array" ref="U41">IFERROR(INDEX('rincian '!#REF!,$AL$5),0)</f>
      </c>
      <c r="V41" s="425">
        <f t="shared" si="12"/>
      </c>
      <c r="W41" s="244">
        <f t="shared" ca="1" si="13"/>
      </c>
      <c r="X41" s="202">
        <f t="shared" ca="1" si="13"/>
      </c>
      <c r="AL41" s="460"/>
      <c r="AM41" s="460"/>
      <c r="AN41" s="460"/>
      <c r="AO41" s="460"/>
      <c r="AP41" s="460"/>
      <c r="AQ41" s="460"/>
    </row>
    <row r="42" spans="2:43" s="105" customFormat="1" ht="27" customHeight="1">
      <c r="B42" s="370">
        <f>#REF!</f>
      </c>
      <c r="C42" s="232"/>
      <c r="D42" s="164">
        <f>IF(#REF!&lt;&gt;"",#REF!,IF(#REF!&lt;&gt;"",#REF!,""))</f>
      </c>
      <c r="E42" s="235"/>
      <c r="F42" s="236"/>
      <c r="G42" s="236"/>
      <c r="H42" s="237"/>
      <c r="I42" s="238"/>
      <c r="J42" s="239"/>
      <c r="K42" s="240"/>
      <c r="L42" s="241"/>
      <c r="M42" s="242"/>
      <c r="N42" s="167">
        <f>#REF!</f>
      </c>
      <c r="O42" s="167">
        <f>#REF!</f>
      </c>
      <c r="P42" s="260">
        <f>#REF!</f>
      </c>
      <c r="Q42" s="168">
        <f t="shared" si="9"/>
      </c>
      <c r="R42" s="425">
        <f t="shared" si="10"/>
      </c>
      <c r="S42" s="371">
        <f ca="1">IF($AL$5&lt;=1,0,SUM(OFFSET('rincian '!#REF!,0,0,1,$AL$5-1)))</f>
      </c>
      <c r="T42" s="425">
        <f t="shared" ca="1" si="11"/>
      </c>
      <c r="U42" s="372" cm="1">
        <f t="array" ref="U42">IFERROR(INDEX('rincian '!#REF!,$AL$5),0)</f>
      </c>
      <c r="V42" s="425">
        <f t="shared" si="12"/>
      </c>
      <c r="W42" s="244">
        <f t="shared" ca="1" si="13"/>
      </c>
      <c r="X42" s="202">
        <f t="shared" ca="1" si="13"/>
      </c>
      <c r="AL42" s="460"/>
      <c r="AM42" s="460"/>
      <c r="AN42" s="460"/>
      <c r="AO42" s="460"/>
      <c r="AP42" s="460"/>
      <c r="AQ42" s="460"/>
    </row>
    <row r="43" spans="2:43" s="105" customFormat="1" ht="27" customHeight="1">
      <c r="B43" s="370">
        <f>#REF!</f>
      </c>
      <c r="C43" s="232"/>
      <c r="D43" s="164">
        <f>IF(#REF!&lt;&gt;"",#REF!,IF(#REF!&lt;&gt;"",#REF!,""))</f>
      </c>
      <c r="E43" s="235"/>
      <c r="F43" s="236"/>
      <c r="G43" s="236"/>
      <c r="H43" s="237"/>
      <c r="I43" s="238"/>
      <c r="J43" s="239"/>
      <c r="K43" s="240"/>
      <c r="L43" s="241"/>
      <c r="M43" s="242"/>
      <c r="N43" s="167">
        <f>#REF!</f>
      </c>
      <c r="O43" s="167">
        <f>#REF!</f>
      </c>
      <c r="P43" s="260">
        <f>#REF!</f>
      </c>
      <c r="Q43" s="168">
        <f t="shared" si="9"/>
      </c>
      <c r="R43" s="425">
        <f t="shared" si="10"/>
      </c>
      <c r="S43" s="371">
        <f ca="1">IF($AL$5&lt;=1,0,SUM(OFFSET('rincian '!#REF!,0,0,1,$AL$5-1)))</f>
      </c>
      <c r="T43" s="425">
        <f t="shared" ca="1" si="11"/>
      </c>
      <c r="U43" s="372" cm="1">
        <f t="array" ref="U43">IFERROR(INDEX('rincian '!#REF!,$AL$5),0)</f>
      </c>
      <c r="V43" s="425">
        <f t="shared" si="12"/>
      </c>
      <c r="W43" s="244">
        <f t="shared" ca="1" si="13"/>
      </c>
      <c r="X43" s="202">
        <f t="shared" ca="1" si="13"/>
      </c>
      <c r="AL43" s="460"/>
      <c r="AM43" s="460"/>
      <c r="AN43" s="460"/>
      <c r="AO43" s="460"/>
      <c r="AP43" s="460"/>
      <c r="AQ43" s="460"/>
    </row>
    <row r="44" spans="2:43" s="105" customFormat="1" ht="27" customHeight="1">
      <c r="B44" s="370">
        <f>#REF!</f>
      </c>
      <c r="C44" s="232"/>
      <c r="D44" s="164">
        <f>IF(#REF!&lt;&gt;"",#REF!,IF(#REF!&lt;&gt;"",#REF!,""))</f>
      </c>
      <c r="E44" s="235"/>
      <c r="F44" s="236"/>
      <c r="G44" s="236"/>
      <c r="H44" s="237"/>
      <c r="I44" s="238"/>
      <c r="J44" s="239"/>
      <c r="K44" s="240"/>
      <c r="L44" s="241"/>
      <c r="M44" s="242"/>
      <c r="N44" s="167">
        <f>#REF!</f>
      </c>
      <c r="O44" s="167">
        <f>#REF!</f>
      </c>
      <c r="P44" s="260">
        <f>#REF!</f>
      </c>
      <c r="Q44" s="168">
        <f t="shared" si="9"/>
      </c>
      <c r="R44" s="425">
        <f t="shared" si="10"/>
      </c>
      <c r="S44" s="371">
        <f ca="1">IF($AL$5&lt;=1,0,SUM(OFFSET('rincian '!#REF!,0,0,1,$AL$5-1)))</f>
      </c>
      <c r="T44" s="425">
        <f t="shared" ca="1" si="11"/>
      </c>
      <c r="U44" s="372" cm="1">
        <f t="array" ref="U44">IFERROR(INDEX('rincian '!#REF!,$AL$5),0)</f>
      </c>
      <c r="V44" s="425">
        <f t="shared" si="12"/>
      </c>
      <c r="W44" s="244">
        <f t="shared" ca="1" si="13"/>
      </c>
      <c r="X44" s="202">
        <f t="shared" ca="1" si="13"/>
      </c>
      <c r="AL44" s="460"/>
      <c r="AM44" s="460"/>
      <c r="AN44" s="460"/>
      <c r="AO44" s="460"/>
      <c r="AP44" s="460"/>
      <c r="AQ44" s="460"/>
    </row>
    <row r="45" spans="2:43" s="105" customFormat="1" ht="27" customHeight="1">
      <c r="B45" s="370">
        <f>#REF!</f>
      </c>
      <c r="C45" s="232"/>
      <c r="D45" s="164">
        <f>IF(#REF!&lt;&gt;"",#REF!,IF(#REF!&lt;&gt;"",#REF!,""))</f>
      </c>
      <c r="E45" s="235"/>
      <c r="F45" s="236"/>
      <c r="G45" s="236"/>
      <c r="H45" s="237"/>
      <c r="I45" s="238"/>
      <c r="J45" s="239"/>
      <c r="K45" s="240"/>
      <c r="L45" s="241"/>
      <c r="M45" s="242"/>
      <c r="N45" s="167">
        <f>#REF!</f>
      </c>
      <c r="O45" s="167">
        <f>#REF!</f>
      </c>
      <c r="P45" s="260">
        <f>#REF!</f>
      </c>
      <c r="Q45" s="168">
        <f t="shared" si="9"/>
      </c>
      <c r="R45" s="425">
        <f t="shared" si="10"/>
      </c>
      <c r="S45" s="371">
        <f ca="1">IF($AL$5&lt;=1,0,SUM(OFFSET('rincian '!#REF!,0,0,1,$AL$5-1)))</f>
      </c>
      <c r="T45" s="425">
        <f t="shared" ca="1" si="11"/>
      </c>
      <c r="U45" s="372" cm="1">
        <f t="array" ref="U45">IFERROR(INDEX('rincian '!#REF!,$AL$5),0)</f>
      </c>
      <c r="V45" s="425">
        <f t="shared" si="12"/>
      </c>
      <c r="W45" s="244">
        <f t="shared" ca="1" si="13"/>
      </c>
      <c r="X45" s="202">
        <f t="shared" ca="1" si="13"/>
      </c>
      <c r="AL45" s="460"/>
      <c r="AM45" s="460"/>
      <c r="AN45" s="460"/>
      <c r="AO45" s="460"/>
      <c r="AP45" s="460"/>
      <c r="AQ45" s="460"/>
    </row>
    <row r="46" spans="2:43" s="105" customFormat="1" ht="27" customHeight="1">
      <c r="B46" s="370">
        <f>#REF!</f>
      </c>
      <c r="C46" s="232"/>
      <c r="D46" s="164">
        <f>IF(#REF!&lt;&gt;"",#REF!,IF(#REF!&lt;&gt;"",#REF!,""))</f>
      </c>
      <c r="E46" s="235"/>
      <c r="F46" s="236"/>
      <c r="G46" s="236"/>
      <c r="H46" s="237"/>
      <c r="I46" s="238"/>
      <c r="J46" s="239"/>
      <c r="K46" s="240"/>
      <c r="L46" s="241"/>
      <c r="M46" s="242"/>
      <c r="N46" s="167">
        <f>#REF!</f>
      </c>
      <c r="O46" s="167">
        <f>#REF!</f>
      </c>
      <c r="P46" s="260">
        <f>#REF!</f>
      </c>
      <c r="Q46" s="168">
        <f t="shared" si="9"/>
      </c>
      <c r="R46" s="425">
        <f t="shared" si="10"/>
      </c>
      <c r="S46" s="371">
        <f ca="1">IF($AL$5&lt;=1,0,SUM(OFFSET('rincian '!#REF!,0,0,1,$AL$5-1)))</f>
      </c>
      <c r="T46" s="425">
        <f t="shared" ca="1" si="11"/>
      </c>
      <c r="U46" s="372" cm="1">
        <f t="array" ref="U46">IFERROR(INDEX('rincian '!#REF!,$AL$5),0)</f>
      </c>
      <c r="V46" s="425">
        <f t="shared" si="12"/>
      </c>
      <c r="W46" s="244">
        <f t="shared" ca="1" si="13"/>
      </c>
      <c r="X46" s="202">
        <f t="shared" ca="1" si="13"/>
      </c>
      <c r="AL46" s="460"/>
      <c r="AM46" s="460"/>
      <c r="AN46" s="460"/>
      <c r="AO46" s="460"/>
      <c r="AP46" s="460"/>
      <c r="AQ46" s="460"/>
    </row>
    <row r="47" spans="2:43" s="105" customFormat="1" ht="27" customHeight="1">
      <c r="B47" s="370">
        <f>#REF!</f>
      </c>
      <c r="C47" s="232"/>
      <c r="D47" s="164">
        <f>IF(#REF!&lt;&gt;"",#REF!,IF(#REF!&lt;&gt;"",#REF!,""))</f>
      </c>
      <c r="E47" s="235"/>
      <c r="F47" s="236"/>
      <c r="G47" s="236"/>
      <c r="H47" s="237"/>
      <c r="I47" s="238"/>
      <c r="J47" s="239"/>
      <c r="K47" s="240"/>
      <c r="L47" s="241"/>
      <c r="M47" s="242"/>
      <c r="N47" s="167">
        <f>#REF!</f>
      </c>
      <c r="O47" s="167">
        <f>#REF!</f>
      </c>
      <c r="P47" s="260">
        <f>#REF!</f>
      </c>
      <c r="Q47" s="168">
        <f t="shared" si="9"/>
      </c>
      <c r="R47" s="425">
        <f t="shared" si="10"/>
      </c>
      <c r="S47" s="371">
        <f ca="1">IF($AL$5&lt;=1,0,SUM(OFFSET('rincian '!#REF!,0,0,1,$AL$5-1)))</f>
      </c>
      <c r="T47" s="425">
        <f t="shared" ca="1" si="11"/>
      </c>
      <c r="U47" s="372" cm="1">
        <f t="array" ref="U47">IFERROR(INDEX('rincian '!#REF!,$AL$5),0)</f>
      </c>
      <c r="V47" s="425">
        <f t="shared" si="12"/>
      </c>
      <c r="W47" s="244">
        <f t="shared" ca="1" si="13"/>
      </c>
      <c r="X47" s="202">
        <f t="shared" ca="1" si="13"/>
      </c>
      <c r="AL47" s="460"/>
      <c r="AM47" s="460"/>
      <c r="AN47" s="460"/>
      <c r="AO47" s="460"/>
      <c r="AP47" s="460"/>
      <c r="AQ47" s="460"/>
    </row>
    <row r="48" spans="2:43" s="105" customFormat="1" ht="27" customHeight="1">
      <c r="B48" s="370">
        <f>#REF!</f>
      </c>
      <c r="C48" s="232"/>
      <c r="D48" s="164">
        <f>IF(#REF!&lt;&gt;"",#REF!,IF(#REF!&lt;&gt;"",#REF!,""))</f>
      </c>
      <c r="E48" s="235"/>
      <c r="F48" s="236"/>
      <c r="G48" s="236"/>
      <c r="H48" s="237"/>
      <c r="I48" s="238"/>
      <c r="J48" s="239"/>
      <c r="K48" s="240"/>
      <c r="L48" s="241"/>
      <c r="M48" s="242"/>
      <c r="N48" s="167">
        <f>#REF!</f>
      </c>
      <c r="O48" s="167">
        <f>#REF!</f>
      </c>
      <c r="P48" s="260">
        <f>#REF!</f>
      </c>
      <c r="Q48" s="168">
        <f t="shared" si="9"/>
      </c>
      <c r="R48" s="425">
        <f t="shared" si="10"/>
      </c>
      <c r="S48" s="371">
        <f ca="1">IF($AL$5&lt;=1,0,SUM(OFFSET('rincian '!#REF!,0,0,1,$AL$5-1)))</f>
      </c>
      <c r="T48" s="425">
        <f t="shared" ca="1" si="11"/>
      </c>
      <c r="U48" s="372" cm="1">
        <f t="array" ref="U48">IFERROR(INDEX('rincian '!#REF!,$AL$5),0)</f>
      </c>
      <c r="V48" s="425">
        <f t="shared" si="12"/>
      </c>
      <c r="W48" s="244">
        <f t="shared" ca="1" si="13"/>
      </c>
      <c r="X48" s="202">
        <f t="shared" ca="1" si="13"/>
      </c>
      <c r="AL48" s="460"/>
      <c r="AM48" s="460"/>
      <c r="AN48" s="460"/>
      <c r="AO48" s="460"/>
      <c r="AP48" s="460"/>
      <c r="AQ48" s="460"/>
    </row>
    <row r="49" spans="2:43" s="105" customFormat="1" ht="27" customHeight="1">
      <c r="B49" s="370">
        <f>#REF!</f>
      </c>
      <c r="C49" s="232"/>
      <c r="D49" s="164">
        <f>IF(#REF!&lt;&gt;"",#REF!,IF(#REF!&lt;&gt;"",#REF!,""))</f>
      </c>
      <c r="E49" s="235"/>
      <c r="F49" s="236"/>
      <c r="G49" s="236"/>
      <c r="H49" s="237"/>
      <c r="I49" s="238"/>
      <c r="J49" s="239"/>
      <c r="K49" s="240"/>
      <c r="L49" s="241"/>
      <c r="M49" s="242"/>
      <c r="N49" s="167">
        <f>#REF!</f>
      </c>
      <c r="O49" s="167">
        <f>#REF!</f>
      </c>
      <c r="P49" s="260">
        <f>#REF!</f>
      </c>
      <c r="Q49" s="168">
        <f t="shared" si="9"/>
      </c>
      <c r="R49" s="425">
        <f t="shared" si="10"/>
      </c>
      <c r="S49" s="371">
        <f ca="1">IF($AL$5&lt;=1,0,SUM(OFFSET('rincian '!#REF!,0,0,1,$AL$5-1)))</f>
      </c>
      <c r="T49" s="425">
        <f t="shared" ca="1" si="11"/>
      </c>
      <c r="U49" s="372" cm="1">
        <f t="array" ref="U49">IFERROR(INDEX('rincian '!#REF!,$AL$5),0)</f>
      </c>
      <c r="V49" s="425">
        <f t="shared" si="12"/>
      </c>
      <c r="W49" s="244">
        <f t="shared" ca="1" si="13"/>
      </c>
      <c r="X49" s="202">
        <f t="shared" ca="1" si="13"/>
      </c>
      <c r="AL49" s="460"/>
      <c r="AM49" s="460"/>
      <c r="AN49" s="460"/>
      <c r="AO49" s="460"/>
      <c r="AP49" s="460"/>
      <c r="AQ49" s="460"/>
    </row>
    <row r="50" spans="2:43" s="105" customFormat="1" ht="27" customHeight="1">
      <c r="B50" s="370">
        <f>#REF!</f>
      </c>
      <c r="C50" s="232"/>
      <c r="D50" s="164">
        <f>IF(#REF!&lt;&gt;"",#REF!,IF(#REF!&lt;&gt;"",#REF!,""))</f>
      </c>
      <c r="E50" s="235"/>
      <c r="F50" s="236"/>
      <c r="G50" s="236"/>
      <c r="H50" s="237"/>
      <c r="I50" s="238"/>
      <c r="J50" s="239"/>
      <c r="K50" s="240"/>
      <c r="L50" s="241"/>
      <c r="M50" s="242"/>
      <c r="N50" s="167">
        <f>#REF!</f>
      </c>
      <c r="O50" s="167">
        <f>#REF!</f>
      </c>
      <c r="P50" s="260">
        <f>#REF!</f>
      </c>
      <c r="Q50" s="168">
        <f t="shared" si="9"/>
      </c>
      <c r="R50" s="425">
        <f t="shared" si="10"/>
      </c>
      <c r="S50" s="371">
        <f ca="1">IF($AL$5&lt;=1,0,SUM(OFFSET('rincian '!#REF!,0,0,1,$AL$5-1)))</f>
      </c>
      <c r="T50" s="425">
        <f t="shared" ca="1" si="11"/>
      </c>
      <c r="U50" s="372" cm="1">
        <f t="array" ref="U50">IFERROR(INDEX('rincian '!#REF!,$AL$5),0)</f>
      </c>
      <c r="V50" s="425">
        <f t="shared" si="12"/>
      </c>
      <c r="W50" s="244">
        <f t="shared" ca="1" si="13"/>
      </c>
      <c r="X50" s="202">
        <f t="shared" ca="1" si="13"/>
      </c>
      <c r="AL50" s="460"/>
      <c r="AM50" s="460"/>
      <c r="AN50" s="460"/>
      <c r="AO50" s="460"/>
      <c r="AP50" s="460"/>
      <c r="AQ50" s="460"/>
    </row>
    <row r="51" spans="2:43" s="105" customFormat="1" ht="27" customHeight="1">
      <c r="B51" s="370">
        <f>#REF!</f>
      </c>
      <c r="C51" s="232"/>
      <c r="D51" s="164">
        <f>IF(#REF!&lt;&gt;"",#REF!,IF(#REF!&lt;&gt;"",#REF!,""))</f>
      </c>
      <c r="E51" s="235"/>
      <c r="F51" s="236"/>
      <c r="G51" s="236"/>
      <c r="H51" s="237"/>
      <c r="I51" s="238"/>
      <c r="J51" s="239"/>
      <c r="K51" s="240"/>
      <c r="L51" s="241"/>
      <c r="M51" s="242"/>
      <c r="N51" s="167">
        <f>#REF!</f>
      </c>
      <c r="O51" s="167">
        <f>#REF!</f>
      </c>
      <c r="P51" s="260">
        <f>#REF!</f>
      </c>
      <c r="Q51" s="168">
        <f t="shared" si="9"/>
      </c>
      <c r="R51" s="425">
        <f t="shared" si="10"/>
      </c>
      <c r="S51" s="371">
        <f ca="1">IF($AL$5&lt;=1,0,SUM(OFFSET('rincian '!#REF!,0,0,1,$AL$5-1)))</f>
      </c>
      <c r="T51" s="425">
        <f t="shared" ca="1" si="11"/>
      </c>
      <c r="U51" s="372" cm="1">
        <f t="array" ref="U51">IFERROR(INDEX('rincian '!#REF!,$AL$5),0)</f>
      </c>
      <c r="V51" s="425">
        <f t="shared" si="12"/>
      </c>
      <c r="W51" s="244">
        <f t="shared" ca="1" si="13"/>
      </c>
      <c r="X51" s="202">
        <f t="shared" ca="1" si="13"/>
      </c>
      <c r="AL51" s="460"/>
      <c r="AM51" s="460"/>
      <c r="AN51" s="460"/>
      <c r="AO51" s="460"/>
      <c r="AP51" s="460"/>
      <c r="AQ51" s="460"/>
    </row>
    <row r="52" spans="2:43" s="105" customFormat="1" ht="27" customHeight="1">
      <c r="B52" s="370">
        <f>#REF!</f>
      </c>
      <c r="C52" s="232"/>
      <c r="D52" s="164">
        <f>IF(#REF!&lt;&gt;"",#REF!,IF(#REF!&lt;&gt;"",#REF!,""))</f>
      </c>
      <c r="E52" s="235"/>
      <c r="F52" s="236"/>
      <c r="G52" s="236"/>
      <c r="H52" s="237"/>
      <c r="I52" s="238"/>
      <c r="J52" s="239"/>
      <c r="K52" s="240"/>
      <c r="L52" s="241"/>
      <c r="M52" s="242"/>
      <c r="N52" s="167">
        <f>#REF!</f>
      </c>
      <c r="O52" s="167">
        <f>#REF!</f>
      </c>
      <c r="P52" s="260">
        <f>#REF!</f>
      </c>
      <c r="Q52" s="168">
        <f t="shared" si="9"/>
      </c>
      <c r="R52" s="425">
        <f t="shared" si="10"/>
      </c>
      <c r="S52" s="371">
        <f ca="1">IF($AL$5&lt;=1,0,SUM(OFFSET('rincian '!#REF!,0,0,1,$AL$5-1)))</f>
      </c>
      <c r="T52" s="425">
        <f t="shared" ca="1" si="11"/>
      </c>
      <c r="U52" s="372" cm="1">
        <f t="array" ref="U52">IFERROR(INDEX('rincian '!#REF!,$AL$5),0)</f>
      </c>
      <c r="V52" s="425">
        <f t="shared" si="12"/>
      </c>
      <c r="W52" s="244">
        <f t="shared" ca="1" si="13"/>
      </c>
      <c r="X52" s="202">
        <f t="shared" ca="1" si="13"/>
      </c>
      <c r="AL52" s="460"/>
      <c r="AM52" s="460"/>
      <c r="AN52" s="460"/>
      <c r="AO52" s="460"/>
      <c r="AP52" s="460"/>
      <c r="AQ52" s="460"/>
    </row>
    <row r="53" spans="2:43" s="105" customFormat="1" ht="27" customHeight="1">
      <c r="B53" s="370">
        <f>#REF!</f>
      </c>
      <c r="C53" s="232"/>
      <c r="D53" s="164">
        <f>IF(#REF!&lt;&gt;"",#REF!,IF(#REF!&lt;&gt;"",#REF!,""))</f>
      </c>
      <c r="E53" s="235"/>
      <c r="F53" s="236"/>
      <c r="G53" s="236"/>
      <c r="H53" s="237"/>
      <c r="I53" s="238"/>
      <c r="J53" s="239"/>
      <c r="K53" s="240"/>
      <c r="L53" s="241"/>
      <c r="M53" s="242"/>
      <c r="N53" s="167">
        <f>#REF!</f>
      </c>
      <c r="O53" s="167">
        <f>#REF!</f>
      </c>
      <c r="P53" s="260">
        <f>#REF!</f>
      </c>
      <c r="Q53" s="168">
        <f t="shared" si="9"/>
      </c>
      <c r="R53" s="425">
        <f t="shared" si="10"/>
      </c>
      <c r="S53" s="371">
        <f ca="1">IF($AL$5&lt;=1,0,SUM(OFFSET('rincian '!#REF!,0,0,1,$AL$5-1)))</f>
      </c>
      <c r="T53" s="425">
        <f t="shared" ca="1" si="11"/>
      </c>
      <c r="U53" s="372" cm="1">
        <f t="array" ref="U53">IFERROR(INDEX('rincian '!#REF!,$AL$5),0)</f>
      </c>
      <c r="V53" s="425">
        <f t="shared" si="12"/>
      </c>
      <c r="W53" s="244">
        <f t="shared" ca="1" si="13"/>
      </c>
      <c r="X53" s="202">
        <f t="shared" ca="1" si="13"/>
      </c>
      <c r="AL53" s="460"/>
      <c r="AM53" s="460"/>
      <c r="AN53" s="460"/>
      <c r="AO53" s="460"/>
      <c r="AP53" s="460"/>
      <c r="AQ53" s="460"/>
    </row>
    <row r="54" spans="2:43" s="105" customFormat="1" ht="27" customHeight="1">
      <c r="B54" s="402">
        <f>#REF!</f>
      </c>
      <c r="C54" s="384"/>
      <c r="D54" s="385">
        <f>IF(#REF!&lt;&gt;"",#REF!,IF(#REF!&lt;&gt;"",#REF!,""))</f>
      </c>
      <c r="E54" s="386"/>
      <c r="F54" s="387"/>
      <c r="G54" s="387"/>
      <c r="H54" s="388"/>
      <c r="I54" s="389"/>
      <c r="J54" s="390"/>
      <c r="K54" s="391"/>
      <c r="L54" s="392"/>
      <c r="M54" s="393"/>
      <c r="N54" s="394"/>
      <c r="O54" s="394"/>
      <c r="P54" s="395"/>
      <c r="Q54" s="396"/>
      <c r="R54" s="426"/>
      <c r="S54" s="403"/>
      <c r="T54" s="426"/>
      <c r="U54" s="403"/>
      <c r="V54" s="426"/>
      <c r="W54" s="399"/>
      <c r="X54" s="400"/>
      <c r="AL54" s="460"/>
      <c r="AM54" s="460"/>
      <c r="AN54" s="460"/>
      <c r="AO54" s="460"/>
      <c r="AP54" s="460"/>
      <c r="AQ54" s="460"/>
    </row>
    <row r="55" spans="2:43" s="105" customFormat="1" ht="27" customHeight="1">
      <c r="B55" s="401">
        <f>#REF!</f>
      </c>
      <c r="C55" s="373"/>
      <c r="D55" s="374">
        <f>IF(#REF!&lt;&gt;"",#REF!,IF(#REF!&lt;&gt;"",#REF!,""))</f>
      </c>
      <c r="E55" s="375"/>
      <c r="F55" s="376"/>
      <c r="G55" s="376"/>
      <c r="H55" s="377"/>
      <c r="I55" s="378"/>
      <c r="J55" s="379"/>
      <c r="K55" s="380"/>
      <c r="L55" s="381"/>
      <c r="M55" s="382"/>
      <c r="N55" s="167"/>
      <c r="O55" s="167"/>
      <c r="P55" s="260"/>
      <c r="Q55" s="168"/>
      <c r="R55" s="425"/>
      <c r="S55" s="371"/>
      <c r="T55" s="425"/>
      <c r="U55" s="372"/>
      <c r="V55" s="425"/>
      <c r="W55" s="244"/>
      <c r="X55" s="202"/>
      <c r="AL55" s="460"/>
      <c r="AM55" s="460"/>
      <c r="AN55" s="460"/>
      <c r="AO55" s="460"/>
      <c r="AP55" s="460"/>
      <c r="AQ55" s="460"/>
    </row>
    <row r="56" spans="2:43" s="105" customFormat="1" ht="27" customHeight="1">
      <c r="B56" s="401">
        <f>#REF!</f>
      </c>
      <c r="C56" s="373"/>
      <c r="D56" s="374">
        <f>IF(#REF!&lt;&gt;"",#REF!,IF(#REF!&lt;&gt;"",#REF!,""))</f>
      </c>
      <c r="E56" s="375"/>
      <c r="F56" s="376"/>
      <c r="G56" s="376"/>
      <c r="H56" s="377"/>
      <c r="I56" s="378"/>
      <c r="J56" s="379"/>
      <c r="K56" s="380"/>
      <c r="L56" s="381"/>
      <c r="M56" s="382"/>
      <c r="N56" s="167"/>
      <c r="O56" s="167"/>
      <c r="P56" s="260"/>
      <c r="Q56" s="168"/>
      <c r="R56" s="425"/>
      <c r="S56" s="371"/>
      <c r="T56" s="425"/>
      <c r="U56" s="372"/>
      <c r="V56" s="425"/>
      <c r="W56" s="244"/>
      <c r="X56" s="202"/>
      <c r="AL56" s="460"/>
      <c r="AM56" s="460"/>
      <c r="AN56" s="460"/>
      <c r="AO56" s="460"/>
      <c r="AP56" s="460"/>
      <c r="AQ56" s="460"/>
    </row>
    <row r="57" spans="2:43" s="105" customFormat="1" ht="27" customHeight="1">
      <c r="B57" s="370">
        <f>#REF!</f>
      </c>
      <c r="C57" s="232"/>
      <c r="D57" s="164">
        <f>IF(#REF!&lt;&gt;"",#REF!,IF(#REF!&lt;&gt;"",#REF!,""))</f>
      </c>
      <c r="E57" s="235"/>
      <c r="F57" s="236"/>
      <c r="G57" s="236"/>
      <c r="H57" s="237"/>
      <c r="I57" s="238"/>
      <c r="J57" s="239"/>
      <c r="K57" s="240"/>
      <c r="L57" s="241"/>
      <c r="M57" s="242"/>
      <c r="N57" s="167">
        <f>#REF!</f>
      </c>
      <c r="O57" s="167">
        <f>#REF!</f>
      </c>
      <c r="P57" s="260">
        <f>#REF!</f>
      </c>
      <c r="Q57" s="168">
        <f>P57*N57</f>
      </c>
      <c r="R57" s="425">
        <f>IFERROR(Q57/$Q$166,0)</f>
      </c>
      <c r="S57" s="371">
        <f ca="1">IF($AL$5&lt;=1,0,SUM(OFFSET('rincian '!#REF!,0,0,1,$AL$5-1)))</f>
      </c>
      <c r="T57" s="425">
        <f ca="1">IFERROR(S57/N57*R57,0)</f>
      </c>
      <c r="U57" s="372" cm="1">
        <f t="array" ref="U57">IFERROR(INDEX('rincian '!#REF!,$AL$5),0)</f>
      </c>
      <c r="V57" s="425">
        <f>IFERROR(U57/N57*R57,0)</f>
      </c>
      <c r="W57" s="244">
        <f t="shared" ref="W57:X60" ca="1" si="14">S57+U57</f>
      </c>
      <c r="X57" s="202">
        <f t="shared" ca="1" si="14"/>
      </c>
      <c r="AL57" s="460"/>
      <c r="AM57" s="460"/>
      <c r="AN57" s="460"/>
      <c r="AO57" s="460"/>
      <c r="AP57" s="460"/>
      <c r="AQ57" s="460"/>
    </row>
    <row r="58" spans="2:43" s="105" customFormat="1" ht="40.049999999999997" customHeight="1">
      <c r="B58" s="370">
        <f>#REF!</f>
      </c>
      <c r="C58" s="232"/>
      <c r="D58" s="704">
        <f>IF(#REF!&lt;&gt;"",#REF!,IF(#REF!&lt;&gt;"",#REF!,""))</f>
      </c>
      <c r="E58" s="704"/>
      <c r="F58" s="704"/>
      <c r="G58" s="704"/>
      <c r="H58" s="704"/>
      <c r="I58" s="704"/>
      <c r="J58" s="704"/>
      <c r="K58" s="704"/>
      <c r="L58" s="704"/>
      <c r="M58" s="705"/>
      <c r="N58" s="167">
        <f>#REF!</f>
      </c>
      <c r="O58" s="167">
        <f>#REF!</f>
      </c>
      <c r="P58" s="260">
        <f>#REF!</f>
      </c>
      <c r="Q58" s="168">
        <f>P58*N58</f>
      </c>
      <c r="R58" s="425">
        <f>IFERROR(Q58/$Q$166,0)</f>
      </c>
      <c r="S58" s="371">
        <f ca="1">IF($AL$5&lt;=1,0,SUM(OFFSET('rincian '!#REF!,0,0,1,$AL$5-1)))</f>
      </c>
      <c r="T58" s="425">
        <f ca="1">IFERROR(S58/N58*R58,0)</f>
      </c>
      <c r="U58" s="372" cm="1">
        <f t="array" ref="U58">IFERROR(INDEX('rincian '!#REF!,$AL$5),0)</f>
      </c>
      <c r="V58" s="425">
        <f>IFERROR(U58/N58*R58,0)</f>
      </c>
      <c r="W58" s="244">
        <f t="shared" ca="1" si="14"/>
      </c>
      <c r="X58" s="202">
        <f t="shared" ca="1" si="14"/>
      </c>
      <c r="AL58" s="460"/>
      <c r="AM58" s="460"/>
      <c r="AN58" s="460"/>
      <c r="AO58" s="460"/>
      <c r="AP58" s="460"/>
      <c r="AQ58" s="460"/>
    </row>
    <row r="59" spans="2:43" s="105" customFormat="1" ht="40.049999999999997" customHeight="1">
      <c r="B59" s="370">
        <f>#REF!</f>
      </c>
      <c r="C59" s="232"/>
      <c r="D59" s="704">
        <f>IF(#REF!&lt;&gt;"",#REF!,IF(#REF!&lt;&gt;"",#REF!,""))</f>
      </c>
      <c r="E59" s="704"/>
      <c r="F59" s="704"/>
      <c r="G59" s="704"/>
      <c r="H59" s="704"/>
      <c r="I59" s="704"/>
      <c r="J59" s="704"/>
      <c r="K59" s="704"/>
      <c r="L59" s="704"/>
      <c r="M59" s="705"/>
      <c r="N59" s="167">
        <f>#REF!</f>
      </c>
      <c r="O59" s="167">
        <f>#REF!</f>
      </c>
      <c r="P59" s="260">
        <f>#REF!</f>
      </c>
      <c r="Q59" s="168">
        <f>P59*N59</f>
      </c>
      <c r="R59" s="425">
        <f>IFERROR(Q59/$Q$166,0)</f>
      </c>
      <c r="S59" s="371">
        <f ca="1">IF($AL$5&lt;=1,0,SUM(OFFSET('rincian '!#REF!,0,0,1,$AL$5-1)))</f>
      </c>
      <c r="T59" s="425">
        <f ca="1">IFERROR(S59/N59*R59,0)</f>
      </c>
      <c r="U59" s="372" cm="1">
        <f t="array" ref="U59">IFERROR(INDEX('rincian '!#REF!,$AL$5),0)</f>
      </c>
      <c r="V59" s="425">
        <f>IFERROR(U59/N59*R59,0)</f>
      </c>
      <c r="W59" s="244">
        <f t="shared" ca="1" si="14"/>
      </c>
      <c r="X59" s="202">
        <f t="shared" ca="1" si="14"/>
      </c>
      <c r="AL59" s="460"/>
      <c r="AM59" s="460"/>
      <c r="AN59" s="460"/>
      <c r="AO59" s="460"/>
      <c r="AP59" s="460"/>
      <c r="AQ59" s="460"/>
    </row>
    <row r="60" spans="2:43" s="105" customFormat="1" ht="40.049999999999997" customHeight="1">
      <c r="B60" s="370">
        <f>#REF!</f>
      </c>
      <c r="C60" s="232"/>
      <c r="D60" s="704">
        <f>IF(#REF!&lt;&gt;"",#REF!,IF(#REF!&lt;&gt;"",#REF!,""))</f>
      </c>
      <c r="E60" s="704"/>
      <c r="F60" s="704"/>
      <c r="G60" s="704"/>
      <c r="H60" s="704"/>
      <c r="I60" s="704"/>
      <c r="J60" s="704"/>
      <c r="K60" s="704"/>
      <c r="L60" s="704"/>
      <c r="M60" s="705"/>
      <c r="N60" s="167">
        <f>#REF!</f>
      </c>
      <c r="O60" s="167">
        <f>#REF!</f>
      </c>
      <c r="P60" s="260">
        <f>#REF!</f>
      </c>
      <c r="Q60" s="168">
        <f>P60*N60</f>
      </c>
      <c r="R60" s="425">
        <f>IFERROR(Q60/$Q$166,0)</f>
      </c>
      <c r="S60" s="371">
        <f ca="1">IF($AL$5&lt;=1,0,SUM(OFFSET('rincian '!#REF!,0,0,1,$AL$5-1)))</f>
      </c>
      <c r="T60" s="425">
        <f ca="1">IFERROR(S60/N60*R60,0)</f>
      </c>
      <c r="U60" s="372" cm="1">
        <f t="array" ref="U60">IFERROR(INDEX('rincian '!#REF!,$AL$5),0)</f>
      </c>
      <c r="V60" s="425">
        <f>IFERROR(U60/N60*R60,0)</f>
      </c>
      <c r="W60" s="244">
        <f t="shared" ca="1" si="14"/>
      </c>
      <c r="X60" s="202">
        <f t="shared" ca="1" si="14"/>
      </c>
      <c r="AL60" s="460"/>
      <c r="AM60" s="460"/>
      <c r="AN60" s="460"/>
      <c r="AO60" s="460"/>
      <c r="AP60" s="460"/>
      <c r="AQ60" s="460"/>
    </row>
    <row r="61" spans="2:43" s="105" customFormat="1" ht="27" customHeight="1">
      <c r="B61" s="401">
        <f>#REF!</f>
      </c>
      <c r="C61" s="373"/>
      <c r="D61" s="374">
        <f>IF(#REF!&lt;&gt;"",#REF!,IF(#REF!&lt;&gt;"",#REF!,""))</f>
      </c>
      <c r="E61" s="375"/>
      <c r="F61" s="376"/>
      <c r="G61" s="376"/>
      <c r="H61" s="377"/>
      <c r="I61" s="378"/>
      <c r="J61" s="379"/>
      <c r="K61" s="380"/>
      <c r="L61" s="381"/>
      <c r="M61" s="382"/>
      <c r="N61" s="167"/>
      <c r="O61" s="167"/>
      <c r="P61" s="260"/>
      <c r="Q61" s="168"/>
      <c r="R61" s="425"/>
      <c r="S61" s="371"/>
      <c r="T61" s="425"/>
      <c r="U61" s="372"/>
      <c r="V61" s="425"/>
      <c r="W61" s="244"/>
      <c r="X61" s="202"/>
      <c r="AL61" s="460"/>
      <c r="AM61" s="460"/>
      <c r="AN61" s="460"/>
      <c r="AO61" s="460"/>
      <c r="AP61" s="460"/>
      <c r="AQ61" s="460"/>
    </row>
    <row r="62" spans="2:43" s="105" customFormat="1" ht="27" customHeight="1">
      <c r="B62" s="370">
        <f>#REF!</f>
      </c>
      <c r="C62" s="232"/>
      <c r="D62" s="164">
        <f>IF(#REF!&lt;&gt;"",#REF!,IF(#REF!&lt;&gt;"",#REF!,""))</f>
      </c>
      <c r="E62" s="235"/>
      <c r="F62" s="236"/>
      <c r="G62" s="236"/>
      <c r="H62" s="237"/>
      <c r="I62" s="238"/>
      <c r="J62" s="239"/>
      <c r="K62" s="240"/>
      <c r="L62" s="241"/>
      <c r="M62" s="242"/>
      <c r="N62" s="167">
        <f>#REF!</f>
      </c>
      <c r="O62" s="167">
        <f>#REF!</f>
      </c>
      <c r="P62" s="260">
        <f>#REF!</f>
      </c>
      <c r="Q62" s="168">
        <f>P62*N62</f>
      </c>
      <c r="R62" s="425">
        <f>IFERROR(Q62/$Q$166,0)</f>
      </c>
      <c r="S62" s="371">
        <f ca="1">IF($AL$5&lt;=1,0,SUM(OFFSET('rincian '!#REF!,0,0,1,$AL$5-1)))</f>
      </c>
      <c r="T62" s="425">
        <f ca="1">IFERROR(S62/N62*R62,0)</f>
      </c>
      <c r="U62" s="372" cm="1">
        <f t="array" ref="U62">IFERROR(INDEX('rincian '!#REF!,$AL$5),0)</f>
      </c>
      <c r="V62" s="425">
        <f>IFERROR(U62/N62*R62,0)</f>
      </c>
      <c r="W62" s="244">
        <f t="shared" ref="W62:X66" ca="1" si="15">S62+U62</f>
      </c>
      <c r="X62" s="202">
        <f t="shared" ca="1" si="15"/>
      </c>
      <c r="AL62" s="460"/>
      <c r="AM62" s="460"/>
      <c r="AN62" s="460"/>
      <c r="AO62" s="460"/>
      <c r="AP62" s="460"/>
      <c r="AQ62" s="460"/>
    </row>
    <row r="63" spans="2:43" s="105" customFormat="1" ht="27" customHeight="1">
      <c r="B63" s="370">
        <f>#REF!</f>
      </c>
      <c r="C63" s="232"/>
      <c r="D63" s="164">
        <f>IF(#REF!&lt;&gt;"",#REF!,IF(#REF!&lt;&gt;"",#REF!,""))</f>
      </c>
      <c r="E63" s="235"/>
      <c r="F63" s="236"/>
      <c r="G63" s="236"/>
      <c r="H63" s="237"/>
      <c r="I63" s="238"/>
      <c r="J63" s="239"/>
      <c r="K63" s="240"/>
      <c r="L63" s="241"/>
      <c r="M63" s="242"/>
      <c r="N63" s="167">
        <f>#REF!</f>
      </c>
      <c r="O63" s="167">
        <f>#REF!</f>
      </c>
      <c r="P63" s="260">
        <f>#REF!</f>
      </c>
      <c r="Q63" s="168">
        <f>P63*N63</f>
      </c>
      <c r="R63" s="425">
        <f>IFERROR(Q63/$Q$166,0)</f>
      </c>
      <c r="S63" s="371">
        <f ca="1">IF($AL$5&lt;=1,0,SUM(OFFSET('rincian '!#REF!,0,0,1,$AL$5-1)))</f>
      </c>
      <c r="T63" s="425">
        <f ca="1">IFERROR(S63/N63*R63,0)</f>
      </c>
      <c r="U63" s="372" cm="1">
        <f t="array" ref="U63">IFERROR(INDEX('rincian '!#REF!,$AL$5),0)</f>
      </c>
      <c r="V63" s="425">
        <f>IFERROR(U63/N63*R63,0)</f>
      </c>
      <c r="W63" s="244">
        <f t="shared" ca="1" si="15"/>
      </c>
      <c r="X63" s="202">
        <f t="shared" ca="1" si="15"/>
      </c>
      <c r="AL63" s="460"/>
      <c r="AM63" s="460"/>
      <c r="AN63" s="460"/>
      <c r="AO63" s="460"/>
      <c r="AP63" s="460"/>
      <c r="AQ63" s="460"/>
    </row>
    <row r="64" spans="2:43" s="105" customFormat="1" ht="27" customHeight="1">
      <c r="B64" s="370">
        <f>#REF!</f>
      </c>
      <c r="C64" s="232"/>
      <c r="D64" s="164">
        <f>IF(#REF!&lt;&gt;"",#REF!,IF(#REF!&lt;&gt;"",#REF!,""))</f>
      </c>
      <c r="E64" s="235"/>
      <c r="F64" s="236"/>
      <c r="G64" s="236"/>
      <c r="H64" s="237"/>
      <c r="I64" s="238"/>
      <c r="J64" s="239"/>
      <c r="K64" s="240"/>
      <c r="L64" s="241"/>
      <c r="M64" s="242"/>
      <c r="N64" s="167">
        <f>#REF!</f>
      </c>
      <c r="O64" s="167">
        <f>#REF!</f>
      </c>
      <c r="P64" s="260">
        <f>#REF!</f>
      </c>
      <c r="Q64" s="168">
        <f>P64*N64</f>
      </c>
      <c r="R64" s="425">
        <f>IFERROR(Q64/$Q$166,0)</f>
      </c>
      <c r="S64" s="371">
        <f ca="1">IF($AL$5&lt;=1,0,SUM(OFFSET('rincian '!#REF!,0,0,1,$AL$5-1)))</f>
      </c>
      <c r="T64" s="425">
        <f ca="1">IFERROR(S64/N64*R64,0)</f>
      </c>
      <c r="U64" s="372" cm="1">
        <f t="array" ref="U64">IFERROR(INDEX('rincian '!#REF!,$AL$5),0)</f>
      </c>
      <c r="V64" s="425">
        <f>IFERROR(U64/N64*R64,0)</f>
      </c>
      <c r="W64" s="244">
        <f t="shared" ca="1" si="15"/>
      </c>
      <c r="X64" s="202">
        <f t="shared" ca="1" si="15"/>
      </c>
      <c r="AL64" s="460"/>
      <c r="AM64" s="460"/>
      <c r="AN64" s="460"/>
      <c r="AO64" s="460"/>
      <c r="AP64" s="460"/>
      <c r="AQ64" s="460"/>
    </row>
    <row r="65" spans="2:43" s="105" customFormat="1" ht="27" customHeight="1">
      <c r="B65" s="370">
        <f>#REF!</f>
      </c>
      <c r="C65" s="232"/>
      <c r="D65" s="164">
        <f>IF(#REF!&lt;&gt;"",#REF!,IF(#REF!&lt;&gt;"",#REF!,""))</f>
      </c>
      <c r="E65" s="235"/>
      <c r="F65" s="236"/>
      <c r="G65" s="236"/>
      <c r="H65" s="237"/>
      <c r="I65" s="238"/>
      <c r="J65" s="239"/>
      <c r="K65" s="240"/>
      <c r="L65" s="241"/>
      <c r="M65" s="242"/>
      <c r="N65" s="167">
        <f>#REF!</f>
      </c>
      <c r="O65" s="167">
        <f>#REF!</f>
      </c>
      <c r="P65" s="260">
        <f>#REF!</f>
      </c>
      <c r="Q65" s="168">
        <f>P65*N65</f>
      </c>
      <c r="R65" s="425">
        <f>IFERROR(Q65/$Q$166,0)</f>
      </c>
      <c r="S65" s="371">
        <f ca="1">IF($AL$5&lt;=1,0,SUM(OFFSET('rincian '!#REF!,0,0,1,$AL$5-1)))</f>
      </c>
      <c r="T65" s="425">
        <f ca="1">IFERROR(S65/N65*R65,0)</f>
      </c>
      <c r="U65" s="372" cm="1">
        <f t="array" ref="U65">IFERROR(INDEX('rincian '!#REF!,$AL$5),0)</f>
      </c>
      <c r="V65" s="425">
        <f>IFERROR(U65/N65*R65,0)</f>
      </c>
      <c r="W65" s="244">
        <f t="shared" ca="1" si="15"/>
      </c>
      <c r="X65" s="202">
        <f t="shared" ca="1" si="15"/>
      </c>
      <c r="AL65" s="460"/>
      <c r="AM65" s="460"/>
      <c r="AN65" s="460"/>
      <c r="AO65" s="460"/>
      <c r="AP65" s="460"/>
      <c r="AQ65" s="460"/>
    </row>
    <row r="66" spans="2:43" s="105" customFormat="1" ht="27" customHeight="1">
      <c r="B66" s="370">
        <f>#REF!</f>
      </c>
      <c r="C66" s="232"/>
      <c r="D66" s="164">
        <f>IF(#REF!&lt;&gt;"",#REF!,IF(#REF!&lt;&gt;"",#REF!,""))</f>
      </c>
      <c r="E66" s="235"/>
      <c r="F66" s="236"/>
      <c r="G66" s="236"/>
      <c r="H66" s="237"/>
      <c r="I66" s="238"/>
      <c r="J66" s="239"/>
      <c r="K66" s="240"/>
      <c r="L66" s="241"/>
      <c r="M66" s="242"/>
      <c r="N66" s="167">
        <f>#REF!</f>
      </c>
      <c r="O66" s="167">
        <f>#REF!</f>
      </c>
      <c r="P66" s="260">
        <f>#REF!</f>
      </c>
      <c r="Q66" s="168">
        <f>P66*N66</f>
      </c>
      <c r="R66" s="425">
        <f>IFERROR(Q66/$Q$166,0)</f>
      </c>
      <c r="S66" s="371">
        <f ca="1">IF($AL$5&lt;=1,0,SUM(OFFSET('rincian '!#REF!,0,0,1,$AL$5-1)))</f>
      </c>
      <c r="T66" s="425">
        <f ca="1">IFERROR(S66/N66*R66,0)</f>
      </c>
      <c r="U66" s="372" cm="1">
        <f t="array" ref="U66">IFERROR(INDEX('rincian '!#REF!,$AL$5),0)</f>
      </c>
      <c r="V66" s="425">
        <f>IFERROR(U66/N66*R66,0)</f>
      </c>
      <c r="W66" s="244">
        <f t="shared" ca="1" si="15"/>
      </c>
      <c r="X66" s="202">
        <f t="shared" ca="1" si="15"/>
      </c>
      <c r="AL66" s="460"/>
      <c r="AM66" s="460"/>
      <c r="AN66" s="460"/>
      <c r="AO66" s="460"/>
      <c r="AP66" s="460"/>
      <c r="AQ66" s="460"/>
    </row>
    <row r="67" spans="2:43" s="105" customFormat="1" ht="27" customHeight="1">
      <c r="B67" s="401">
        <f>#REF!</f>
      </c>
      <c r="C67" s="373"/>
      <c r="D67" s="374">
        <f>IF(#REF!&lt;&gt;"",#REF!,IF(#REF!&lt;&gt;"",#REF!,""))</f>
      </c>
      <c r="E67" s="375"/>
      <c r="F67" s="376"/>
      <c r="G67" s="376"/>
      <c r="H67" s="377"/>
      <c r="I67" s="378"/>
      <c r="J67" s="379"/>
      <c r="K67" s="380"/>
      <c r="L67" s="381"/>
      <c r="M67" s="382"/>
      <c r="N67" s="167"/>
      <c r="O67" s="167"/>
      <c r="P67" s="260"/>
      <c r="Q67" s="168"/>
      <c r="R67" s="425"/>
      <c r="S67" s="371"/>
      <c r="T67" s="425"/>
      <c r="U67" s="372"/>
      <c r="V67" s="425"/>
      <c r="W67" s="244"/>
      <c r="X67" s="202"/>
      <c r="AL67" s="460"/>
      <c r="AM67" s="460"/>
      <c r="AN67" s="460"/>
      <c r="AO67" s="460"/>
      <c r="AP67" s="460"/>
      <c r="AQ67" s="460"/>
    </row>
    <row r="68" spans="2:43" s="105" customFormat="1" ht="27" customHeight="1">
      <c r="B68" s="370">
        <f>#REF!</f>
      </c>
      <c r="C68" s="232"/>
      <c r="D68" s="164">
        <f>IF(#REF!&lt;&gt;"",#REF!,IF(#REF!&lt;&gt;"",#REF!,""))</f>
      </c>
      <c r="E68" s="235"/>
      <c r="F68" s="236"/>
      <c r="G68" s="236"/>
      <c r="H68" s="237"/>
      <c r="I68" s="238"/>
      <c r="J68" s="239"/>
      <c r="K68" s="240"/>
      <c r="L68" s="241"/>
      <c r="M68" s="242"/>
      <c r="N68" s="167">
        <f>#REF!</f>
      </c>
      <c r="O68" s="167">
        <f>#REF!</f>
      </c>
      <c r="P68" s="260">
        <f>#REF!</f>
      </c>
      <c r="Q68" s="168">
        <f t="shared" ref="Q68:Q78" si="16">P68*N68</f>
      </c>
      <c r="R68" s="425">
        <f t="shared" ref="R68:R78" si="17">IFERROR(Q68/$Q$166,0)</f>
      </c>
      <c r="S68" s="371">
        <f ca="1">IF($AL$5&lt;=1,0,SUM(OFFSET('rincian '!#REF!,0,0,1,$AL$5-1)))</f>
      </c>
      <c r="T68" s="425">
        <f t="shared" ref="T68:T78" ca="1" si="18">IFERROR(S68/N68*R68,0)</f>
      </c>
      <c r="U68" s="372" cm="1">
        <f t="array" ref="U68">IFERROR(INDEX('rincian '!#REF!,$AL$5),0)</f>
      </c>
      <c r="V68" s="425">
        <f t="shared" ref="V68:V78" si="19">IFERROR(U68/N68*R68,0)</f>
      </c>
      <c r="W68" s="244">
        <f t="shared" ref="W68:X78" ca="1" si="20">S68+U68</f>
      </c>
      <c r="X68" s="202">
        <f t="shared" ca="1" si="20"/>
      </c>
      <c r="AL68" s="460"/>
      <c r="AM68" s="460"/>
      <c r="AN68" s="460"/>
      <c r="AO68" s="460"/>
      <c r="AP68" s="460"/>
      <c r="AQ68" s="460"/>
    </row>
    <row r="69" spans="2:43" s="105" customFormat="1" ht="27" customHeight="1">
      <c r="B69" s="370">
        <f>#REF!</f>
      </c>
      <c r="C69" s="232"/>
      <c r="D69" s="164">
        <f>IF(#REF!&lt;&gt;"",#REF!,IF(#REF!&lt;&gt;"",#REF!,""))</f>
      </c>
      <c r="E69" s="235"/>
      <c r="F69" s="236"/>
      <c r="G69" s="236"/>
      <c r="H69" s="237"/>
      <c r="I69" s="238"/>
      <c r="J69" s="239"/>
      <c r="K69" s="240"/>
      <c r="L69" s="241"/>
      <c r="M69" s="242"/>
      <c r="N69" s="167">
        <f>#REF!</f>
      </c>
      <c r="O69" s="167">
        <f>#REF!</f>
      </c>
      <c r="P69" s="260">
        <f>#REF!</f>
      </c>
      <c r="Q69" s="168">
        <f t="shared" si="16"/>
      </c>
      <c r="R69" s="425">
        <f t="shared" si="17"/>
      </c>
      <c r="S69" s="371">
        <f ca="1">IF($AL$5&lt;=1,0,SUM(OFFSET('rincian '!#REF!,0,0,1,$AL$5-1)))</f>
      </c>
      <c r="T69" s="425">
        <f t="shared" ca="1" si="18"/>
      </c>
      <c r="U69" s="372" cm="1">
        <f t="array" ref="U69">IFERROR(INDEX('rincian '!#REF!,$AL$5),0)</f>
      </c>
      <c r="V69" s="425">
        <f t="shared" si="19"/>
      </c>
      <c r="W69" s="244">
        <f t="shared" ca="1" si="20"/>
      </c>
      <c r="X69" s="202">
        <f t="shared" ca="1" si="20"/>
      </c>
      <c r="AL69" s="460"/>
      <c r="AM69" s="460"/>
      <c r="AN69" s="460"/>
      <c r="AO69" s="460"/>
      <c r="AP69" s="460"/>
      <c r="AQ69" s="460"/>
    </row>
    <row r="70" spans="2:43" s="105" customFormat="1" ht="27" customHeight="1">
      <c r="B70" s="370">
        <f>#REF!</f>
      </c>
      <c r="C70" s="232"/>
      <c r="D70" s="164">
        <f>IF(#REF!&lt;&gt;"",#REF!,IF(#REF!&lt;&gt;"",#REF!,""))</f>
      </c>
      <c r="E70" s="235"/>
      <c r="F70" s="236"/>
      <c r="G70" s="236"/>
      <c r="H70" s="237"/>
      <c r="I70" s="238"/>
      <c r="J70" s="239"/>
      <c r="K70" s="240"/>
      <c r="L70" s="241"/>
      <c r="M70" s="242"/>
      <c r="N70" s="167">
        <f>#REF!</f>
      </c>
      <c r="O70" s="167">
        <f>#REF!</f>
      </c>
      <c r="P70" s="260">
        <f>#REF!</f>
      </c>
      <c r="Q70" s="168">
        <f t="shared" si="16"/>
      </c>
      <c r="R70" s="425">
        <f t="shared" si="17"/>
      </c>
      <c r="S70" s="371">
        <f ca="1">IF($AL$5&lt;=1,0,SUM(OFFSET('rincian '!#REF!,0,0,1,$AL$5-1)))</f>
      </c>
      <c r="T70" s="425">
        <f t="shared" ca="1" si="18"/>
      </c>
      <c r="U70" s="372" cm="1">
        <f t="array" ref="U70">IFERROR(INDEX('rincian '!#REF!,$AL$5),0)</f>
      </c>
      <c r="V70" s="425">
        <f t="shared" si="19"/>
      </c>
      <c r="W70" s="244">
        <f t="shared" ca="1" si="20"/>
      </c>
      <c r="X70" s="202">
        <f t="shared" ca="1" si="20"/>
      </c>
      <c r="AL70" s="460"/>
      <c r="AM70" s="460"/>
      <c r="AN70" s="460"/>
      <c r="AO70" s="460"/>
      <c r="AP70" s="460"/>
      <c r="AQ70" s="460"/>
    </row>
    <row r="71" spans="2:43" s="105" customFormat="1" ht="27" customHeight="1">
      <c r="B71" s="370">
        <f>#REF!</f>
      </c>
      <c r="C71" s="232"/>
      <c r="D71" s="164">
        <f>IF(#REF!&lt;&gt;"",#REF!,IF(#REF!&lt;&gt;"",#REF!,""))</f>
      </c>
      <c r="E71" s="235"/>
      <c r="F71" s="236"/>
      <c r="G71" s="236"/>
      <c r="H71" s="237"/>
      <c r="I71" s="238"/>
      <c r="J71" s="239"/>
      <c r="K71" s="240"/>
      <c r="L71" s="241"/>
      <c r="M71" s="242"/>
      <c r="N71" s="167">
        <f>#REF!</f>
      </c>
      <c r="O71" s="167">
        <f>#REF!</f>
      </c>
      <c r="P71" s="260">
        <f>#REF!</f>
      </c>
      <c r="Q71" s="168">
        <f t="shared" si="16"/>
      </c>
      <c r="R71" s="425">
        <f t="shared" si="17"/>
      </c>
      <c r="S71" s="371">
        <f ca="1">IF($AL$5&lt;=1,0,SUM(OFFSET('rincian '!#REF!,0,0,1,$AL$5-1)))</f>
      </c>
      <c r="T71" s="425">
        <f t="shared" ca="1" si="18"/>
      </c>
      <c r="U71" s="372" cm="1">
        <f t="array" ref="U71">IFERROR(INDEX('rincian '!#REF!,$AL$5),0)</f>
      </c>
      <c r="V71" s="425">
        <f t="shared" si="19"/>
      </c>
      <c r="W71" s="244">
        <f t="shared" ca="1" si="20"/>
      </c>
      <c r="X71" s="202">
        <f t="shared" ca="1" si="20"/>
      </c>
      <c r="AL71" s="460"/>
      <c r="AM71" s="460"/>
      <c r="AN71" s="460"/>
      <c r="AO71" s="460"/>
      <c r="AP71" s="460"/>
      <c r="AQ71" s="460"/>
    </row>
    <row r="72" spans="2:43" s="105" customFormat="1" ht="27" customHeight="1">
      <c r="B72" s="370">
        <f>#REF!</f>
      </c>
      <c r="C72" s="232"/>
      <c r="D72" s="164">
        <f>IF(#REF!&lt;&gt;"",#REF!,IF(#REF!&lt;&gt;"",#REF!,""))</f>
      </c>
      <c r="E72" s="235"/>
      <c r="F72" s="236"/>
      <c r="G72" s="236"/>
      <c r="H72" s="237"/>
      <c r="I72" s="238"/>
      <c r="J72" s="239"/>
      <c r="K72" s="240"/>
      <c r="L72" s="241"/>
      <c r="M72" s="242"/>
      <c r="N72" s="167">
        <f>#REF!</f>
      </c>
      <c r="O72" s="167">
        <f>#REF!</f>
      </c>
      <c r="P72" s="260">
        <f>#REF!</f>
      </c>
      <c r="Q72" s="168">
        <f t="shared" si="16"/>
      </c>
      <c r="R72" s="425">
        <f t="shared" si="17"/>
      </c>
      <c r="S72" s="371">
        <f ca="1">IF($AL$5&lt;=1,0,SUM(OFFSET('rincian '!#REF!,0,0,1,$AL$5-1)))</f>
      </c>
      <c r="T72" s="425">
        <f t="shared" ca="1" si="18"/>
      </c>
      <c r="U72" s="372" cm="1">
        <f t="array" ref="U72">IFERROR(INDEX('rincian '!#REF!,$AL$5),0)</f>
      </c>
      <c r="V72" s="425">
        <f t="shared" si="19"/>
      </c>
      <c r="W72" s="244">
        <f t="shared" ca="1" si="20"/>
      </c>
      <c r="X72" s="202">
        <f t="shared" ca="1" si="20"/>
      </c>
      <c r="AL72" s="460"/>
      <c r="AM72" s="460"/>
      <c r="AN72" s="460"/>
      <c r="AO72" s="460"/>
      <c r="AP72" s="460"/>
      <c r="AQ72" s="460"/>
    </row>
    <row r="73" spans="2:43" s="105" customFormat="1" ht="27" customHeight="1">
      <c r="B73" s="370">
        <f>#REF!</f>
      </c>
      <c r="C73" s="232"/>
      <c r="D73" s="164">
        <f>IF(#REF!&lt;&gt;"",#REF!,IF(#REF!&lt;&gt;"",#REF!,""))</f>
      </c>
      <c r="E73" s="235"/>
      <c r="F73" s="236"/>
      <c r="G73" s="236"/>
      <c r="H73" s="237"/>
      <c r="I73" s="238"/>
      <c r="J73" s="239"/>
      <c r="K73" s="240"/>
      <c r="L73" s="241"/>
      <c r="M73" s="242"/>
      <c r="N73" s="167">
        <f>#REF!</f>
      </c>
      <c r="O73" s="167">
        <f>#REF!</f>
      </c>
      <c r="P73" s="260">
        <f>#REF!</f>
      </c>
      <c r="Q73" s="168">
        <f t="shared" si="16"/>
      </c>
      <c r="R73" s="425">
        <f t="shared" si="17"/>
      </c>
      <c r="S73" s="371">
        <f ca="1">IF($AL$5&lt;=1,0,SUM(OFFSET('rincian '!#REF!,0,0,1,$AL$5-1)))</f>
      </c>
      <c r="T73" s="425">
        <f t="shared" ca="1" si="18"/>
      </c>
      <c r="U73" s="372" cm="1">
        <f t="array" ref="U73">IFERROR(INDEX('rincian '!#REF!,$AL$5),0)</f>
      </c>
      <c r="V73" s="425">
        <f t="shared" si="19"/>
      </c>
      <c r="W73" s="244">
        <f t="shared" ca="1" si="20"/>
      </c>
      <c r="X73" s="202">
        <f t="shared" ca="1" si="20"/>
      </c>
      <c r="AL73" s="460"/>
      <c r="AM73" s="460"/>
      <c r="AN73" s="460"/>
      <c r="AO73" s="460"/>
      <c r="AP73" s="460"/>
      <c r="AQ73" s="460"/>
    </row>
    <row r="74" spans="2:43" s="105" customFormat="1" ht="27" customHeight="1">
      <c r="B74" s="370">
        <f>#REF!</f>
      </c>
      <c r="C74" s="232"/>
      <c r="D74" s="164">
        <f>IF(#REF!&lt;&gt;"",#REF!,IF(#REF!&lt;&gt;"",#REF!,""))</f>
      </c>
      <c r="E74" s="235"/>
      <c r="F74" s="236"/>
      <c r="G74" s="236"/>
      <c r="H74" s="237"/>
      <c r="I74" s="238"/>
      <c r="J74" s="239"/>
      <c r="K74" s="240"/>
      <c r="L74" s="241"/>
      <c r="M74" s="242"/>
      <c r="N74" s="167">
        <f>#REF!</f>
      </c>
      <c r="O74" s="167">
        <f>#REF!</f>
      </c>
      <c r="P74" s="260">
        <f>#REF!</f>
      </c>
      <c r="Q74" s="168">
        <f t="shared" si="16"/>
      </c>
      <c r="R74" s="425">
        <f t="shared" si="17"/>
      </c>
      <c r="S74" s="371">
        <f ca="1">IF($AL$5&lt;=1,0,SUM(OFFSET('rincian '!#REF!,0,0,1,$AL$5-1)))</f>
      </c>
      <c r="T74" s="425">
        <f t="shared" ca="1" si="18"/>
      </c>
      <c r="U74" s="372" cm="1">
        <f t="array" ref="U74">IFERROR(INDEX('rincian '!#REF!,$AL$5),0)</f>
      </c>
      <c r="V74" s="425">
        <f t="shared" si="19"/>
      </c>
      <c r="W74" s="244">
        <f t="shared" ca="1" si="20"/>
      </c>
      <c r="X74" s="202">
        <f t="shared" ca="1" si="20"/>
      </c>
      <c r="AL74" s="460"/>
      <c r="AM74" s="460"/>
      <c r="AN74" s="460"/>
      <c r="AO74" s="460"/>
      <c r="AP74" s="460"/>
      <c r="AQ74" s="460"/>
    </row>
    <row r="75" spans="2:43" s="105" customFormat="1" ht="27" customHeight="1">
      <c r="B75" s="370">
        <f>#REF!</f>
      </c>
      <c r="C75" s="232"/>
      <c r="D75" s="164">
        <f>IF(#REF!&lt;&gt;"",#REF!,IF(#REF!&lt;&gt;"",#REF!,""))</f>
      </c>
      <c r="E75" s="235"/>
      <c r="F75" s="236"/>
      <c r="G75" s="236"/>
      <c r="H75" s="237"/>
      <c r="I75" s="238"/>
      <c r="J75" s="239"/>
      <c r="K75" s="240"/>
      <c r="L75" s="241"/>
      <c r="M75" s="242"/>
      <c r="N75" s="167">
        <f>#REF!</f>
      </c>
      <c r="O75" s="167">
        <f>#REF!</f>
      </c>
      <c r="P75" s="260">
        <f>#REF!</f>
      </c>
      <c r="Q75" s="168">
        <f t="shared" si="16"/>
      </c>
      <c r="R75" s="425">
        <f t="shared" si="17"/>
      </c>
      <c r="S75" s="371">
        <f ca="1">IF($AL$5&lt;=1,0,SUM(OFFSET('rincian '!#REF!,0,0,1,$AL$5-1)))</f>
      </c>
      <c r="T75" s="425">
        <f t="shared" ca="1" si="18"/>
      </c>
      <c r="U75" s="372" cm="1">
        <f t="array" ref="U75">IFERROR(INDEX('rincian '!#REF!,$AL$5),0)</f>
      </c>
      <c r="V75" s="425">
        <f t="shared" si="19"/>
      </c>
      <c r="W75" s="244">
        <f t="shared" ca="1" si="20"/>
      </c>
      <c r="X75" s="202">
        <f t="shared" ca="1" si="20"/>
      </c>
      <c r="AL75" s="460"/>
      <c r="AM75" s="460"/>
      <c r="AN75" s="460"/>
      <c r="AO75" s="460"/>
      <c r="AP75" s="460"/>
      <c r="AQ75" s="460"/>
    </row>
    <row r="76" spans="2:43" s="105" customFormat="1" ht="27" customHeight="1">
      <c r="B76" s="370">
        <f>#REF!</f>
      </c>
      <c r="C76" s="232"/>
      <c r="D76" s="164">
        <f>IF(#REF!&lt;&gt;"",#REF!,IF(#REF!&lt;&gt;"",#REF!,""))</f>
      </c>
      <c r="E76" s="235"/>
      <c r="F76" s="236"/>
      <c r="G76" s="236"/>
      <c r="H76" s="237"/>
      <c r="I76" s="238"/>
      <c r="J76" s="239"/>
      <c r="K76" s="240"/>
      <c r="L76" s="241"/>
      <c r="M76" s="242"/>
      <c r="N76" s="167">
        <f>#REF!</f>
      </c>
      <c r="O76" s="167">
        <f>#REF!</f>
      </c>
      <c r="P76" s="260">
        <f>#REF!</f>
      </c>
      <c r="Q76" s="168">
        <f t="shared" si="16"/>
      </c>
      <c r="R76" s="425">
        <f t="shared" si="17"/>
      </c>
      <c r="S76" s="371">
        <f ca="1">IF($AL$5&lt;=1,0,SUM(OFFSET('rincian '!#REF!,0,0,1,$AL$5-1)))</f>
      </c>
      <c r="T76" s="425">
        <f t="shared" ca="1" si="18"/>
      </c>
      <c r="U76" s="372" cm="1">
        <f t="array" ref="U76">IFERROR(INDEX('rincian '!#REF!,$AL$5),0)</f>
      </c>
      <c r="V76" s="425">
        <f t="shared" si="19"/>
      </c>
      <c r="W76" s="244">
        <f t="shared" ca="1" si="20"/>
      </c>
      <c r="X76" s="202">
        <f t="shared" ca="1" si="20"/>
      </c>
      <c r="AL76" s="460"/>
      <c r="AM76" s="460"/>
      <c r="AN76" s="460"/>
      <c r="AO76" s="460"/>
      <c r="AP76" s="460"/>
      <c r="AQ76" s="460"/>
    </row>
    <row r="77" spans="2:43" s="105" customFormat="1" ht="27" customHeight="1">
      <c r="B77" s="370">
        <f>#REF!</f>
      </c>
      <c r="C77" s="232"/>
      <c r="D77" s="164">
        <f>IF(#REF!&lt;&gt;"",#REF!,IF(#REF!&lt;&gt;"",#REF!,""))</f>
      </c>
      <c r="E77" s="235"/>
      <c r="F77" s="236"/>
      <c r="G77" s="236"/>
      <c r="H77" s="237"/>
      <c r="I77" s="238"/>
      <c r="J77" s="239"/>
      <c r="K77" s="240"/>
      <c r="L77" s="241"/>
      <c r="M77" s="242"/>
      <c r="N77" s="167">
        <f>#REF!</f>
      </c>
      <c r="O77" s="167">
        <f>#REF!</f>
      </c>
      <c r="P77" s="260">
        <f>#REF!</f>
      </c>
      <c r="Q77" s="168">
        <f t="shared" si="16"/>
      </c>
      <c r="R77" s="425">
        <f t="shared" si="17"/>
      </c>
      <c r="S77" s="371">
        <f ca="1">IF($AL$5&lt;=1,0,SUM(OFFSET('rincian '!#REF!,0,0,1,$AL$5-1)))</f>
      </c>
      <c r="T77" s="425">
        <f t="shared" ca="1" si="18"/>
      </c>
      <c r="U77" s="372" cm="1">
        <f t="array" ref="U77">IFERROR(INDEX('rincian '!#REF!,$AL$5),0)</f>
      </c>
      <c r="V77" s="425">
        <f t="shared" si="19"/>
      </c>
      <c r="W77" s="244">
        <f t="shared" ca="1" si="20"/>
      </c>
      <c r="X77" s="202">
        <f t="shared" ca="1" si="20"/>
      </c>
      <c r="AL77" s="460"/>
      <c r="AM77" s="460"/>
      <c r="AN77" s="460"/>
      <c r="AO77" s="460"/>
      <c r="AP77" s="460"/>
      <c r="AQ77" s="460"/>
    </row>
    <row r="78" spans="2:43" s="105" customFormat="1" ht="27" customHeight="1">
      <c r="B78" s="370">
        <f>#REF!</f>
      </c>
      <c r="C78" s="232"/>
      <c r="D78" s="164">
        <f>IF(#REF!&lt;&gt;"",#REF!,IF(#REF!&lt;&gt;"",#REF!,""))</f>
      </c>
      <c r="E78" s="235"/>
      <c r="F78" s="236"/>
      <c r="G78" s="236"/>
      <c r="H78" s="237"/>
      <c r="I78" s="238"/>
      <c r="J78" s="239"/>
      <c r="K78" s="240"/>
      <c r="L78" s="241"/>
      <c r="M78" s="242"/>
      <c r="N78" s="167">
        <f>#REF!</f>
      </c>
      <c r="O78" s="167">
        <f>#REF!</f>
      </c>
      <c r="P78" s="260">
        <f>#REF!</f>
      </c>
      <c r="Q78" s="168">
        <f t="shared" si="16"/>
      </c>
      <c r="R78" s="425">
        <f t="shared" si="17"/>
      </c>
      <c r="S78" s="371">
        <f ca="1">IF($AL$5&lt;=1,0,SUM(OFFSET('rincian '!#REF!,0,0,1,$AL$5-1)))</f>
      </c>
      <c r="T78" s="425">
        <f t="shared" ca="1" si="18"/>
      </c>
      <c r="U78" s="372" cm="1">
        <f t="array" ref="U78">IFERROR(INDEX('rincian '!#REF!,$AL$5),0)</f>
      </c>
      <c r="V78" s="425">
        <f t="shared" si="19"/>
      </c>
      <c r="W78" s="244">
        <f t="shared" ca="1" si="20"/>
      </c>
      <c r="X78" s="202">
        <f t="shared" ca="1" si="20"/>
      </c>
      <c r="AL78" s="460"/>
      <c r="AM78" s="460"/>
      <c r="AN78" s="460"/>
      <c r="AO78" s="460"/>
      <c r="AP78" s="460"/>
      <c r="AQ78" s="460"/>
    </row>
    <row r="79" spans="2:43" s="105" customFormat="1" ht="27" customHeight="1">
      <c r="B79" s="402">
        <f>#REF!</f>
      </c>
      <c r="C79" s="384"/>
      <c r="D79" s="385">
        <f>IF(#REF!&lt;&gt;"",#REF!,IF(#REF!&lt;&gt;"",#REF!,""))</f>
      </c>
      <c r="E79" s="386"/>
      <c r="F79" s="387"/>
      <c r="G79" s="387"/>
      <c r="H79" s="388"/>
      <c r="I79" s="389"/>
      <c r="J79" s="390"/>
      <c r="K79" s="391"/>
      <c r="L79" s="392"/>
      <c r="M79" s="393"/>
      <c r="N79" s="394"/>
      <c r="O79" s="394"/>
      <c r="P79" s="395"/>
      <c r="Q79" s="396"/>
      <c r="R79" s="426"/>
      <c r="S79" s="403"/>
      <c r="T79" s="426"/>
      <c r="U79" s="403"/>
      <c r="V79" s="426"/>
      <c r="W79" s="399"/>
      <c r="X79" s="400"/>
      <c r="AL79" s="460"/>
      <c r="AM79" s="460"/>
      <c r="AN79" s="460"/>
      <c r="AO79" s="460"/>
      <c r="AP79" s="460"/>
      <c r="AQ79" s="460"/>
    </row>
    <row r="80" spans="2:43" s="105" customFormat="1" ht="27" customHeight="1">
      <c r="B80" s="401">
        <f>#REF!</f>
      </c>
      <c r="C80" s="373"/>
      <c r="D80" s="374">
        <f>IF(#REF!&lt;&gt;"",#REF!,IF(#REF!&lt;&gt;"",#REF!,""))</f>
      </c>
      <c r="E80" s="375"/>
      <c r="F80" s="376"/>
      <c r="G80" s="376"/>
      <c r="H80" s="377"/>
      <c r="I80" s="378"/>
      <c r="J80" s="379"/>
      <c r="K80" s="380"/>
      <c r="L80" s="381"/>
      <c r="M80" s="382"/>
      <c r="N80" s="167"/>
      <c r="O80" s="167"/>
      <c r="P80" s="260"/>
      <c r="Q80" s="168"/>
      <c r="R80" s="425"/>
      <c r="S80" s="371"/>
      <c r="T80" s="425"/>
      <c r="U80" s="372"/>
      <c r="V80" s="425"/>
      <c r="W80" s="244"/>
      <c r="X80" s="202"/>
      <c r="AL80" s="460"/>
      <c r="AM80" s="460"/>
      <c r="AN80" s="460"/>
      <c r="AO80" s="460"/>
      <c r="AP80" s="460"/>
      <c r="AQ80" s="460"/>
    </row>
    <row r="81" spans="2:43" s="105" customFormat="1" ht="27" customHeight="1">
      <c r="B81" s="370">
        <f>#REF!</f>
      </c>
      <c r="C81" s="232"/>
      <c r="D81" s="164">
        <f>IF(#REF!&lt;&gt;"",#REF!,IF(#REF!&lt;&gt;"",#REF!,""))</f>
      </c>
      <c r="E81" s="235"/>
      <c r="F81" s="236"/>
      <c r="G81" s="236"/>
      <c r="H81" s="237"/>
      <c r="I81" s="238"/>
      <c r="J81" s="239"/>
      <c r="K81" s="240"/>
      <c r="L81" s="241"/>
      <c r="M81" s="242"/>
      <c r="N81" s="167">
        <f>#REF!</f>
      </c>
      <c r="O81" s="167">
        <f>#REF!</f>
      </c>
      <c r="P81" s="260">
        <f>#REF!</f>
      </c>
      <c r="Q81" s="168">
        <f>P81*N81</f>
      </c>
      <c r="R81" s="425">
        <f>IFERROR(Q81/$Q$166,0)</f>
      </c>
      <c r="S81" s="371">
        <f ca="1">IF($AL$5&lt;=1,0,SUM(OFFSET('rincian '!#REF!,0,0,1,$AL$5-1)))</f>
      </c>
      <c r="T81" s="425">
        <f ca="1">IFERROR(S81/N81*R81,0)</f>
      </c>
      <c r="U81" s="372" cm="1">
        <f t="array" ref="U81">IFERROR(INDEX('rincian '!#REF!,$AL$5),0)</f>
      </c>
      <c r="V81" s="425">
        <f>IFERROR(U81/N81*R81,0)</f>
      </c>
      <c r="W81" s="244">
        <f ca="1">S81+U81</f>
      </c>
      <c r="X81" s="202">
        <f ca="1">T81+V81</f>
      </c>
      <c r="AL81" s="460"/>
      <c r="AM81" s="460"/>
      <c r="AN81" s="460"/>
      <c r="AO81" s="460"/>
      <c r="AP81" s="460"/>
      <c r="AQ81" s="460"/>
    </row>
    <row r="82" spans="2:43" s="105" customFormat="1" ht="27" customHeight="1">
      <c r="B82" s="370">
        <f>#REF!</f>
      </c>
      <c r="C82" s="232"/>
      <c r="D82" s="164">
        <f>IF(#REF!&lt;&gt;"",#REF!,IF(#REF!&lt;&gt;"",#REF!,""))</f>
      </c>
      <c r="E82" s="235"/>
      <c r="F82" s="236"/>
      <c r="G82" s="236"/>
      <c r="H82" s="237"/>
      <c r="I82" s="238"/>
      <c r="J82" s="239"/>
      <c r="K82" s="240"/>
      <c r="L82" s="241"/>
      <c r="M82" s="242"/>
      <c r="N82" s="167">
        <f>#REF!</f>
      </c>
      <c r="O82" s="167">
        <f>#REF!</f>
      </c>
      <c r="P82" s="260">
        <f>#REF!</f>
      </c>
      <c r="Q82" s="168">
        <f>P82*N82</f>
      </c>
      <c r="R82" s="425">
        <f>IFERROR(Q82/$Q$166,0)</f>
      </c>
      <c r="S82" s="371">
        <f ca="1">IF($AL$5&lt;=1,0,SUM(OFFSET('rincian '!#REF!,0,0,1,$AL$5-1)))</f>
      </c>
      <c r="T82" s="425">
        <f ca="1">IFERROR(S82/N82*R82,0)</f>
      </c>
      <c r="U82" s="372" cm="1">
        <f t="array" ref="U82">IFERROR(INDEX('rincian '!#REF!,$AL$5),0)</f>
      </c>
      <c r="V82" s="425">
        <f>IFERROR(U82/N82*R82,0)</f>
      </c>
      <c r="W82" s="244">
        <f ca="1">S82+U82</f>
      </c>
      <c r="X82" s="202">
        <f ca="1">T82+V82</f>
      </c>
      <c r="AL82" s="460"/>
      <c r="AM82" s="460"/>
      <c r="AN82" s="460"/>
      <c r="AO82" s="460"/>
      <c r="AP82" s="460"/>
      <c r="AQ82" s="460"/>
    </row>
    <row r="83" spans="2:43" s="105" customFormat="1" ht="27" customHeight="1">
      <c r="B83" s="401">
        <f>#REF!</f>
      </c>
      <c r="C83" s="373"/>
      <c r="D83" s="374">
        <f>IF(#REF!&lt;&gt;"",#REF!,IF(#REF!&lt;&gt;"",#REF!,""))</f>
      </c>
      <c r="E83" s="375"/>
      <c r="F83" s="376"/>
      <c r="G83" s="376"/>
      <c r="H83" s="377"/>
      <c r="I83" s="378"/>
      <c r="J83" s="379"/>
      <c r="K83" s="380"/>
      <c r="L83" s="381"/>
      <c r="M83" s="382"/>
      <c r="N83" s="167"/>
      <c r="O83" s="167"/>
      <c r="P83" s="260"/>
      <c r="Q83" s="168"/>
      <c r="R83" s="425"/>
      <c r="S83" s="371"/>
      <c r="T83" s="425"/>
      <c r="U83" s="372"/>
      <c r="V83" s="425"/>
      <c r="W83" s="244"/>
      <c r="X83" s="202"/>
      <c r="AL83" s="460"/>
      <c r="AM83" s="460"/>
      <c r="AN83" s="460"/>
      <c r="AO83" s="460"/>
      <c r="AP83" s="460"/>
      <c r="AQ83" s="460"/>
    </row>
    <row r="84" spans="2:43" s="105" customFormat="1" ht="27" customHeight="1">
      <c r="B84" s="370">
        <f>#REF!</f>
      </c>
      <c r="C84" s="232"/>
      <c r="D84" s="164">
        <f>IF(#REF!&lt;&gt;"",#REF!,IF(#REF!&lt;&gt;"",#REF!,""))</f>
      </c>
      <c r="E84" s="235"/>
      <c r="F84" s="236"/>
      <c r="G84" s="236"/>
      <c r="H84" s="237"/>
      <c r="I84" s="238"/>
      <c r="J84" s="239"/>
      <c r="K84" s="240"/>
      <c r="L84" s="241"/>
      <c r="M84" s="242"/>
      <c r="N84" s="167">
        <f>#REF!</f>
      </c>
      <c r="O84" s="167">
        <f>#REF!</f>
      </c>
      <c r="P84" s="260">
        <f>#REF!</f>
      </c>
      <c r="Q84" s="168">
        <f>P84*N84</f>
      </c>
      <c r="R84" s="425">
        <f>IFERROR(Q84/$Q$166,0)</f>
      </c>
      <c r="S84" s="371">
        <f ca="1">IF($AL$5&lt;=1,0,SUM(OFFSET('rincian '!#REF!,0,0,1,$AL$5-1)))</f>
      </c>
      <c r="T84" s="425">
        <f ca="1">IFERROR(S84/N84*R84,0)</f>
      </c>
      <c r="U84" s="372" cm="1">
        <f t="array" ref="U84">IFERROR(INDEX('rincian '!#REF!,$AL$5),0)</f>
      </c>
      <c r="V84" s="425">
        <f>IFERROR(U84/N84*R84,0)</f>
      </c>
      <c r="W84" s="244">
        <f t="shared" ref="W84:X86" ca="1" si="21">S84+U84</f>
      </c>
      <c r="X84" s="202">
        <f t="shared" ca="1" si="21"/>
      </c>
      <c r="AL84" s="460"/>
      <c r="AM84" s="460"/>
      <c r="AN84" s="460"/>
      <c r="AO84" s="460"/>
      <c r="AP84" s="460"/>
      <c r="AQ84" s="460"/>
    </row>
    <row r="85" spans="2:43" s="105" customFormat="1" ht="27" customHeight="1">
      <c r="B85" s="370">
        <f>#REF!</f>
      </c>
      <c r="C85" s="232"/>
      <c r="D85" s="164">
        <f>IF(#REF!&lt;&gt;"",#REF!,IF(#REF!&lt;&gt;"",#REF!,""))</f>
      </c>
      <c r="E85" s="235"/>
      <c r="F85" s="236"/>
      <c r="G85" s="236"/>
      <c r="H85" s="237"/>
      <c r="I85" s="238"/>
      <c r="J85" s="239"/>
      <c r="K85" s="240"/>
      <c r="L85" s="241"/>
      <c r="M85" s="242"/>
      <c r="N85" s="167">
        <f>#REF!</f>
      </c>
      <c r="O85" s="167">
        <f>#REF!</f>
      </c>
      <c r="P85" s="260">
        <f>#REF!</f>
      </c>
      <c r="Q85" s="168">
        <f>P85*N85</f>
      </c>
      <c r="R85" s="425">
        <f>IFERROR(Q85/$Q$166,0)</f>
      </c>
      <c r="S85" s="371">
        <f ca="1">IF($AL$5&lt;=1,0,SUM(OFFSET('rincian '!#REF!,0,0,1,$AL$5-1)))</f>
      </c>
      <c r="T85" s="425">
        <f ca="1">IFERROR(S85/N85*R85,0)</f>
      </c>
      <c r="U85" s="372" cm="1">
        <f t="array" ref="U85">IFERROR(INDEX('rincian '!#REF!,$AL$5),0)</f>
      </c>
      <c r="V85" s="425">
        <f>IFERROR(U85/N85*R85,0)</f>
      </c>
      <c r="W85" s="244">
        <f t="shared" ca="1" si="21"/>
      </c>
      <c r="X85" s="202">
        <f t="shared" ca="1" si="21"/>
      </c>
      <c r="AL85" s="460"/>
      <c r="AM85" s="460"/>
      <c r="AN85" s="460"/>
      <c r="AO85" s="460"/>
      <c r="AP85" s="460"/>
      <c r="AQ85" s="460"/>
    </row>
    <row r="86" spans="2:43" s="105" customFormat="1" ht="27" customHeight="1">
      <c r="B86" s="370">
        <f>#REF!</f>
      </c>
      <c r="C86" s="232"/>
      <c r="D86" s="164">
        <f>IF(#REF!&lt;&gt;"",#REF!,IF(#REF!&lt;&gt;"",#REF!,""))</f>
      </c>
      <c r="E86" s="235"/>
      <c r="F86" s="236"/>
      <c r="G86" s="236"/>
      <c r="H86" s="237"/>
      <c r="I86" s="238"/>
      <c r="J86" s="239"/>
      <c r="K86" s="240"/>
      <c r="L86" s="241"/>
      <c r="M86" s="242"/>
      <c r="N86" s="167">
        <f>#REF!</f>
      </c>
      <c r="O86" s="167">
        <f>#REF!</f>
      </c>
      <c r="P86" s="260">
        <f>#REF!</f>
      </c>
      <c r="Q86" s="168">
        <f>P86*N86</f>
      </c>
      <c r="R86" s="425">
        <f>IFERROR(Q86/$Q$166,0)</f>
      </c>
      <c r="S86" s="371">
        <f ca="1">IF($AL$5&lt;=1,0,SUM(OFFSET('rincian '!#REF!,0,0,1,$AL$5-1)))</f>
      </c>
      <c r="T86" s="425">
        <f ca="1">IFERROR(S86/N86*R86,0)</f>
      </c>
      <c r="U86" s="372" cm="1">
        <f t="array" ref="U86">IFERROR(INDEX('rincian '!#REF!,$AL$5),0)</f>
      </c>
      <c r="V86" s="425">
        <f>IFERROR(U86/N86*R86,0)</f>
      </c>
      <c r="W86" s="244">
        <f t="shared" ca="1" si="21"/>
      </c>
      <c r="X86" s="202">
        <f t="shared" ca="1" si="21"/>
      </c>
      <c r="AL86" s="460"/>
      <c r="AM86" s="460"/>
      <c r="AN86" s="460"/>
      <c r="AO86" s="460"/>
      <c r="AP86" s="460"/>
      <c r="AQ86" s="460"/>
    </row>
    <row r="87" spans="2:43" s="105" customFormat="1" ht="27" customHeight="1">
      <c r="B87" s="401">
        <f>#REF!</f>
      </c>
      <c r="C87" s="373"/>
      <c r="D87" s="374">
        <f>IF(#REF!&lt;&gt;"",#REF!,IF(#REF!&lt;&gt;"",#REF!,""))</f>
      </c>
      <c r="E87" s="375"/>
      <c r="F87" s="376"/>
      <c r="G87" s="376"/>
      <c r="H87" s="377"/>
      <c r="I87" s="378"/>
      <c r="J87" s="379"/>
      <c r="K87" s="380"/>
      <c r="L87" s="381"/>
      <c r="M87" s="382"/>
      <c r="N87" s="167"/>
      <c r="O87" s="167"/>
      <c r="P87" s="260"/>
      <c r="Q87" s="168"/>
      <c r="R87" s="425"/>
      <c r="S87" s="371"/>
      <c r="T87" s="425"/>
      <c r="U87" s="372"/>
      <c r="V87" s="425"/>
      <c r="W87" s="244"/>
      <c r="X87" s="202"/>
      <c r="AL87" s="460"/>
      <c r="AM87" s="460"/>
      <c r="AN87" s="460"/>
      <c r="AO87" s="460"/>
      <c r="AP87" s="460"/>
      <c r="AQ87" s="460"/>
    </row>
    <row r="88" spans="2:43" s="105" customFormat="1" ht="27" customHeight="1">
      <c r="B88" s="370">
        <f>#REF!</f>
      </c>
      <c r="C88" s="232"/>
      <c r="D88" s="164">
        <f>IF(#REF!&lt;&gt;"",#REF!,IF(#REF!&lt;&gt;"",#REF!,""))</f>
      </c>
      <c r="E88" s="235"/>
      <c r="F88" s="236"/>
      <c r="G88" s="236"/>
      <c r="H88" s="237"/>
      <c r="I88" s="238"/>
      <c r="J88" s="239"/>
      <c r="K88" s="240"/>
      <c r="L88" s="241"/>
      <c r="M88" s="242"/>
      <c r="N88" s="167">
        <f>#REF!</f>
      </c>
      <c r="O88" s="167">
        <f>#REF!</f>
      </c>
      <c r="P88" s="260">
        <f>#REF!</f>
      </c>
      <c r="Q88" s="168">
        <f>P88*N88</f>
      </c>
      <c r="R88" s="425">
        <f>IFERROR(Q88/$Q$166,0)</f>
      </c>
      <c r="S88" s="371">
        <f ca="1">IF($AL$5&lt;=1,0,SUM(OFFSET('rincian '!#REF!,0,0,1,$AL$5-1)))</f>
      </c>
      <c r="T88" s="425">
        <f ca="1">IFERROR(S88/N88*R88,0)</f>
      </c>
      <c r="U88" s="372" cm="1">
        <f t="array" ref="U88">IFERROR(INDEX('rincian '!#REF!,$AL$5),0)</f>
      </c>
      <c r="V88" s="425">
        <f>IFERROR(U88/N88*R88,0)</f>
      </c>
      <c r="W88" s="244">
        <f t="shared" ref="W88:X91" ca="1" si="22">S88+U88</f>
      </c>
      <c r="X88" s="202">
        <f t="shared" ca="1" si="22"/>
      </c>
      <c r="AL88" s="460"/>
      <c r="AM88" s="460"/>
      <c r="AN88" s="460"/>
      <c r="AO88" s="460"/>
      <c r="AP88" s="460"/>
      <c r="AQ88" s="460"/>
    </row>
    <row r="89" spans="2:43" s="105" customFormat="1" ht="27" customHeight="1">
      <c r="B89" s="370">
        <f>#REF!</f>
      </c>
      <c r="C89" s="232"/>
      <c r="D89" s="164">
        <f>IF(#REF!&lt;&gt;"",#REF!,IF(#REF!&lt;&gt;"",#REF!,""))</f>
      </c>
      <c r="E89" s="235"/>
      <c r="F89" s="236"/>
      <c r="G89" s="236"/>
      <c r="H89" s="237"/>
      <c r="I89" s="238"/>
      <c r="J89" s="239"/>
      <c r="K89" s="240"/>
      <c r="L89" s="241"/>
      <c r="M89" s="242"/>
      <c r="N89" s="167">
        <f>#REF!</f>
      </c>
      <c r="O89" s="167">
        <f>#REF!</f>
      </c>
      <c r="P89" s="260">
        <f>#REF!</f>
      </c>
      <c r="Q89" s="168">
        <f>P89*N89</f>
      </c>
      <c r="R89" s="425">
        <f>IFERROR(Q89/$Q$166,0)</f>
      </c>
      <c r="S89" s="371">
        <f ca="1">IF($AL$5&lt;=1,0,SUM(OFFSET('rincian '!#REF!,0,0,1,$AL$5-1)))</f>
      </c>
      <c r="T89" s="425">
        <f ca="1">IFERROR(S89/N89*R89,0)</f>
      </c>
      <c r="U89" s="372" cm="1">
        <f t="array" ref="U89">IFERROR(INDEX('rincian '!#REF!,$AL$5),0)</f>
      </c>
      <c r="V89" s="425">
        <f>IFERROR(U89/N89*R89,0)</f>
      </c>
      <c r="W89" s="244">
        <f t="shared" ca="1" si="22"/>
      </c>
      <c r="X89" s="202">
        <f t="shared" ca="1" si="22"/>
      </c>
      <c r="AL89" s="460"/>
      <c r="AM89" s="460"/>
      <c r="AN89" s="460"/>
      <c r="AO89" s="460"/>
      <c r="AP89" s="460"/>
      <c r="AQ89" s="460"/>
    </row>
    <row r="90" spans="2:43" s="105" customFormat="1" ht="27" customHeight="1">
      <c r="B90" s="370">
        <f>#REF!</f>
      </c>
      <c r="C90" s="232"/>
      <c r="D90" s="164">
        <f>IF(#REF!&lt;&gt;"",#REF!,IF(#REF!&lt;&gt;"",#REF!,""))</f>
      </c>
      <c r="E90" s="235"/>
      <c r="F90" s="236"/>
      <c r="G90" s="236"/>
      <c r="H90" s="237"/>
      <c r="I90" s="238"/>
      <c r="J90" s="239"/>
      <c r="K90" s="240"/>
      <c r="L90" s="241"/>
      <c r="M90" s="242"/>
      <c r="N90" s="167">
        <f>#REF!</f>
      </c>
      <c r="O90" s="167">
        <f>#REF!</f>
      </c>
      <c r="P90" s="260">
        <f>#REF!</f>
      </c>
      <c r="Q90" s="168">
        <f>P90*N90</f>
      </c>
      <c r="R90" s="425">
        <f>IFERROR(Q90/$Q$166,0)</f>
      </c>
      <c r="S90" s="371">
        <f ca="1">IF($AL$5&lt;=1,0,SUM(OFFSET('rincian '!#REF!,0,0,1,$AL$5-1)))</f>
      </c>
      <c r="T90" s="425">
        <f ca="1">IFERROR(S90/N90*R90,0)</f>
      </c>
      <c r="U90" s="372" cm="1">
        <f t="array" ref="U90">IFERROR(INDEX('rincian '!#REF!,$AL$5),0)</f>
      </c>
      <c r="V90" s="425">
        <f>IFERROR(U90/N90*R90,0)</f>
      </c>
      <c r="W90" s="244">
        <f t="shared" ca="1" si="22"/>
      </c>
      <c r="X90" s="202">
        <f t="shared" ca="1" si="22"/>
      </c>
      <c r="AL90" s="460"/>
      <c r="AM90" s="460"/>
      <c r="AN90" s="460"/>
      <c r="AO90" s="460"/>
      <c r="AP90" s="460"/>
      <c r="AQ90" s="460"/>
    </row>
    <row r="91" spans="2:43" s="105" customFormat="1" ht="27" customHeight="1">
      <c r="B91" s="370">
        <f>#REF!</f>
      </c>
      <c r="C91" s="232"/>
      <c r="D91" s="164">
        <f>IF(#REF!&lt;&gt;"",#REF!,IF(#REF!&lt;&gt;"",#REF!,""))</f>
      </c>
      <c r="E91" s="235"/>
      <c r="F91" s="236"/>
      <c r="G91" s="236"/>
      <c r="H91" s="237"/>
      <c r="I91" s="238"/>
      <c r="J91" s="239"/>
      <c r="K91" s="240"/>
      <c r="L91" s="241"/>
      <c r="M91" s="242"/>
      <c r="N91" s="167">
        <f>#REF!</f>
      </c>
      <c r="O91" s="167">
        <f>#REF!</f>
      </c>
      <c r="P91" s="260">
        <f>#REF!</f>
      </c>
      <c r="Q91" s="168">
        <f>P91*N91</f>
      </c>
      <c r="R91" s="425">
        <f>IFERROR(Q91/$Q$166,0)</f>
      </c>
      <c r="S91" s="371">
        <f ca="1">IF($AL$5&lt;=1,0,SUM(OFFSET('rincian '!#REF!,0,0,1,$AL$5-1)))</f>
      </c>
      <c r="T91" s="425">
        <f ca="1">IFERROR(S91/N91*R91,0)</f>
      </c>
      <c r="U91" s="372" cm="1">
        <f t="array" ref="U91">IFERROR(INDEX('rincian '!#REF!,$AL$5),0)</f>
      </c>
      <c r="V91" s="425">
        <f>IFERROR(U91/N91*R91,0)</f>
      </c>
      <c r="W91" s="244">
        <f t="shared" ca="1" si="22"/>
      </c>
      <c r="X91" s="202">
        <f t="shared" ca="1" si="22"/>
      </c>
      <c r="AL91" s="460"/>
      <c r="AM91" s="460"/>
      <c r="AN91" s="460"/>
      <c r="AO91" s="460"/>
      <c r="AP91" s="460"/>
      <c r="AQ91" s="460"/>
    </row>
    <row r="92" spans="2:43" s="105" customFormat="1" ht="27" customHeight="1">
      <c r="B92" s="401">
        <f>#REF!</f>
      </c>
      <c r="C92" s="373"/>
      <c r="D92" s="374">
        <f>IF(#REF!&lt;&gt;"",#REF!,IF(#REF!&lt;&gt;"",#REF!,""))</f>
      </c>
      <c r="E92" s="375"/>
      <c r="F92" s="376"/>
      <c r="G92" s="376"/>
      <c r="H92" s="377"/>
      <c r="I92" s="378"/>
      <c r="J92" s="379"/>
      <c r="K92" s="380"/>
      <c r="L92" s="381"/>
      <c r="M92" s="382"/>
      <c r="N92" s="167"/>
      <c r="O92" s="167"/>
      <c r="P92" s="260"/>
      <c r="Q92" s="168"/>
      <c r="R92" s="425"/>
      <c r="S92" s="371"/>
      <c r="T92" s="425"/>
      <c r="U92" s="372"/>
      <c r="V92" s="425"/>
      <c r="W92" s="244"/>
      <c r="X92" s="202"/>
      <c r="AL92" s="460"/>
      <c r="AM92" s="460"/>
      <c r="AN92" s="460"/>
      <c r="AO92" s="460"/>
      <c r="AP92" s="460"/>
      <c r="AQ92" s="460"/>
    </row>
    <row r="93" spans="2:43" s="105" customFormat="1" ht="27" customHeight="1">
      <c r="B93" s="370">
        <f>#REF!</f>
      </c>
      <c r="C93" s="232"/>
      <c r="D93" s="164">
        <f>IF(#REF!&lt;&gt;"",#REF!,IF(#REF!&lt;&gt;"",#REF!,""))</f>
      </c>
      <c r="E93" s="235"/>
      <c r="F93" s="236"/>
      <c r="G93" s="236"/>
      <c r="H93" s="237"/>
      <c r="I93" s="238"/>
      <c r="J93" s="239"/>
      <c r="K93" s="240"/>
      <c r="L93" s="241"/>
      <c r="M93" s="242"/>
      <c r="N93" s="167">
        <f>#REF!</f>
      </c>
      <c r="O93" s="167">
        <f>#REF!</f>
      </c>
      <c r="P93" s="260">
        <f>#REF!</f>
      </c>
      <c r="Q93" s="168">
        <f>P93*N93</f>
      </c>
      <c r="R93" s="425">
        <f>IFERROR(Q93/$Q$166,0)</f>
      </c>
      <c r="S93" s="371">
        <f ca="1">IF($AL$5&lt;=1,0,SUM(OFFSET('rincian '!#REF!,0,0,1,$AL$5-1)))</f>
      </c>
      <c r="T93" s="425">
        <f ca="1">IFERROR(S93/N93*R93,0)</f>
      </c>
      <c r="U93" s="372" cm="1">
        <f t="array" ref="U93">IFERROR(INDEX('rincian '!#REF!,$AL$5),0)</f>
      </c>
      <c r="V93" s="425">
        <f>IFERROR(U93/N93*R93,0)</f>
      </c>
      <c r="W93" s="244">
        <f ca="1">S93+U93</f>
      </c>
      <c r="X93" s="202">
        <f ca="1">T93+V93</f>
      </c>
      <c r="AL93" s="460"/>
      <c r="AM93" s="460"/>
      <c r="AN93" s="460"/>
      <c r="AO93" s="460"/>
      <c r="AP93" s="460"/>
      <c r="AQ93" s="460"/>
    </row>
    <row r="94" spans="2:43" s="105" customFormat="1" ht="27" customHeight="1">
      <c r="B94" s="401">
        <f>#REF!</f>
      </c>
      <c r="C94" s="373"/>
      <c r="D94" s="374">
        <f>IF(#REF!&lt;&gt;"",#REF!,IF(#REF!&lt;&gt;"",#REF!,""))</f>
      </c>
      <c r="E94" s="375"/>
      <c r="F94" s="376"/>
      <c r="G94" s="376"/>
      <c r="H94" s="377"/>
      <c r="I94" s="378"/>
      <c r="J94" s="379"/>
      <c r="K94" s="380"/>
      <c r="L94" s="381"/>
      <c r="M94" s="382"/>
      <c r="N94" s="167"/>
      <c r="O94" s="167"/>
      <c r="P94" s="260"/>
      <c r="Q94" s="168"/>
      <c r="R94" s="425"/>
      <c r="S94" s="371"/>
      <c r="T94" s="425"/>
      <c r="U94" s="372"/>
      <c r="V94" s="425"/>
      <c r="W94" s="244"/>
      <c r="X94" s="202"/>
      <c r="AL94" s="460"/>
      <c r="AM94" s="460"/>
      <c r="AN94" s="460"/>
      <c r="AO94" s="460"/>
      <c r="AP94" s="460"/>
      <c r="AQ94" s="460"/>
    </row>
    <row r="95" spans="2:43" s="105" customFormat="1" ht="27" customHeight="1">
      <c r="B95" s="370">
        <f>#REF!</f>
      </c>
      <c r="C95" s="232"/>
      <c r="D95" s="164">
        <f>IF(#REF!&lt;&gt;"",#REF!,IF(#REF!&lt;&gt;"",#REF!,""))</f>
      </c>
      <c r="E95" s="235"/>
      <c r="F95" s="236"/>
      <c r="G95" s="236"/>
      <c r="H95" s="237"/>
      <c r="I95" s="238"/>
      <c r="J95" s="239"/>
      <c r="K95" s="240"/>
      <c r="L95" s="241"/>
      <c r="M95" s="242"/>
      <c r="N95" s="167">
        <f>#REF!</f>
      </c>
      <c r="O95" s="167">
        <f>#REF!</f>
      </c>
      <c r="P95" s="260">
        <f>#REF!</f>
      </c>
      <c r="Q95" s="168">
        <f>P95*N95</f>
      </c>
      <c r="R95" s="425">
        <f>IFERROR(Q95/$Q$166,0)</f>
      </c>
      <c r="S95" s="371">
        <f ca="1">IF($AL$5&lt;=1,0,SUM(OFFSET('rincian '!#REF!,0,0,1,$AL$5-1)))</f>
      </c>
      <c r="T95" s="425">
        <f ca="1">IFERROR(S95/N95*R95,0)</f>
      </c>
      <c r="U95" s="372" cm="1">
        <f t="array" ref="U95">IFERROR(INDEX('rincian '!#REF!,$AL$5),0)</f>
      </c>
      <c r="V95" s="425">
        <f>IFERROR(U95/N95*R95,0)</f>
      </c>
      <c r="W95" s="244">
        <f t="shared" ref="W95:X98" ca="1" si="23">S95+U95</f>
      </c>
      <c r="X95" s="202">
        <f t="shared" ca="1" si="23"/>
      </c>
      <c r="AL95" s="460"/>
      <c r="AM95" s="460"/>
      <c r="AN95" s="460"/>
      <c r="AO95" s="460"/>
      <c r="AP95" s="460"/>
      <c r="AQ95" s="460"/>
    </row>
    <row r="96" spans="2:43" s="105" customFormat="1" ht="27" customHeight="1">
      <c r="B96" s="370">
        <f>#REF!</f>
      </c>
      <c r="C96" s="232"/>
      <c r="D96" s="164">
        <f>IF(#REF!&lt;&gt;"",#REF!,IF(#REF!&lt;&gt;"",#REF!,""))</f>
      </c>
      <c r="E96" s="235"/>
      <c r="F96" s="236"/>
      <c r="G96" s="236"/>
      <c r="H96" s="237"/>
      <c r="I96" s="238"/>
      <c r="J96" s="239"/>
      <c r="K96" s="240"/>
      <c r="L96" s="241"/>
      <c r="M96" s="242"/>
      <c r="N96" s="167">
        <f>#REF!</f>
      </c>
      <c r="O96" s="167">
        <f>#REF!</f>
      </c>
      <c r="P96" s="260">
        <f>#REF!</f>
      </c>
      <c r="Q96" s="168">
        <f>P96*N96</f>
      </c>
      <c r="R96" s="425">
        <f>IFERROR(Q96/$Q$166,0)</f>
      </c>
      <c r="S96" s="371">
        <f ca="1">IF($AL$5&lt;=1,0,SUM(OFFSET('rincian '!#REF!,0,0,1,$AL$5-1)))</f>
      </c>
      <c r="T96" s="425">
        <f ca="1">IFERROR(S96/N96*R96,0)</f>
      </c>
      <c r="U96" s="372" cm="1">
        <f t="array" ref="U96">IFERROR(INDEX('rincian '!#REF!,$AL$5),0)</f>
      </c>
      <c r="V96" s="425">
        <f>IFERROR(U96/N96*R96,0)</f>
      </c>
      <c r="W96" s="244">
        <f t="shared" ca="1" si="23"/>
      </c>
      <c r="X96" s="202">
        <f t="shared" ca="1" si="23"/>
      </c>
      <c r="AL96" s="460"/>
      <c r="AM96" s="460"/>
      <c r="AN96" s="460"/>
      <c r="AO96" s="460"/>
      <c r="AP96" s="460"/>
      <c r="AQ96" s="460"/>
    </row>
    <row r="97" spans="2:43" s="105" customFormat="1" ht="27" customHeight="1">
      <c r="B97" s="370">
        <f>#REF!</f>
      </c>
      <c r="C97" s="232"/>
      <c r="D97" s="164">
        <f>IF(#REF!&lt;&gt;"",#REF!,IF(#REF!&lt;&gt;"",#REF!,""))</f>
      </c>
      <c r="E97" s="235"/>
      <c r="F97" s="236"/>
      <c r="G97" s="236"/>
      <c r="H97" s="237"/>
      <c r="I97" s="238"/>
      <c r="J97" s="239"/>
      <c r="K97" s="240"/>
      <c r="L97" s="241"/>
      <c r="M97" s="242"/>
      <c r="N97" s="167">
        <f>#REF!</f>
      </c>
      <c r="O97" s="167">
        <f>#REF!</f>
      </c>
      <c r="P97" s="260">
        <f>#REF!</f>
      </c>
      <c r="Q97" s="168">
        <f>P97*N97</f>
      </c>
      <c r="R97" s="425">
        <f>IFERROR(Q97/$Q$166,0)</f>
      </c>
      <c r="S97" s="371">
        <f ca="1">IF($AL$5&lt;=1,0,SUM(OFFSET('rincian '!#REF!,0,0,1,$AL$5-1)))</f>
      </c>
      <c r="T97" s="425">
        <f ca="1">IFERROR(S97/N97*R97,0)</f>
      </c>
      <c r="U97" s="372" cm="1">
        <f t="array" ref="U97">IFERROR(INDEX('rincian '!#REF!,$AL$5),0)</f>
      </c>
      <c r="V97" s="425">
        <f>IFERROR(U97/N97*R97,0)</f>
      </c>
      <c r="W97" s="244">
        <f t="shared" ca="1" si="23"/>
      </c>
      <c r="X97" s="202">
        <f t="shared" ca="1" si="23"/>
      </c>
      <c r="AL97" s="460"/>
      <c r="AM97" s="460"/>
      <c r="AN97" s="460"/>
      <c r="AO97" s="460"/>
      <c r="AP97" s="460"/>
      <c r="AQ97" s="460"/>
    </row>
    <row r="98" spans="2:43" s="105" customFormat="1" ht="27" customHeight="1">
      <c r="B98" s="370">
        <f>#REF!</f>
      </c>
      <c r="C98" s="232"/>
      <c r="D98" s="164">
        <f>IF(#REF!&lt;&gt;"",#REF!,IF(#REF!&lt;&gt;"",#REF!,""))</f>
      </c>
      <c r="E98" s="235"/>
      <c r="F98" s="236"/>
      <c r="G98" s="236"/>
      <c r="H98" s="237"/>
      <c r="I98" s="238"/>
      <c r="J98" s="239"/>
      <c r="K98" s="240"/>
      <c r="L98" s="241"/>
      <c r="M98" s="242"/>
      <c r="N98" s="167">
        <f>#REF!</f>
      </c>
      <c r="O98" s="167">
        <f>#REF!</f>
      </c>
      <c r="P98" s="260">
        <f>#REF!</f>
      </c>
      <c r="Q98" s="168">
        <f>P98*N98</f>
      </c>
      <c r="R98" s="425">
        <f>IFERROR(Q98/$Q$166,0)</f>
      </c>
      <c r="S98" s="371">
        <f ca="1">IF($AL$5&lt;=1,0,SUM(OFFSET('rincian '!#REF!,0,0,1,$AL$5-1)))</f>
      </c>
      <c r="T98" s="425">
        <f ca="1">IFERROR(S98/N98*R98,0)</f>
      </c>
      <c r="U98" s="372" cm="1">
        <f t="array" ref="U98">IFERROR(INDEX('rincian '!#REF!,$AL$5),0)</f>
      </c>
      <c r="V98" s="425">
        <f>IFERROR(U98/N98*R98,0)</f>
      </c>
      <c r="W98" s="244">
        <f t="shared" ca="1" si="23"/>
      </c>
      <c r="X98" s="202">
        <f t="shared" ca="1" si="23"/>
      </c>
      <c r="AL98" s="460"/>
      <c r="AM98" s="460"/>
      <c r="AN98" s="460"/>
      <c r="AO98" s="460"/>
      <c r="AP98" s="460"/>
      <c r="AQ98" s="460"/>
    </row>
    <row r="99" spans="2:43" s="105" customFormat="1" ht="27" customHeight="1">
      <c r="B99" s="401">
        <f>#REF!</f>
      </c>
      <c r="C99" s="373"/>
      <c r="D99" s="374">
        <f>IF(#REF!&lt;&gt;"",#REF!,IF(#REF!&lt;&gt;"",#REF!,""))</f>
      </c>
      <c r="E99" s="375"/>
      <c r="F99" s="376"/>
      <c r="G99" s="376"/>
      <c r="H99" s="377"/>
      <c r="I99" s="378"/>
      <c r="J99" s="379"/>
      <c r="K99" s="380"/>
      <c r="L99" s="381"/>
      <c r="M99" s="382"/>
      <c r="N99" s="167"/>
      <c r="O99" s="167"/>
      <c r="P99" s="260"/>
      <c r="Q99" s="168"/>
      <c r="R99" s="425"/>
      <c r="S99" s="371"/>
      <c r="T99" s="425"/>
      <c r="U99" s="372"/>
      <c r="V99" s="425"/>
      <c r="W99" s="244"/>
      <c r="X99" s="202"/>
      <c r="AL99" s="460"/>
      <c r="AM99" s="460"/>
      <c r="AN99" s="460"/>
      <c r="AO99" s="460"/>
      <c r="AP99" s="460"/>
      <c r="AQ99" s="460"/>
    </row>
    <row r="100" spans="2:43" s="105" customFormat="1" ht="27" customHeight="1">
      <c r="B100" s="370">
        <f>#REF!</f>
      </c>
      <c r="C100" s="232"/>
      <c r="D100" s="164">
        <f>IF(#REF!&lt;&gt;"",#REF!,IF(#REF!&lt;&gt;"",#REF!,""))</f>
      </c>
      <c r="E100" s="235"/>
      <c r="F100" s="236"/>
      <c r="G100" s="236"/>
      <c r="H100" s="237"/>
      <c r="I100" s="238"/>
      <c r="J100" s="239"/>
      <c r="K100" s="240"/>
      <c r="L100" s="241"/>
      <c r="M100" s="242"/>
      <c r="N100" s="167"/>
      <c r="O100" s="167"/>
      <c r="P100" s="260"/>
      <c r="Q100" s="168"/>
      <c r="R100" s="425"/>
      <c r="S100" s="371"/>
      <c r="T100" s="425"/>
      <c r="U100" s="372"/>
      <c r="V100" s="425"/>
      <c r="W100" s="244"/>
      <c r="X100" s="202"/>
      <c r="AL100" s="460"/>
      <c r="AM100" s="460"/>
      <c r="AN100" s="460"/>
      <c r="AO100" s="460"/>
      <c r="AP100" s="460"/>
      <c r="AQ100" s="460"/>
    </row>
    <row r="101" spans="2:43" s="105" customFormat="1" ht="36" customHeight="1">
      <c r="B101" s="370">
        <f>#REF!</f>
      </c>
      <c r="C101" s="232"/>
      <c r="D101" s="704">
        <f>IF(#REF!&lt;&gt;"",#REF!,IF(#REF!&lt;&gt;"",#REF!,""))</f>
      </c>
      <c r="E101" s="704"/>
      <c r="F101" s="704"/>
      <c r="G101" s="704"/>
      <c r="H101" s="704"/>
      <c r="I101" s="704"/>
      <c r="J101" s="704"/>
      <c r="K101" s="704"/>
      <c r="L101" s="704"/>
      <c r="M101" s="705"/>
      <c r="N101" s="167">
        <f>#REF!</f>
      </c>
      <c r="O101" s="167">
        <f>#REF!</f>
      </c>
      <c r="P101" s="260">
        <f>#REF!</f>
      </c>
      <c r="Q101" s="168">
        <f>P101*N101</f>
      </c>
      <c r="R101" s="425">
        <f>IFERROR(Q101/$Q$166,0)</f>
      </c>
      <c r="S101" s="371">
        <f ca="1">IF($AL$5&lt;=1,0,SUM(OFFSET('rincian '!#REF!,0,0,1,$AL$5-1)))</f>
      </c>
      <c r="T101" s="425">
        <f ca="1">IFERROR(S101/N101*R101,0)</f>
      </c>
      <c r="U101" s="372" cm="1">
        <f t="array" ref="U101">IFERROR(INDEX('rincian '!#REF!,$AL$5),0)</f>
      </c>
      <c r="V101" s="425">
        <f>IFERROR(U101/N101*R101,0)</f>
      </c>
      <c r="W101" s="244">
        <f t="shared" ref="W101:X103" ca="1" si="24">S101+U101</f>
      </c>
      <c r="X101" s="202">
        <f t="shared" ca="1" si="24"/>
      </c>
      <c r="AL101" s="460"/>
      <c r="AM101" s="460"/>
      <c r="AN101" s="460"/>
      <c r="AO101" s="460"/>
      <c r="AP101" s="460"/>
      <c r="AQ101" s="460"/>
    </row>
    <row r="102" spans="2:43" s="105" customFormat="1" ht="27" customHeight="1">
      <c r="B102" s="370">
        <f>#REF!</f>
      </c>
      <c r="C102" s="232"/>
      <c r="D102" s="164">
        <f>IF(#REF!&lt;&gt;"",#REF!,IF(#REF!&lt;&gt;"",#REF!,""))</f>
      </c>
      <c r="E102" s="235"/>
      <c r="F102" s="236"/>
      <c r="G102" s="236"/>
      <c r="H102" s="237"/>
      <c r="I102" s="238"/>
      <c r="J102" s="239"/>
      <c r="K102" s="240"/>
      <c r="L102" s="241"/>
      <c r="M102" s="242"/>
      <c r="N102" s="167">
        <f>#REF!</f>
      </c>
      <c r="O102" s="167">
        <f>#REF!</f>
      </c>
      <c r="P102" s="260">
        <f>#REF!</f>
      </c>
      <c r="Q102" s="168">
        <f>P102*N102</f>
      </c>
      <c r="R102" s="425">
        <f>IFERROR(Q102/$Q$166,0)</f>
      </c>
      <c r="S102" s="371">
        <f ca="1">IF($AL$5&lt;=1,0,SUM(OFFSET('rincian '!#REF!,0,0,1,$AL$5-1)))</f>
      </c>
      <c r="T102" s="425">
        <f ca="1">IFERROR(S102/N102*R102,0)</f>
      </c>
      <c r="U102" s="372" cm="1">
        <f t="array" ref="U102">IFERROR(INDEX('rincian '!#REF!,$AL$5),0)</f>
      </c>
      <c r="V102" s="425">
        <f>IFERROR(U102/N102*R102,0)</f>
      </c>
      <c r="W102" s="244">
        <f t="shared" ca="1" si="24"/>
      </c>
      <c r="X102" s="202">
        <f t="shared" ca="1" si="24"/>
      </c>
      <c r="AL102" s="460"/>
      <c r="AM102" s="460"/>
      <c r="AN102" s="460"/>
      <c r="AO102" s="460"/>
      <c r="AP102" s="460"/>
      <c r="AQ102" s="460"/>
    </row>
    <row r="103" spans="2:43" s="105" customFormat="1" ht="27" customHeight="1">
      <c r="B103" s="370">
        <f>#REF!</f>
      </c>
      <c r="C103" s="232"/>
      <c r="D103" s="164">
        <f>IF(#REF!&lt;&gt;"",#REF!,IF(#REF!&lt;&gt;"",#REF!,""))</f>
      </c>
      <c r="E103" s="235"/>
      <c r="F103" s="236"/>
      <c r="G103" s="236"/>
      <c r="H103" s="237"/>
      <c r="I103" s="238"/>
      <c r="J103" s="239"/>
      <c r="K103" s="240"/>
      <c r="L103" s="241"/>
      <c r="M103" s="242"/>
      <c r="N103" s="167">
        <f>#REF!</f>
      </c>
      <c r="O103" s="167">
        <f>#REF!</f>
      </c>
      <c r="P103" s="260">
        <f>#REF!</f>
      </c>
      <c r="Q103" s="168">
        <f>P103*N103</f>
      </c>
      <c r="R103" s="425">
        <f>IFERROR(Q103/$Q$166,0)</f>
      </c>
      <c r="S103" s="371">
        <f ca="1">IF($AL$5&lt;=1,0,SUM(OFFSET('rincian '!#REF!,0,0,1,$AL$5-1)))</f>
      </c>
      <c r="T103" s="425">
        <f ca="1">IFERROR(S103/N103*R103,0)</f>
      </c>
      <c r="U103" s="372" cm="1">
        <f t="array" ref="U103">IFERROR(INDEX('rincian '!#REF!,$AL$5),0)</f>
      </c>
      <c r="V103" s="425">
        <f>IFERROR(U103/N103*R103,0)</f>
      </c>
      <c r="W103" s="244">
        <f t="shared" ca="1" si="24"/>
      </c>
      <c r="X103" s="202">
        <f t="shared" ca="1" si="24"/>
      </c>
      <c r="AL103" s="460"/>
      <c r="AM103" s="460"/>
      <c r="AN103" s="460"/>
      <c r="AO103" s="460"/>
      <c r="AP103" s="460"/>
      <c r="AQ103" s="460"/>
    </row>
    <row r="104" spans="2:43" s="105" customFormat="1" ht="27" customHeight="1">
      <c r="B104" s="370">
        <f>#REF!</f>
      </c>
      <c r="C104" s="232"/>
      <c r="D104" s="164">
        <f>IF(#REF!&lt;&gt;"",#REF!,IF(#REF!&lt;&gt;"",#REF!,""))</f>
      </c>
      <c r="E104" s="235"/>
      <c r="F104" s="236"/>
      <c r="G104" s="236"/>
      <c r="H104" s="237"/>
      <c r="I104" s="238"/>
      <c r="J104" s="239"/>
      <c r="K104" s="240"/>
      <c r="L104" s="241"/>
      <c r="M104" s="242"/>
      <c r="N104" s="167"/>
      <c r="O104" s="167"/>
      <c r="P104" s="260"/>
      <c r="Q104" s="168"/>
      <c r="R104" s="425"/>
      <c r="S104" s="371"/>
      <c r="T104" s="425"/>
      <c r="U104" s="372"/>
      <c r="V104" s="425"/>
      <c r="W104" s="244"/>
      <c r="X104" s="202"/>
      <c r="AL104" s="460"/>
      <c r="AM104" s="460"/>
      <c r="AN104" s="460"/>
      <c r="AO104" s="460"/>
      <c r="AP104" s="460"/>
      <c r="AQ104" s="460"/>
    </row>
    <row r="105" spans="2:43" s="105" customFormat="1" ht="27" customHeight="1">
      <c r="B105" s="370">
        <f>#REF!</f>
      </c>
      <c r="C105" s="232"/>
      <c r="D105" s="164">
        <f>IF(#REF!&lt;&gt;"",#REF!,IF(#REF!&lt;&gt;"",#REF!,""))</f>
      </c>
      <c r="E105" s="235"/>
      <c r="F105" s="236"/>
      <c r="G105" s="236"/>
      <c r="H105" s="237"/>
      <c r="I105" s="238"/>
      <c r="J105" s="239"/>
      <c r="K105" s="240"/>
      <c r="L105" s="241"/>
      <c r="M105" s="242"/>
      <c r="N105" s="167">
        <f>#REF!</f>
      </c>
      <c r="O105" s="167">
        <f>#REF!</f>
      </c>
      <c r="P105" s="260">
        <f>#REF!</f>
      </c>
      <c r="Q105" s="168">
        <f>P105*N105</f>
      </c>
      <c r="R105" s="425">
        <f>IFERROR(Q105/$Q$166,0)</f>
      </c>
      <c r="S105" s="371">
        <f ca="1">IF($AL$5&lt;=1,0,SUM(OFFSET('rincian '!#REF!,0,0,1,$AL$5-1)))</f>
      </c>
      <c r="T105" s="425">
        <f ca="1">IFERROR(S105/N105*R105,0)</f>
      </c>
      <c r="U105" s="372" cm="1">
        <f t="array" ref="U105">IFERROR(INDEX('rincian '!#REF!,$AL$5),0)</f>
      </c>
      <c r="V105" s="425">
        <f>IFERROR(U105/N105*R105,0)</f>
      </c>
      <c r="W105" s="244">
        <f ca="1">S105+U105</f>
      </c>
      <c r="X105" s="202">
        <f ca="1">T105+V105</f>
      </c>
      <c r="AL105" s="460"/>
      <c r="AM105" s="460"/>
      <c r="AN105" s="460"/>
      <c r="AO105" s="460"/>
      <c r="AP105" s="460"/>
      <c r="AQ105" s="460"/>
    </row>
    <row r="106" spans="2:43" s="105" customFormat="1" ht="27" customHeight="1">
      <c r="B106" s="370">
        <f>#REF!</f>
      </c>
      <c r="C106" s="232"/>
      <c r="D106" s="164">
        <f>IF(#REF!&lt;&gt;"",#REF!,IF(#REF!&lt;&gt;"",#REF!,""))</f>
      </c>
      <c r="E106" s="235"/>
      <c r="F106" s="236"/>
      <c r="G106" s="236"/>
      <c r="H106" s="237"/>
      <c r="I106" s="238"/>
      <c r="J106" s="239"/>
      <c r="K106" s="240"/>
      <c r="L106" s="241"/>
      <c r="M106" s="242"/>
      <c r="N106" s="167">
        <f>#REF!</f>
      </c>
      <c r="O106" s="167">
        <f>#REF!</f>
      </c>
      <c r="P106" s="260">
        <f>#REF!</f>
      </c>
      <c r="Q106" s="168">
        <f>P106*N106</f>
      </c>
      <c r="R106" s="425">
        <f>IFERROR(Q106/$Q$166,0)</f>
      </c>
      <c r="S106" s="371">
        <f ca="1">IF($AL$5&lt;=1,0,SUM(OFFSET('rincian '!#REF!,0,0,1,$AL$5-1)))</f>
      </c>
      <c r="T106" s="425">
        <f ca="1">IFERROR(S106/N106*R106,0)</f>
      </c>
      <c r="U106" s="372" cm="1">
        <f t="array" ref="U106">IFERROR(INDEX('rincian '!#REF!,$AL$5),0)</f>
      </c>
      <c r="V106" s="425">
        <f>IFERROR(U106/N106*R106,0)</f>
      </c>
      <c r="W106" s="244">
        <f ca="1">S106+U106</f>
      </c>
      <c r="X106" s="202">
        <f ca="1">T106+V106</f>
      </c>
      <c r="AL106" s="460"/>
      <c r="AM106" s="460"/>
      <c r="AN106" s="460"/>
      <c r="AO106" s="460"/>
      <c r="AP106" s="460"/>
      <c r="AQ106" s="460"/>
    </row>
    <row r="107" spans="2:43" s="105" customFormat="1" ht="27" customHeight="1">
      <c r="B107" s="401">
        <f>#REF!</f>
      </c>
      <c r="C107" s="373"/>
      <c r="D107" s="374">
        <f>IF(#REF!&lt;&gt;"",#REF!,IF(#REF!&lt;&gt;"",#REF!,""))</f>
      </c>
      <c r="E107" s="375"/>
      <c r="F107" s="376"/>
      <c r="G107" s="376"/>
      <c r="H107" s="377"/>
      <c r="I107" s="378"/>
      <c r="J107" s="379"/>
      <c r="K107" s="380"/>
      <c r="L107" s="381"/>
      <c r="M107" s="382"/>
      <c r="N107" s="167"/>
      <c r="O107" s="167"/>
      <c r="P107" s="260"/>
      <c r="Q107" s="168"/>
      <c r="R107" s="425"/>
      <c r="S107" s="371"/>
      <c r="T107" s="425"/>
      <c r="U107" s="372"/>
      <c r="V107" s="425"/>
      <c r="W107" s="244"/>
      <c r="X107" s="202"/>
      <c r="AL107" s="460"/>
      <c r="AM107" s="460"/>
      <c r="AN107" s="460"/>
      <c r="AO107" s="460"/>
      <c r="AP107" s="460"/>
      <c r="AQ107" s="460"/>
    </row>
    <row r="108" spans="2:43" s="105" customFormat="1" ht="27" customHeight="1">
      <c r="B108" s="370">
        <f>#REF!</f>
      </c>
      <c r="C108" s="232"/>
      <c r="D108" s="164">
        <f>IF(#REF!&lt;&gt;"",#REF!,IF(#REF!&lt;&gt;"",#REF!,""))</f>
      </c>
      <c r="E108" s="235"/>
      <c r="F108" s="236"/>
      <c r="G108" s="236"/>
      <c r="H108" s="237"/>
      <c r="I108" s="238"/>
      <c r="J108" s="239"/>
      <c r="K108" s="240"/>
      <c r="L108" s="241"/>
      <c r="M108" s="242"/>
      <c r="N108" s="167">
        <f>#REF!</f>
      </c>
      <c r="O108" s="167">
        <f>#REF!</f>
      </c>
      <c r="P108" s="260">
        <f>#REF!</f>
      </c>
      <c r="Q108" s="168">
        <f>P108*N108</f>
      </c>
      <c r="R108" s="425">
        <f>IFERROR(Q108/$Q$166,0)</f>
      </c>
      <c r="S108" s="371">
        <f ca="1">IF($AL$5&lt;=1,0,SUM(OFFSET('rincian '!#REF!,0,0,1,$AL$5-1)))</f>
      </c>
      <c r="T108" s="425">
        <f ca="1">IFERROR(S108/N108*R108,0)</f>
      </c>
      <c r="U108" s="372" cm="1">
        <f t="array" ref="U108">IFERROR(INDEX('rincian '!#REF!,$AL$5),0)</f>
      </c>
      <c r="V108" s="425">
        <f>IFERROR(U108/N108*R108,0)</f>
      </c>
      <c r="W108" s="244">
        <f ca="1">S108+U108</f>
      </c>
      <c r="X108" s="202">
        <f ca="1">T108+V108</f>
      </c>
      <c r="AL108" s="460"/>
      <c r="AM108" s="460"/>
      <c r="AN108" s="460"/>
      <c r="AO108" s="460"/>
      <c r="AP108" s="460"/>
      <c r="AQ108" s="460"/>
    </row>
    <row r="109" spans="2:43" s="105" customFormat="1" ht="27" customHeight="1">
      <c r="B109" s="370">
        <f>#REF!</f>
      </c>
      <c r="C109" s="232"/>
      <c r="D109" s="164">
        <f>IF(#REF!&lt;&gt;"",#REF!,IF(#REF!&lt;&gt;"",#REF!,""))</f>
      </c>
      <c r="E109" s="235"/>
      <c r="F109" s="236"/>
      <c r="G109" s="236"/>
      <c r="H109" s="237"/>
      <c r="I109" s="238"/>
      <c r="J109" s="239"/>
      <c r="K109" s="240"/>
      <c r="L109" s="241"/>
      <c r="M109" s="242"/>
      <c r="N109" s="167">
        <f>#REF!</f>
      </c>
      <c r="O109" s="167">
        <f>#REF!</f>
      </c>
      <c r="P109" s="260">
        <f>#REF!</f>
      </c>
      <c r="Q109" s="168">
        <f>P109*N109</f>
      </c>
      <c r="R109" s="425">
        <f>IFERROR(Q109/$Q$166,0)</f>
      </c>
      <c r="S109" s="371">
        <f ca="1">IF($AL$5&lt;=1,0,SUM(OFFSET('rincian '!#REF!,0,0,1,$AL$5-1)))</f>
      </c>
      <c r="T109" s="425">
        <f ca="1">IFERROR(S109/N109*R109,0)</f>
      </c>
      <c r="U109" s="372" cm="1">
        <f t="array" ref="U109">IFERROR(INDEX('rincian '!#REF!,$AL$5),0)</f>
      </c>
      <c r="V109" s="425">
        <f>IFERROR(U109/N109*R109,0)</f>
      </c>
      <c r="W109" s="244">
        <f ca="1">S109+U109</f>
      </c>
      <c r="X109" s="202">
        <f ca="1">T109+V109</f>
      </c>
      <c r="AL109" s="460"/>
      <c r="AM109" s="460"/>
      <c r="AN109" s="460"/>
      <c r="AO109" s="460"/>
      <c r="AP109" s="460"/>
      <c r="AQ109" s="460"/>
    </row>
    <row r="110" spans="2:43" s="105" customFormat="1" ht="27" customHeight="1">
      <c r="B110" s="401">
        <f>#REF!</f>
      </c>
      <c r="C110" s="373"/>
      <c r="D110" s="374">
        <f>IF(#REF!&lt;&gt;"",#REF!,IF(#REF!&lt;&gt;"",#REF!,""))</f>
      </c>
      <c r="E110" s="375"/>
      <c r="F110" s="376"/>
      <c r="G110" s="376"/>
      <c r="H110" s="377"/>
      <c r="I110" s="378"/>
      <c r="J110" s="379"/>
      <c r="K110" s="380"/>
      <c r="L110" s="381"/>
      <c r="M110" s="382"/>
      <c r="N110" s="167"/>
      <c r="O110" s="167"/>
      <c r="P110" s="260"/>
      <c r="Q110" s="168"/>
      <c r="R110" s="425"/>
      <c r="S110" s="371"/>
      <c r="T110" s="425"/>
      <c r="U110" s="372"/>
      <c r="V110" s="425"/>
      <c r="W110" s="244"/>
      <c r="X110" s="202"/>
      <c r="AL110" s="460"/>
      <c r="AM110" s="460"/>
      <c r="AN110" s="460"/>
      <c r="AO110" s="460"/>
      <c r="AP110" s="460"/>
      <c r="AQ110" s="460"/>
    </row>
    <row r="111" spans="2:43" s="105" customFormat="1" ht="27" customHeight="1">
      <c r="B111" s="370">
        <f>#REF!</f>
      </c>
      <c r="C111" s="232"/>
      <c r="D111" s="164">
        <f>IF(#REF!&lt;&gt;"",#REF!,IF(#REF!&lt;&gt;"",#REF!,""))</f>
      </c>
      <c r="E111" s="235"/>
      <c r="F111" s="236"/>
      <c r="G111" s="236"/>
      <c r="H111" s="237"/>
      <c r="I111" s="238"/>
      <c r="J111" s="239"/>
      <c r="K111" s="240"/>
      <c r="L111" s="241"/>
      <c r="M111" s="242"/>
      <c r="N111" s="167">
        <f>#REF!</f>
      </c>
      <c r="O111" s="167">
        <f>#REF!</f>
      </c>
      <c r="P111" s="260">
        <f>#REF!</f>
      </c>
      <c r="Q111" s="168">
        <f>P111*N111</f>
      </c>
      <c r="R111" s="425">
        <f>IFERROR(Q111/$Q$166,0)</f>
      </c>
      <c r="S111" s="371">
        <f ca="1">IF($AL$5&lt;=1,0,SUM(OFFSET('rincian '!#REF!,0,0,1,$AL$5-1)))</f>
      </c>
      <c r="T111" s="425">
        <f ca="1">IFERROR(S111/N111*R111,0)</f>
      </c>
      <c r="U111" s="372" cm="1">
        <f t="array" ref="U111">IFERROR(INDEX('rincian '!#REF!,$AL$5),0)</f>
      </c>
      <c r="V111" s="425">
        <f>IFERROR(U111/N111*R111,0)</f>
      </c>
      <c r="W111" s="244">
        <f t="shared" ref="W111:X114" ca="1" si="25">S111+U111</f>
      </c>
      <c r="X111" s="202">
        <f t="shared" ca="1" si="25"/>
      </c>
      <c r="AL111" s="460"/>
      <c r="AM111" s="460"/>
      <c r="AN111" s="460"/>
      <c r="AO111" s="460"/>
      <c r="AP111" s="460"/>
      <c r="AQ111" s="460"/>
    </row>
    <row r="112" spans="2:43" s="105" customFormat="1" ht="27" customHeight="1">
      <c r="B112" s="370">
        <f>#REF!</f>
      </c>
      <c r="C112" s="232"/>
      <c r="D112" s="164">
        <f>IF(#REF!&lt;&gt;"",#REF!,IF(#REF!&lt;&gt;"",#REF!,""))</f>
      </c>
      <c r="E112" s="235"/>
      <c r="F112" s="236"/>
      <c r="G112" s="236"/>
      <c r="H112" s="237"/>
      <c r="I112" s="238"/>
      <c r="J112" s="239"/>
      <c r="K112" s="240"/>
      <c r="L112" s="241"/>
      <c r="M112" s="242"/>
      <c r="N112" s="167">
        <f>#REF!</f>
      </c>
      <c r="O112" s="167">
        <f>#REF!</f>
      </c>
      <c r="P112" s="260">
        <f>#REF!</f>
      </c>
      <c r="Q112" s="168">
        <f>P112*N112</f>
      </c>
      <c r="R112" s="425">
        <f>IFERROR(Q112/$Q$166,0)</f>
      </c>
      <c r="S112" s="371">
        <f ca="1">IF($AL$5&lt;=1,0,SUM(OFFSET('rincian '!#REF!,0,0,1,$AL$5-1)))</f>
      </c>
      <c r="T112" s="425">
        <f ca="1">IFERROR(S112/N112*R112,0)</f>
      </c>
      <c r="U112" s="372" cm="1">
        <f t="array" ref="U112">IFERROR(INDEX('rincian '!#REF!,$AL$5),0)</f>
      </c>
      <c r="V112" s="425">
        <f>IFERROR(U112/N112*R112,0)</f>
      </c>
      <c r="W112" s="244">
        <f t="shared" ca="1" si="25"/>
      </c>
      <c r="X112" s="202">
        <f t="shared" ca="1" si="25"/>
      </c>
      <c r="AL112" s="460"/>
      <c r="AM112" s="460"/>
      <c r="AN112" s="460"/>
      <c r="AO112" s="460"/>
      <c r="AP112" s="460"/>
      <c r="AQ112" s="460"/>
    </row>
    <row r="113" spans="2:43" s="105" customFormat="1" ht="27" customHeight="1">
      <c r="B113" s="370">
        <f>#REF!</f>
      </c>
      <c r="C113" s="232"/>
      <c r="D113" s="164">
        <f>IF(#REF!&lt;&gt;"",#REF!,IF(#REF!&lt;&gt;"",#REF!,""))</f>
      </c>
      <c r="E113" s="235"/>
      <c r="F113" s="236"/>
      <c r="G113" s="236"/>
      <c r="H113" s="237"/>
      <c r="I113" s="238"/>
      <c r="J113" s="239"/>
      <c r="K113" s="240"/>
      <c r="L113" s="241"/>
      <c r="M113" s="242"/>
      <c r="N113" s="167">
        <f>#REF!</f>
      </c>
      <c r="O113" s="167">
        <f>#REF!</f>
      </c>
      <c r="P113" s="260">
        <f>#REF!</f>
      </c>
      <c r="Q113" s="168">
        <f>P113*N113</f>
      </c>
      <c r="R113" s="425">
        <f>IFERROR(Q113/$Q$166,0)</f>
      </c>
      <c r="S113" s="371">
        <f ca="1">IF($AL$5&lt;=1,0,SUM(OFFSET('rincian '!#REF!,0,0,1,$AL$5-1)))</f>
      </c>
      <c r="T113" s="425">
        <f ca="1">IFERROR(S113/N113*R113,0)</f>
      </c>
      <c r="U113" s="372" cm="1">
        <f t="array" ref="U113">IFERROR(INDEX('rincian '!#REF!,$AL$5),0)</f>
      </c>
      <c r="V113" s="425">
        <f>IFERROR(U113/N113*R113,0)</f>
      </c>
      <c r="W113" s="244">
        <f t="shared" ca="1" si="25"/>
      </c>
      <c r="X113" s="202">
        <f t="shared" ca="1" si="25"/>
      </c>
      <c r="AL113" s="460"/>
      <c r="AM113" s="460"/>
      <c r="AN113" s="460"/>
      <c r="AO113" s="460"/>
      <c r="AP113" s="460"/>
      <c r="AQ113" s="460"/>
    </row>
    <row r="114" spans="2:43" s="105" customFormat="1" ht="27" customHeight="1">
      <c r="B114" s="370">
        <f>#REF!</f>
      </c>
      <c r="C114" s="232"/>
      <c r="D114" s="164">
        <f>IF(#REF!&lt;&gt;"",#REF!,IF(#REF!&lt;&gt;"",#REF!,""))</f>
      </c>
      <c r="E114" s="235"/>
      <c r="F114" s="236"/>
      <c r="G114" s="236"/>
      <c r="H114" s="237"/>
      <c r="I114" s="238"/>
      <c r="J114" s="239"/>
      <c r="K114" s="240"/>
      <c r="L114" s="241"/>
      <c r="M114" s="242"/>
      <c r="N114" s="167">
        <f>#REF!</f>
      </c>
      <c r="O114" s="167">
        <f>#REF!</f>
      </c>
      <c r="P114" s="260">
        <f>#REF!</f>
      </c>
      <c r="Q114" s="168">
        <f>P114*N114</f>
      </c>
      <c r="R114" s="425">
        <f>IFERROR(Q114/$Q$166,0)</f>
      </c>
      <c r="S114" s="371">
        <f ca="1">IF($AL$5&lt;=1,0,SUM(OFFSET('rincian '!#REF!,0,0,1,$AL$5-1)))</f>
      </c>
      <c r="T114" s="425">
        <f ca="1">IFERROR(S114/N114*R114,0)</f>
      </c>
      <c r="U114" s="372" cm="1">
        <f t="array" ref="U114">IFERROR(INDEX('rincian '!#REF!,$AL$5),0)</f>
      </c>
      <c r="V114" s="425">
        <f>IFERROR(U114/N114*R114,0)</f>
      </c>
      <c r="W114" s="244">
        <f t="shared" ca="1" si="25"/>
      </c>
      <c r="X114" s="202">
        <f t="shared" ca="1" si="25"/>
      </c>
      <c r="AL114" s="460"/>
      <c r="AM114" s="460"/>
      <c r="AN114" s="460"/>
      <c r="AO114" s="460"/>
      <c r="AP114" s="460"/>
      <c r="AQ114" s="460"/>
    </row>
    <row r="115" spans="2:43" s="105" customFormat="1" ht="27" customHeight="1">
      <c r="B115" s="401">
        <f>#REF!</f>
      </c>
      <c r="C115" s="373"/>
      <c r="D115" s="374">
        <f>IF(#REF!&lt;&gt;"",#REF!,IF(#REF!&lt;&gt;"",#REF!,""))</f>
      </c>
      <c r="E115" s="375"/>
      <c r="F115" s="376"/>
      <c r="G115" s="376"/>
      <c r="H115" s="377"/>
      <c r="I115" s="378"/>
      <c r="J115" s="379"/>
      <c r="K115" s="380"/>
      <c r="L115" s="381"/>
      <c r="M115" s="382"/>
      <c r="N115" s="167"/>
      <c r="O115" s="167"/>
      <c r="P115" s="260"/>
      <c r="Q115" s="168"/>
      <c r="R115" s="425"/>
      <c r="S115" s="371"/>
      <c r="T115" s="425"/>
      <c r="U115" s="372"/>
      <c r="V115" s="425"/>
      <c r="W115" s="244"/>
      <c r="X115" s="202"/>
      <c r="AL115" s="460"/>
      <c r="AM115" s="460"/>
      <c r="AN115" s="460"/>
      <c r="AO115" s="460"/>
      <c r="AP115" s="460"/>
      <c r="AQ115" s="460"/>
    </row>
    <row r="116" spans="2:43" s="105" customFormat="1" ht="27" customHeight="1">
      <c r="B116" s="370">
        <f>#REF!</f>
      </c>
      <c r="C116" s="232"/>
      <c r="D116" s="164">
        <f>IF(#REF!&lt;&gt;"",#REF!,IF(#REF!&lt;&gt;"",#REF!,""))</f>
      </c>
      <c r="E116" s="235"/>
      <c r="F116" s="236"/>
      <c r="G116" s="236"/>
      <c r="H116" s="237"/>
      <c r="I116" s="238"/>
      <c r="J116" s="239"/>
      <c r="K116" s="240"/>
      <c r="L116" s="241"/>
      <c r="M116" s="242"/>
      <c r="N116" s="167">
        <f>#REF!</f>
      </c>
      <c r="O116" s="167">
        <f>#REF!</f>
      </c>
      <c r="P116" s="260">
        <f>#REF!</f>
      </c>
      <c r="Q116" s="168">
        <f>P116*N116</f>
      </c>
      <c r="R116" s="425">
        <f>IFERROR(Q116/$Q$166,0)</f>
      </c>
      <c r="S116" s="371">
        <f ca="1">IF($AL$5&lt;=1,0,SUM(OFFSET('rincian '!#REF!,0,0,1,$AL$5-1)))</f>
      </c>
      <c r="T116" s="425">
        <f ca="1">IFERROR(S116/N116*R116,0)</f>
      </c>
      <c r="U116" s="372" cm="1">
        <f t="array" ref="U116">IFERROR(INDEX('rincian '!#REF!,$AL$5),0)</f>
      </c>
      <c r="V116" s="425">
        <f>IFERROR(U116/N116*R116,0)</f>
      </c>
      <c r="W116" s="244">
        <f ca="1">S116+U116</f>
      </c>
      <c r="X116" s="202">
        <f ca="1">T116+V116</f>
      </c>
      <c r="AL116" s="460"/>
      <c r="AM116" s="460"/>
      <c r="AN116" s="460"/>
      <c r="AO116" s="460"/>
      <c r="AP116" s="460"/>
      <c r="AQ116" s="460"/>
    </row>
    <row r="117" spans="2:43" s="105" customFormat="1" ht="27" customHeight="1">
      <c r="B117" s="370">
        <f>#REF!</f>
      </c>
      <c r="C117" s="232"/>
      <c r="D117" s="164">
        <f>IF(#REF!&lt;&gt;"",#REF!,IF(#REF!&lt;&gt;"",#REF!,""))</f>
      </c>
      <c r="E117" s="235"/>
      <c r="F117" s="236"/>
      <c r="G117" s="236"/>
      <c r="H117" s="237"/>
      <c r="I117" s="238"/>
      <c r="J117" s="239"/>
      <c r="K117" s="240"/>
      <c r="L117" s="241"/>
      <c r="M117" s="242"/>
      <c r="N117" s="167">
        <f>#REF!</f>
      </c>
      <c r="O117" s="167">
        <f>#REF!</f>
      </c>
      <c r="P117" s="260">
        <f>#REF!</f>
      </c>
      <c r="Q117" s="168">
        <f>P117*N117</f>
      </c>
      <c r="R117" s="425">
        <f>IFERROR(Q117/$Q$166,0)</f>
      </c>
      <c r="S117" s="371">
        <f ca="1">IF($AL$5&lt;=1,0,SUM(OFFSET('rincian '!#REF!,0,0,1,$AL$5-1)))</f>
      </c>
      <c r="T117" s="425">
        <f ca="1">IFERROR(S117/N117*R117,0)</f>
      </c>
      <c r="U117" s="372" cm="1">
        <f t="array" ref="U117">IFERROR(INDEX('rincian '!#REF!,$AL$5),0)</f>
      </c>
      <c r="V117" s="425">
        <f>IFERROR(U117/N117*R117,0)</f>
      </c>
      <c r="W117" s="244">
        <f ca="1">S117+U117</f>
      </c>
      <c r="X117" s="202">
        <f ca="1">T117+V117</f>
      </c>
      <c r="AL117" s="460"/>
      <c r="AM117" s="460"/>
      <c r="AN117" s="460"/>
      <c r="AO117" s="460"/>
      <c r="AP117" s="460"/>
      <c r="AQ117" s="460"/>
    </row>
    <row r="118" spans="2:43" s="105" customFormat="1" ht="27" customHeight="1">
      <c r="B118" s="401">
        <f>#REF!</f>
      </c>
      <c r="C118" s="373"/>
      <c r="D118" s="374">
        <f>IF(#REF!&lt;&gt;"",#REF!,IF(#REF!&lt;&gt;"",#REF!,""))</f>
      </c>
      <c r="E118" s="375"/>
      <c r="F118" s="376"/>
      <c r="G118" s="376"/>
      <c r="H118" s="377"/>
      <c r="I118" s="378"/>
      <c r="J118" s="379"/>
      <c r="K118" s="380"/>
      <c r="L118" s="381"/>
      <c r="M118" s="382"/>
      <c r="N118" s="167"/>
      <c r="O118" s="167"/>
      <c r="P118" s="260"/>
      <c r="Q118" s="168"/>
      <c r="R118" s="425"/>
      <c r="S118" s="371"/>
      <c r="T118" s="425"/>
      <c r="U118" s="372"/>
      <c r="V118" s="425"/>
      <c r="W118" s="244"/>
      <c r="X118" s="202"/>
      <c r="AL118" s="460"/>
      <c r="AM118" s="460"/>
      <c r="AN118" s="460"/>
      <c r="AO118" s="460"/>
      <c r="AP118" s="460"/>
      <c r="AQ118" s="460"/>
    </row>
    <row r="119" spans="2:43" s="105" customFormat="1" ht="27" customHeight="1">
      <c r="B119" s="370">
        <f>#REF!</f>
      </c>
      <c r="C119" s="232"/>
      <c r="D119" s="164">
        <f>IF(#REF!&lt;&gt;"",#REF!,IF(#REF!&lt;&gt;"",#REF!,""))</f>
      </c>
      <c r="E119" s="235"/>
      <c r="F119" s="236"/>
      <c r="G119" s="236"/>
      <c r="H119" s="237"/>
      <c r="I119" s="238"/>
      <c r="J119" s="239"/>
      <c r="K119" s="240"/>
      <c r="L119" s="241"/>
      <c r="M119" s="242"/>
      <c r="N119" s="167">
        <f>#REF!</f>
      </c>
      <c r="O119" s="167">
        <f>#REF!</f>
      </c>
      <c r="P119" s="260">
        <f>#REF!</f>
      </c>
      <c r="Q119" s="168">
        <f>P119*N119</f>
      </c>
      <c r="R119" s="425">
        <f>IFERROR(Q119/$Q$166,0)</f>
      </c>
      <c r="S119" s="371">
        <f ca="1">IF($AL$5&lt;=1,0,SUM(OFFSET('rincian '!#REF!,0,0,1,$AL$5-1)))</f>
      </c>
      <c r="T119" s="425">
        <f ca="1">IFERROR(S119/N119*R119,0)</f>
      </c>
      <c r="U119" s="372" cm="1">
        <f t="array" ref="U119">IFERROR(INDEX('rincian '!#REF!,$AL$5),0)</f>
      </c>
      <c r="V119" s="425">
        <f>IFERROR(U119/N119*R119,0)</f>
      </c>
      <c r="W119" s="244">
        <f t="shared" ref="W119:X123" ca="1" si="26">S119+U119</f>
      </c>
      <c r="X119" s="202">
        <f t="shared" ca="1" si="26"/>
      </c>
      <c r="AL119" s="460"/>
      <c r="AM119" s="460"/>
      <c r="AN119" s="460"/>
      <c r="AO119" s="460"/>
      <c r="AP119" s="460"/>
      <c r="AQ119" s="460"/>
    </row>
    <row r="120" spans="2:43" s="105" customFormat="1" ht="27" customHeight="1">
      <c r="B120" s="370">
        <f>#REF!</f>
      </c>
      <c r="C120" s="232"/>
      <c r="D120" s="164">
        <f>IF(#REF!&lt;&gt;"",#REF!,IF(#REF!&lt;&gt;"",#REF!,""))</f>
      </c>
      <c r="E120" s="235"/>
      <c r="F120" s="236"/>
      <c r="G120" s="236"/>
      <c r="H120" s="237"/>
      <c r="I120" s="238"/>
      <c r="J120" s="239"/>
      <c r="K120" s="240"/>
      <c r="L120" s="241"/>
      <c r="M120" s="242"/>
      <c r="N120" s="167">
        <f>#REF!</f>
      </c>
      <c r="O120" s="167">
        <f>#REF!</f>
      </c>
      <c r="P120" s="260">
        <f>#REF!</f>
      </c>
      <c r="Q120" s="168">
        <f>P120*N120</f>
      </c>
      <c r="R120" s="425">
        <f>IFERROR(Q120/$Q$166,0)</f>
      </c>
      <c r="S120" s="371">
        <f ca="1">IF($AL$5&lt;=1,0,SUM(OFFSET('rincian '!#REF!,0,0,1,$AL$5-1)))</f>
      </c>
      <c r="T120" s="425">
        <f ca="1">IFERROR(S120/N120*R120,0)</f>
      </c>
      <c r="U120" s="372" cm="1">
        <f t="array" ref="U120">IFERROR(INDEX('rincian '!#REF!,$AL$5),0)</f>
      </c>
      <c r="V120" s="425">
        <f>IFERROR(U120/N120*R120,0)</f>
      </c>
      <c r="W120" s="244">
        <f t="shared" ca="1" si="26"/>
      </c>
      <c r="X120" s="202">
        <f t="shared" ca="1" si="26"/>
      </c>
      <c r="AL120" s="460"/>
      <c r="AM120" s="460"/>
      <c r="AN120" s="460"/>
      <c r="AO120" s="460"/>
      <c r="AP120" s="460"/>
      <c r="AQ120" s="460"/>
    </row>
    <row r="121" spans="2:43" s="105" customFormat="1" ht="27" customHeight="1">
      <c r="B121" s="370">
        <f>#REF!</f>
      </c>
      <c r="C121" s="232"/>
      <c r="D121" s="164">
        <f>IF(#REF!&lt;&gt;"",#REF!,IF(#REF!&lt;&gt;"",#REF!,""))</f>
      </c>
      <c r="E121" s="235"/>
      <c r="F121" s="236"/>
      <c r="G121" s="236"/>
      <c r="H121" s="237"/>
      <c r="I121" s="238"/>
      <c r="J121" s="239"/>
      <c r="K121" s="240"/>
      <c r="L121" s="241"/>
      <c r="M121" s="242"/>
      <c r="N121" s="167">
        <f>#REF!</f>
      </c>
      <c r="O121" s="167">
        <f>#REF!</f>
      </c>
      <c r="P121" s="260">
        <f>#REF!</f>
      </c>
      <c r="Q121" s="168">
        <f>P121*N121</f>
      </c>
      <c r="R121" s="425">
        <f>IFERROR(Q121/$Q$166,0)</f>
      </c>
      <c r="S121" s="371">
        <f ca="1">IF($AL$5&lt;=1,0,SUM(OFFSET('rincian '!#REF!,0,0,1,$AL$5-1)))</f>
      </c>
      <c r="T121" s="425">
        <f ca="1">IFERROR(S121/N121*R121,0)</f>
      </c>
      <c r="U121" s="372" cm="1">
        <f t="array" ref="U121">IFERROR(INDEX('rincian '!#REF!,$AL$5),0)</f>
      </c>
      <c r="V121" s="425">
        <f>IFERROR(U121/N121*R121,0)</f>
      </c>
      <c r="W121" s="244">
        <f t="shared" ca="1" si="26"/>
      </c>
      <c r="X121" s="202">
        <f t="shared" ca="1" si="26"/>
      </c>
      <c r="AL121" s="460"/>
      <c r="AM121" s="460"/>
      <c r="AN121" s="460"/>
      <c r="AO121" s="460"/>
      <c r="AP121" s="460"/>
      <c r="AQ121" s="460"/>
    </row>
    <row r="122" spans="2:43" s="105" customFormat="1" ht="27" customHeight="1">
      <c r="B122" s="370">
        <f>#REF!</f>
      </c>
      <c r="C122" s="232"/>
      <c r="D122" s="164">
        <f>IF(#REF!&lt;&gt;"",#REF!,IF(#REF!&lt;&gt;"",#REF!,""))</f>
      </c>
      <c r="E122" s="235"/>
      <c r="F122" s="236"/>
      <c r="G122" s="236"/>
      <c r="H122" s="237"/>
      <c r="I122" s="238"/>
      <c r="J122" s="239"/>
      <c r="K122" s="240"/>
      <c r="L122" s="241"/>
      <c r="M122" s="242"/>
      <c r="N122" s="167">
        <f>#REF!</f>
      </c>
      <c r="O122" s="167">
        <f>#REF!</f>
      </c>
      <c r="P122" s="260">
        <f>#REF!</f>
      </c>
      <c r="Q122" s="168">
        <f>P122*N122</f>
      </c>
      <c r="R122" s="425">
        <f>IFERROR(Q122/$Q$166,0)</f>
      </c>
      <c r="S122" s="371">
        <f ca="1">IF($AL$5&lt;=1,0,SUM(OFFSET('rincian '!#REF!,0,0,1,$AL$5-1)))</f>
      </c>
      <c r="T122" s="425">
        <f ca="1">IFERROR(S122/N122*R122,0)</f>
      </c>
      <c r="U122" s="372" cm="1">
        <f t="array" ref="U122">IFERROR(INDEX('rincian '!#REF!,$AL$5),0)</f>
      </c>
      <c r="V122" s="425">
        <f>IFERROR(U122/N122*R122,0)</f>
      </c>
      <c r="W122" s="244">
        <f t="shared" ca="1" si="26"/>
      </c>
      <c r="X122" s="202">
        <f t="shared" ca="1" si="26"/>
      </c>
      <c r="AL122" s="460"/>
      <c r="AM122" s="460"/>
      <c r="AN122" s="460"/>
      <c r="AO122" s="460"/>
      <c r="AP122" s="460"/>
      <c r="AQ122" s="460"/>
    </row>
    <row r="123" spans="2:43" s="105" customFormat="1" ht="27" customHeight="1">
      <c r="B123" s="370">
        <f>#REF!</f>
      </c>
      <c r="C123" s="232"/>
      <c r="D123" s="164">
        <f>IF(#REF!&lt;&gt;"",#REF!,IF(#REF!&lt;&gt;"",#REF!,""))</f>
      </c>
      <c r="E123" s="235"/>
      <c r="F123" s="236"/>
      <c r="G123" s="236"/>
      <c r="H123" s="237"/>
      <c r="I123" s="238"/>
      <c r="J123" s="239"/>
      <c r="K123" s="240"/>
      <c r="L123" s="241"/>
      <c r="M123" s="242"/>
      <c r="N123" s="167">
        <f>#REF!</f>
      </c>
      <c r="O123" s="167">
        <f>#REF!</f>
      </c>
      <c r="P123" s="260">
        <f>#REF!</f>
      </c>
      <c r="Q123" s="168">
        <f>P123*N123</f>
      </c>
      <c r="R123" s="425">
        <f>IFERROR(Q123/$Q$166,0)</f>
      </c>
      <c r="S123" s="371">
        <f ca="1">IF($AL$5&lt;=1,0,SUM(OFFSET('rincian '!#REF!,0,0,1,$AL$5-1)))</f>
      </c>
      <c r="T123" s="425">
        <f ca="1">IFERROR(S123/N123*R123,0)</f>
      </c>
      <c r="U123" s="372" cm="1">
        <f t="array" ref="U123">IFERROR(INDEX('rincian '!#REF!,$AL$5),0)</f>
      </c>
      <c r="V123" s="425">
        <f>IFERROR(U123/N123*R123,0)</f>
      </c>
      <c r="W123" s="244">
        <f t="shared" ca="1" si="26"/>
      </c>
      <c r="X123" s="202">
        <f t="shared" ca="1" si="26"/>
      </c>
      <c r="AL123" s="460"/>
      <c r="AM123" s="460"/>
      <c r="AN123" s="460"/>
      <c r="AO123" s="460"/>
      <c r="AP123" s="460"/>
      <c r="AQ123" s="460"/>
    </row>
    <row r="124" spans="2:43" s="105" customFormat="1" ht="27" customHeight="1">
      <c r="B124" s="401">
        <f>#REF!</f>
      </c>
      <c r="C124" s="373"/>
      <c r="D124" s="374">
        <f>IF(#REF!&lt;&gt;"",#REF!,IF(#REF!&lt;&gt;"",#REF!,""))</f>
      </c>
      <c r="E124" s="375"/>
      <c r="F124" s="376"/>
      <c r="G124" s="376"/>
      <c r="H124" s="377"/>
      <c r="I124" s="378"/>
      <c r="J124" s="379"/>
      <c r="K124" s="380"/>
      <c r="L124" s="381"/>
      <c r="M124" s="382"/>
      <c r="N124" s="167"/>
      <c r="O124" s="167"/>
      <c r="P124" s="260"/>
      <c r="Q124" s="168"/>
      <c r="R124" s="425"/>
      <c r="S124" s="371"/>
      <c r="T124" s="425"/>
      <c r="U124" s="372"/>
      <c r="V124" s="425"/>
      <c r="W124" s="244"/>
      <c r="X124" s="202"/>
      <c r="AL124" s="460"/>
      <c r="AM124" s="460"/>
      <c r="AN124" s="460"/>
      <c r="AO124" s="460"/>
      <c r="AP124" s="460"/>
      <c r="AQ124" s="460"/>
    </row>
    <row r="125" spans="2:43" s="105" customFormat="1" ht="27" customHeight="1">
      <c r="B125" s="370">
        <f>#REF!</f>
      </c>
      <c r="C125" s="232"/>
      <c r="D125" s="164">
        <f>IF(#REF!&lt;&gt;"",#REF!,IF(#REF!&lt;&gt;"",#REF!,""))</f>
      </c>
      <c r="E125" s="235"/>
      <c r="F125" s="236"/>
      <c r="G125" s="236"/>
      <c r="H125" s="237"/>
      <c r="I125" s="238"/>
      <c r="J125" s="239"/>
      <c r="K125" s="240"/>
      <c r="L125" s="241"/>
      <c r="M125" s="242"/>
      <c r="N125" s="167">
        <f>#REF!</f>
      </c>
      <c r="O125" s="167">
        <f>#REF!</f>
      </c>
      <c r="P125" s="260">
        <f>#REF!</f>
      </c>
      <c r="Q125" s="168">
        <f>P125*N125</f>
      </c>
      <c r="R125" s="425">
        <f>IFERROR(Q125/$Q$166,0)</f>
      </c>
      <c r="S125" s="371">
        <f ca="1">IF($AL$5&lt;=1,0,SUM(OFFSET('rincian '!#REF!,0,0,1,$AL$5-1)))</f>
      </c>
      <c r="T125" s="425">
        <f ca="1">IFERROR(S125/N125*R125,0)</f>
      </c>
      <c r="U125" s="372" cm="1">
        <f t="array" ref="U125">IFERROR(INDEX('rincian '!#REF!,$AL$5),0)</f>
      </c>
      <c r="V125" s="425">
        <f>IFERROR(U125/N125*R125,0)</f>
      </c>
      <c r="W125" s="244">
        <f ca="1">S125+U125</f>
      </c>
      <c r="X125" s="202">
        <f ca="1">T125+V125</f>
      </c>
      <c r="AL125" s="460"/>
      <c r="AM125" s="460"/>
      <c r="AN125" s="460"/>
      <c r="AO125" s="460"/>
      <c r="AP125" s="460"/>
      <c r="AQ125" s="460"/>
    </row>
    <row r="126" spans="2:43" s="105" customFormat="1" ht="27" customHeight="1">
      <c r="B126" s="370">
        <f>#REF!</f>
      </c>
      <c r="C126" s="232"/>
      <c r="D126" s="164">
        <f>IF(#REF!&lt;&gt;"",#REF!,IF(#REF!&lt;&gt;"",#REF!,""))</f>
      </c>
      <c r="E126" s="235"/>
      <c r="F126" s="236"/>
      <c r="G126" s="236"/>
      <c r="H126" s="237"/>
      <c r="I126" s="238"/>
      <c r="J126" s="239"/>
      <c r="K126" s="240"/>
      <c r="L126" s="241"/>
      <c r="M126" s="242"/>
      <c r="N126" s="167">
        <f>#REF!</f>
      </c>
      <c r="O126" s="167">
        <f>#REF!</f>
      </c>
      <c r="P126" s="260">
        <f>#REF!</f>
      </c>
      <c r="Q126" s="168">
        <f>P126*N126</f>
      </c>
      <c r="R126" s="425">
        <f>IFERROR(Q126/$Q$166,0)</f>
      </c>
      <c r="S126" s="371">
        <f ca="1">IF($AL$5&lt;=1,0,SUM(OFFSET('rincian '!#REF!,0,0,1,$AL$5-1)))</f>
      </c>
      <c r="T126" s="425">
        <f ca="1">IFERROR(S126/N126*R126,0)</f>
      </c>
      <c r="U126" s="372" cm="1">
        <f t="array" ref="U126">IFERROR(INDEX('rincian '!#REF!,$AL$5),0)</f>
      </c>
      <c r="V126" s="425">
        <f>IFERROR(U126/N126*R126,0)</f>
      </c>
      <c r="W126" s="244">
        <f ca="1">S126+U126</f>
      </c>
      <c r="X126" s="202">
        <f ca="1">T126+V126</f>
      </c>
      <c r="AL126" s="460"/>
      <c r="AM126" s="460"/>
      <c r="AN126" s="460"/>
      <c r="AO126" s="460"/>
      <c r="AP126" s="460"/>
      <c r="AQ126" s="460"/>
    </row>
    <row r="127" spans="2:43" s="105" customFormat="1" ht="27" customHeight="1">
      <c r="B127" s="401">
        <f>#REF!</f>
      </c>
      <c r="C127" s="373"/>
      <c r="D127" s="374">
        <f>IF(#REF!&lt;&gt;"",#REF!,IF(#REF!&lt;&gt;"",#REF!,""))</f>
      </c>
      <c r="E127" s="375"/>
      <c r="F127" s="376"/>
      <c r="G127" s="376"/>
      <c r="H127" s="377"/>
      <c r="I127" s="378"/>
      <c r="J127" s="379"/>
      <c r="K127" s="380"/>
      <c r="L127" s="381"/>
      <c r="M127" s="382"/>
      <c r="N127" s="167"/>
      <c r="O127" s="167"/>
      <c r="P127" s="260"/>
      <c r="Q127" s="168"/>
      <c r="R127" s="425"/>
      <c r="S127" s="371"/>
      <c r="T127" s="425"/>
      <c r="U127" s="372"/>
      <c r="V127" s="425"/>
      <c r="W127" s="244"/>
      <c r="X127" s="202"/>
      <c r="AL127" s="460"/>
      <c r="AM127" s="460"/>
      <c r="AN127" s="460"/>
      <c r="AO127" s="460"/>
      <c r="AP127" s="460"/>
      <c r="AQ127" s="460"/>
    </row>
    <row r="128" spans="2:43" s="105" customFormat="1" ht="27" customHeight="1">
      <c r="B128" s="370">
        <f>#REF!</f>
      </c>
      <c r="C128" s="232"/>
      <c r="D128" s="164">
        <f>IF(#REF!&lt;&gt;"",#REF!,IF(#REF!&lt;&gt;"",#REF!,""))</f>
      </c>
      <c r="E128" s="235"/>
      <c r="F128" s="236"/>
      <c r="G128" s="236"/>
      <c r="H128" s="237"/>
      <c r="I128" s="238"/>
      <c r="J128" s="239"/>
      <c r="K128" s="240"/>
      <c r="L128" s="241"/>
      <c r="M128" s="242"/>
      <c r="N128" s="167">
        <f>#REF!</f>
      </c>
      <c r="O128" s="167">
        <f>#REF!</f>
      </c>
      <c r="P128" s="260">
        <f>#REF!</f>
      </c>
      <c r="Q128" s="168">
        <f>P128*N128</f>
      </c>
      <c r="R128" s="425">
        <f>IFERROR(Q128/$Q$166,0)</f>
      </c>
      <c r="S128" s="371">
        <f ca="1">IF($AL$5&lt;=1,0,SUM(OFFSET('rincian '!#REF!,0,0,1,$AL$5-1)))</f>
      </c>
      <c r="T128" s="425">
        <f ca="1">IFERROR(S128/N128*R128,0)</f>
      </c>
      <c r="U128" s="372" cm="1">
        <f t="array" ref="U128">IFERROR(INDEX('rincian '!#REF!,$AL$5),0)</f>
      </c>
      <c r="V128" s="425">
        <f>IFERROR(U128/N128*R128,0)</f>
      </c>
      <c r="W128" s="244">
        <f t="shared" ref="W128:X130" ca="1" si="27">S128+U128</f>
      </c>
      <c r="X128" s="202">
        <f t="shared" ca="1" si="27"/>
      </c>
      <c r="AL128" s="460"/>
      <c r="AM128" s="460"/>
      <c r="AN128" s="460"/>
      <c r="AO128" s="460"/>
      <c r="AP128" s="460"/>
      <c r="AQ128" s="460"/>
    </row>
    <row r="129" spans="2:43" s="105" customFormat="1" ht="27" customHeight="1">
      <c r="B129" s="370">
        <f>#REF!</f>
      </c>
      <c r="C129" s="232"/>
      <c r="D129" s="164">
        <f>IF(#REF!&lt;&gt;"",#REF!,IF(#REF!&lt;&gt;"",#REF!,""))</f>
      </c>
      <c r="E129" s="235"/>
      <c r="F129" s="236"/>
      <c r="G129" s="236"/>
      <c r="H129" s="237"/>
      <c r="I129" s="238"/>
      <c r="J129" s="239"/>
      <c r="K129" s="240"/>
      <c r="L129" s="241"/>
      <c r="M129" s="242"/>
      <c r="N129" s="167">
        <f>#REF!</f>
      </c>
      <c r="O129" s="167">
        <f>#REF!</f>
      </c>
      <c r="P129" s="260">
        <f>#REF!</f>
      </c>
      <c r="Q129" s="168">
        <f>P129*N129</f>
      </c>
      <c r="R129" s="425">
        <f>IFERROR(Q129/$Q$166,0)</f>
      </c>
      <c r="S129" s="371">
        <f ca="1">IF($AL$5&lt;=1,0,SUM(OFFSET('rincian '!#REF!,0,0,1,$AL$5-1)))</f>
      </c>
      <c r="T129" s="425">
        <f ca="1">IFERROR(S129/N129*R129,0)</f>
      </c>
      <c r="U129" s="372" cm="1">
        <f t="array" ref="U129">IFERROR(INDEX('rincian '!#REF!,$AL$5),0)</f>
      </c>
      <c r="V129" s="425">
        <f>IFERROR(U129/N129*R129,0)</f>
      </c>
      <c r="W129" s="244">
        <f t="shared" ca="1" si="27"/>
      </c>
      <c r="X129" s="202">
        <f t="shared" ca="1" si="27"/>
      </c>
      <c r="AL129" s="460"/>
      <c r="AM129" s="460"/>
      <c r="AN129" s="460"/>
      <c r="AO129" s="460"/>
      <c r="AP129" s="460"/>
      <c r="AQ129" s="460"/>
    </row>
    <row r="130" spans="2:43" s="105" customFormat="1" ht="27" customHeight="1">
      <c r="B130" s="370">
        <f>#REF!</f>
      </c>
      <c r="C130" s="232"/>
      <c r="D130" s="164">
        <f>IF(#REF!&lt;&gt;"",#REF!,IF(#REF!&lt;&gt;"",#REF!,""))</f>
      </c>
      <c r="E130" s="235"/>
      <c r="F130" s="236"/>
      <c r="G130" s="236"/>
      <c r="H130" s="237"/>
      <c r="I130" s="238"/>
      <c r="J130" s="239"/>
      <c r="K130" s="240"/>
      <c r="L130" s="241"/>
      <c r="M130" s="242"/>
      <c r="N130" s="167">
        <f>#REF!</f>
      </c>
      <c r="O130" s="167">
        <f>#REF!</f>
      </c>
      <c r="P130" s="260">
        <f>#REF!</f>
      </c>
      <c r="Q130" s="168">
        <f>P130*N130</f>
      </c>
      <c r="R130" s="425">
        <f>IFERROR(Q130/$Q$166,0)</f>
      </c>
      <c r="S130" s="371">
        <f ca="1">IF($AL$5&lt;=1,0,SUM(OFFSET('rincian '!#REF!,0,0,1,$AL$5-1)))</f>
      </c>
      <c r="T130" s="425">
        <f ca="1">IFERROR(S130/N130*R130,0)</f>
      </c>
      <c r="U130" s="372" cm="1">
        <f t="array" ref="U130">IFERROR(INDEX('rincian '!#REF!,$AL$5),0)</f>
      </c>
      <c r="V130" s="425">
        <f>IFERROR(U130/N130*R130,0)</f>
      </c>
      <c r="W130" s="244">
        <f t="shared" ca="1" si="27"/>
      </c>
      <c r="X130" s="202">
        <f t="shared" ca="1" si="27"/>
      </c>
      <c r="AL130" s="460"/>
      <c r="AM130" s="460"/>
      <c r="AN130" s="460"/>
      <c r="AO130" s="460"/>
      <c r="AP130" s="460"/>
      <c r="AQ130" s="460"/>
    </row>
    <row r="131" spans="2:43" s="105" customFormat="1" ht="27" customHeight="1">
      <c r="B131" s="401">
        <f>#REF!</f>
      </c>
      <c r="C131" s="373"/>
      <c r="D131" s="374">
        <f>IF(#REF!&lt;&gt;"",#REF!,IF(#REF!&lt;&gt;"",#REF!,""))</f>
      </c>
      <c r="E131" s="375"/>
      <c r="F131" s="376"/>
      <c r="G131" s="376"/>
      <c r="H131" s="377"/>
      <c r="I131" s="378"/>
      <c r="J131" s="379"/>
      <c r="K131" s="380"/>
      <c r="L131" s="381"/>
      <c r="M131" s="382"/>
      <c r="N131" s="167"/>
      <c r="O131" s="167"/>
      <c r="P131" s="260"/>
      <c r="Q131" s="168"/>
      <c r="R131" s="425"/>
      <c r="S131" s="371"/>
      <c r="T131" s="425"/>
      <c r="U131" s="372"/>
      <c r="V131" s="425"/>
      <c r="W131" s="244"/>
      <c r="X131" s="202"/>
      <c r="AL131" s="460"/>
      <c r="AM131" s="460"/>
      <c r="AN131" s="460"/>
      <c r="AO131" s="460"/>
      <c r="AP131" s="460"/>
      <c r="AQ131" s="460"/>
    </row>
    <row r="132" spans="2:43" s="105" customFormat="1" ht="27" customHeight="1">
      <c r="B132" s="370">
        <f>#REF!</f>
      </c>
      <c r="C132" s="232"/>
      <c r="D132" s="164">
        <f>IF(#REF!&lt;&gt;"",#REF!,IF(#REF!&lt;&gt;"",#REF!,""))</f>
      </c>
      <c r="E132" s="235"/>
      <c r="F132" s="236"/>
      <c r="G132" s="236"/>
      <c r="H132" s="237"/>
      <c r="I132" s="238"/>
      <c r="J132" s="239"/>
      <c r="K132" s="240"/>
      <c r="L132" s="241"/>
      <c r="M132" s="242"/>
      <c r="N132" s="167">
        <f>#REF!</f>
      </c>
      <c r="O132" s="167">
        <f>#REF!</f>
      </c>
      <c r="P132" s="260">
        <f>#REF!</f>
      </c>
      <c r="Q132" s="168">
        <f>P132*N132</f>
      </c>
      <c r="R132" s="425">
        <f>IFERROR(Q132/$Q$166,0)</f>
      </c>
      <c r="S132" s="371">
        <f ca="1">IF($AL$5&lt;=1,0,SUM(OFFSET('rincian '!#REF!,0,0,1,$AL$5-1)))</f>
      </c>
      <c r="T132" s="425">
        <f ca="1">IFERROR(S132/N132*R132,0)</f>
      </c>
      <c r="U132" s="372" cm="1">
        <f t="array" ref="U132">IFERROR(INDEX('rincian '!#REF!,$AL$5),0)</f>
      </c>
      <c r="V132" s="425">
        <f>IFERROR(U132/N132*R132,0)</f>
      </c>
      <c r="W132" s="244">
        <f ca="1">S132+U132</f>
      </c>
      <c r="X132" s="202">
        <f ca="1">T132+V132</f>
      </c>
      <c r="AL132" s="460"/>
      <c r="AM132" s="460"/>
      <c r="AN132" s="460"/>
      <c r="AO132" s="460"/>
      <c r="AP132" s="460"/>
      <c r="AQ132" s="460"/>
    </row>
    <row r="133" spans="2:43" s="105" customFormat="1" ht="27" customHeight="1">
      <c r="B133" s="370">
        <f>#REF!</f>
      </c>
      <c r="C133" s="232"/>
      <c r="D133" s="164">
        <f>IF(#REF!&lt;&gt;"",#REF!,IF(#REF!&lt;&gt;"",#REF!,""))</f>
      </c>
      <c r="E133" s="235"/>
      <c r="F133" s="236"/>
      <c r="G133" s="236"/>
      <c r="H133" s="237"/>
      <c r="I133" s="238"/>
      <c r="J133" s="239"/>
      <c r="K133" s="240"/>
      <c r="L133" s="241"/>
      <c r="M133" s="242"/>
      <c r="N133" s="167">
        <f>#REF!</f>
      </c>
      <c r="O133" s="167">
        <f>#REF!</f>
      </c>
      <c r="P133" s="260">
        <f>#REF!</f>
      </c>
      <c r="Q133" s="168">
        <f>P133*N133</f>
      </c>
      <c r="R133" s="425">
        <f>IFERROR(Q133/$Q$166,0)</f>
      </c>
      <c r="S133" s="371">
        <f ca="1">IF($AL$5&lt;=1,0,SUM(OFFSET('rincian '!#REF!,0,0,1,$AL$5-1)))</f>
      </c>
      <c r="T133" s="425">
        <f ca="1">IFERROR(S133/N133*R133,0)</f>
      </c>
      <c r="U133" s="372" cm="1">
        <f t="array" ref="U133">IFERROR(INDEX('rincian '!#REF!,$AL$5),0)</f>
      </c>
      <c r="V133" s="425">
        <f>IFERROR(U133/N133*R133,0)</f>
      </c>
      <c r="W133" s="244">
        <f ca="1">S133+U133</f>
      </c>
      <c r="X133" s="202">
        <f ca="1">T133+V133</f>
      </c>
      <c r="AL133" s="460"/>
      <c r="AM133" s="460"/>
      <c r="AN133" s="460"/>
      <c r="AO133" s="460"/>
      <c r="AP133" s="460"/>
      <c r="AQ133" s="460"/>
    </row>
    <row r="134" spans="2:43" s="105" customFormat="1" ht="27" customHeight="1">
      <c r="B134" s="401">
        <f>#REF!</f>
      </c>
      <c r="C134" s="373"/>
      <c r="D134" s="374">
        <f>IF(#REF!&lt;&gt;"",#REF!,IF(#REF!&lt;&gt;"",#REF!,""))</f>
      </c>
      <c r="E134" s="375"/>
      <c r="F134" s="376"/>
      <c r="G134" s="376"/>
      <c r="H134" s="377"/>
      <c r="I134" s="378"/>
      <c r="J134" s="379"/>
      <c r="K134" s="380"/>
      <c r="L134" s="381"/>
      <c r="M134" s="382"/>
      <c r="N134" s="167"/>
      <c r="O134" s="167"/>
      <c r="P134" s="260"/>
      <c r="Q134" s="168"/>
      <c r="R134" s="425"/>
      <c r="S134" s="371"/>
      <c r="T134" s="425"/>
      <c r="U134" s="372"/>
      <c r="V134" s="425"/>
      <c r="W134" s="244"/>
      <c r="X134" s="202"/>
      <c r="AL134" s="460"/>
      <c r="AM134" s="460"/>
      <c r="AN134" s="460"/>
      <c r="AO134" s="460"/>
      <c r="AP134" s="460"/>
      <c r="AQ134" s="460"/>
    </row>
    <row r="135" spans="2:43" s="105" customFormat="1" ht="27" customHeight="1">
      <c r="B135" s="370">
        <f>#REF!</f>
      </c>
      <c r="C135" s="232"/>
      <c r="D135" s="164">
        <f>IF(#REF!&lt;&gt;"",#REF!,IF(#REF!&lt;&gt;"",#REF!,""))</f>
      </c>
      <c r="E135" s="235"/>
      <c r="F135" s="236"/>
      <c r="G135" s="236"/>
      <c r="H135" s="237"/>
      <c r="I135" s="238"/>
      <c r="J135" s="239"/>
      <c r="K135" s="240"/>
      <c r="L135" s="241"/>
      <c r="M135" s="242"/>
      <c r="N135" s="167">
        <f>#REF!</f>
      </c>
      <c r="O135" s="167">
        <f>#REF!</f>
      </c>
      <c r="P135" s="260">
        <f>#REF!</f>
      </c>
      <c r="Q135" s="168">
        <f>P135*N135</f>
      </c>
      <c r="R135" s="425">
        <f>IFERROR(Q135/$Q$166,0)</f>
      </c>
      <c r="S135" s="371">
        <f ca="1">IF($AL$5&lt;=1,0,SUM(OFFSET('rincian '!#REF!,0,0,1,$AL$5-1)))</f>
      </c>
      <c r="T135" s="425">
        <f ca="1">IFERROR(S135/N135*R135,0)</f>
      </c>
      <c r="U135" s="372" cm="1">
        <f t="array" ref="U135">IFERROR(INDEX('rincian '!#REF!,$AL$5),0)</f>
      </c>
      <c r="V135" s="425">
        <f>IFERROR(U135/N135*R135,0)</f>
      </c>
      <c r="W135" s="244">
        <f t="shared" ref="W135:X137" ca="1" si="28">S135+U135</f>
      </c>
      <c r="X135" s="202">
        <f t="shared" ca="1" si="28"/>
      </c>
      <c r="AL135" s="460"/>
      <c r="AM135" s="460"/>
      <c r="AN135" s="460"/>
      <c r="AO135" s="460"/>
      <c r="AP135" s="460"/>
      <c r="AQ135" s="460"/>
    </row>
    <row r="136" spans="2:43" s="105" customFormat="1" ht="27" customHeight="1">
      <c r="B136" s="370">
        <f>#REF!</f>
      </c>
      <c r="C136" s="232"/>
      <c r="D136" s="164">
        <f>IF(#REF!&lt;&gt;"",#REF!,IF(#REF!&lt;&gt;"",#REF!,""))</f>
      </c>
      <c r="E136" s="235"/>
      <c r="F136" s="236"/>
      <c r="G136" s="236"/>
      <c r="H136" s="237"/>
      <c r="I136" s="238"/>
      <c r="J136" s="239"/>
      <c r="K136" s="240"/>
      <c r="L136" s="241"/>
      <c r="M136" s="242"/>
      <c r="N136" s="167">
        <f>#REF!</f>
      </c>
      <c r="O136" s="167">
        <f>#REF!</f>
      </c>
      <c r="P136" s="260">
        <f>#REF!</f>
      </c>
      <c r="Q136" s="168">
        <f>P136*N136</f>
      </c>
      <c r="R136" s="425">
        <f>IFERROR(Q136/$Q$166,0)</f>
      </c>
      <c r="S136" s="371">
        <f ca="1">IF($AL$5&lt;=1,0,SUM(OFFSET('rincian '!#REF!,0,0,1,$AL$5-1)))</f>
      </c>
      <c r="T136" s="425">
        <f ca="1">IFERROR(S136/N136*R136,0)</f>
      </c>
      <c r="U136" s="372" cm="1">
        <f t="array" ref="U136">IFERROR(INDEX('rincian '!#REF!,$AL$5),0)</f>
      </c>
      <c r="V136" s="425">
        <f>IFERROR(U136/N136*R136,0)</f>
      </c>
      <c r="W136" s="244">
        <f t="shared" ca="1" si="28"/>
      </c>
      <c r="X136" s="202">
        <f t="shared" ca="1" si="28"/>
      </c>
      <c r="AL136" s="460"/>
      <c r="AM136" s="460"/>
      <c r="AN136" s="460"/>
      <c r="AO136" s="460"/>
      <c r="AP136" s="460"/>
      <c r="AQ136" s="460"/>
    </row>
    <row r="137" spans="2:43" s="105" customFormat="1" ht="27" customHeight="1">
      <c r="B137" s="370">
        <f>#REF!</f>
      </c>
      <c r="C137" s="232"/>
      <c r="D137" s="164">
        <f>IF(#REF!&lt;&gt;"",#REF!,IF(#REF!&lt;&gt;"",#REF!,""))</f>
      </c>
      <c r="E137" s="235"/>
      <c r="F137" s="236"/>
      <c r="G137" s="236"/>
      <c r="H137" s="237"/>
      <c r="I137" s="238"/>
      <c r="J137" s="239"/>
      <c r="K137" s="240"/>
      <c r="L137" s="241"/>
      <c r="M137" s="242"/>
      <c r="N137" s="167">
        <f>#REF!</f>
      </c>
      <c r="O137" s="167">
        <f>#REF!</f>
      </c>
      <c r="P137" s="260">
        <f>#REF!</f>
      </c>
      <c r="Q137" s="168">
        <f>P137*N137</f>
      </c>
      <c r="R137" s="425">
        <f>IFERROR(Q137/$Q$166,0)</f>
      </c>
      <c r="S137" s="371">
        <f ca="1">IF($AL$5&lt;=1,0,SUM(OFFSET('rincian '!#REF!,0,0,1,$AL$5-1)))</f>
      </c>
      <c r="T137" s="425">
        <f ca="1">IFERROR(S137/N137*R137,0)</f>
      </c>
      <c r="U137" s="372" cm="1">
        <f t="array" ref="U137">IFERROR(INDEX('rincian '!#REF!,$AL$5),0)</f>
      </c>
      <c r="V137" s="425">
        <f>IFERROR(U137/N137*R137,0)</f>
      </c>
      <c r="W137" s="244">
        <f t="shared" ca="1" si="28"/>
      </c>
      <c r="X137" s="202">
        <f t="shared" ca="1" si="28"/>
      </c>
      <c r="AL137" s="460"/>
      <c r="AM137" s="460"/>
      <c r="AN137" s="460"/>
      <c r="AO137" s="460"/>
      <c r="AP137" s="460"/>
      <c r="AQ137" s="460"/>
    </row>
    <row r="138" spans="2:43" s="105" customFormat="1" ht="27" customHeight="1">
      <c r="B138" s="402">
        <f>#REF!</f>
      </c>
      <c r="C138" s="384"/>
      <c r="D138" s="385">
        <f>IF(#REF!&lt;&gt;"",#REF!,IF(#REF!&lt;&gt;"",#REF!,""))</f>
      </c>
      <c r="E138" s="386"/>
      <c r="F138" s="387"/>
      <c r="G138" s="387"/>
      <c r="H138" s="388"/>
      <c r="I138" s="389"/>
      <c r="J138" s="390"/>
      <c r="K138" s="391"/>
      <c r="L138" s="392"/>
      <c r="M138" s="393"/>
      <c r="N138" s="394"/>
      <c r="O138" s="394"/>
      <c r="P138" s="395"/>
      <c r="Q138" s="396"/>
      <c r="R138" s="426"/>
      <c r="S138" s="403"/>
      <c r="T138" s="426"/>
      <c r="U138" s="403"/>
      <c r="V138" s="426"/>
      <c r="W138" s="399"/>
      <c r="X138" s="400"/>
      <c r="AL138" s="460"/>
      <c r="AM138" s="460"/>
      <c r="AN138" s="460"/>
      <c r="AO138" s="460"/>
      <c r="AP138" s="460"/>
      <c r="AQ138" s="460"/>
    </row>
    <row r="139" spans="2:43" s="105" customFormat="1" ht="27" customHeight="1">
      <c r="B139" s="401">
        <f>#REF!</f>
      </c>
      <c r="C139" s="373"/>
      <c r="D139" s="374">
        <f>IF(#REF!&lt;&gt;"",#REF!,IF(#REF!&lt;&gt;"",#REF!,""))</f>
      </c>
      <c r="E139" s="375"/>
      <c r="F139" s="376"/>
      <c r="G139" s="376"/>
      <c r="H139" s="377"/>
      <c r="I139" s="378"/>
      <c r="J139" s="379"/>
      <c r="K139" s="380"/>
      <c r="L139" s="381"/>
      <c r="M139" s="382"/>
      <c r="N139" s="167"/>
      <c r="O139" s="167"/>
      <c r="P139" s="260"/>
      <c r="Q139" s="168"/>
      <c r="R139" s="425"/>
      <c r="S139" s="371"/>
      <c r="T139" s="425"/>
      <c r="U139" s="372"/>
      <c r="V139" s="425"/>
      <c r="W139" s="244"/>
      <c r="X139" s="202"/>
      <c r="AL139" s="460"/>
      <c r="AM139" s="460"/>
      <c r="AN139" s="460"/>
      <c r="AO139" s="460"/>
      <c r="AP139" s="460"/>
      <c r="AQ139" s="460"/>
    </row>
    <row r="140" spans="2:43" s="105" customFormat="1" ht="27" customHeight="1">
      <c r="B140" s="370">
        <f>#REF!</f>
      </c>
      <c r="C140" s="232"/>
      <c r="D140" s="164">
        <f>IF(#REF!&lt;&gt;"",#REF!,IF(#REF!&lt;&gt;"",#REF!,""))</f>
      </c>
      <c r="E140" s="235"/>
      <c r="F140" s="236"/>
      <c r="G140" s="236"/>
      <c r="H140" s="237"/>
      <c r="I140" s="238"/>
      <c r="J140" s="239"/>
      <c r="K140" s="240"/>
      <c r="L140" s="241"/>
      <c r="M140" s="242"/>
      <c r="N140" s="167">
        <f>#REF!</f>
      </c>
      <c r="O140" s="167">
        <f>#REF!</f>
      </c>
      <c r="P140" s="260">
        <f>#REF!</f>
      </c>
      <c r="Q140" s="168">
        <f>P140*N140</f>
      </c>
      <c r="R140" s="425">
        <f>IFERROR(Q140/$Q$166,0)</f>
      </c>
      <c r="S140" s="371">
        <f ca="1">IF($AL$5&lt;=1,0,SUM(OFFSET('rincian '!#REF!,0,0,1,$AL$5-1)))</f>
      </c>
      <c r="T140" s="425">
        <f ca="1">IFERROR(S140/N140*R140,0)</f>
      </c>
      <c r="U140" s="372" cm="1">
        <f t="array" ref="U140">IFERROR(INDEX('rincian '!#REF!,$AL$5),0)</f>
      </c>
      <c r="V140" s="425">
        <f>IFERROR(U140/N140*R140,0)</f>
      </c>
      <c r="W140" s="244">
        <f t="shared" ref="W140:X143" ca="1" si="29">S140+U140</f>
      </c>
      <c r="X140" s="202">
        <f t="shared" ca="1" si="29"/>
      </c>
      <c r="AL140" s="460"/>
      <c r="AM140" s="460"/>
      <c r="AN140" s="460"/>
      <c r="AO140" s="460"/>
      <c r="AP140" s="460"/>
      <c r="AQ140" s="460"/>
    </row>
    <row r="141" spans="2:43" s="105" customFormat="1" ht="27" customHeight="1">
      <c r="B141" s="370">
        <f>#REF!</f>
      </c>
      <c r="C141" s="232"/>
      <c r="D141" s="164">
        <f>IF(#REF!&lt;&gt;"",#REF!,IF(#REF!&lt;&gt;"",#REF!,""))</f>
      </c>
      <c r="E141" s="235"/>
      <c r="F141" s="236"/>
      <c r="G141" s="236"/>
      <c r="H141" s="237"/>
      <c r="I141" s="238"/>
      <c r="J141" s="239"/>
      <c r="K141" s="240"/>
      <c r="L141" s="241"/>
      <c r="M141" s="242"/>
      <c r="N141" s="167">
        <f>#REF!</f>
      </c>
      <c r="O141" s="167">
        <f>#REF!</f>
      </c>
      <c r="P141" s="260">
        <f>#REF!</f>
      </c>
      <c r="Q141" s="168">
        <f>P141*N141</f>
      </c>
      <c r="R141" s="425">
        <f>IFERROR(Q141/$Q$166,0)</f>
      </c>
      <c r="S141" s="371">
        <f ca="1">IF($AL$5&lt;=1,0,SUM(OFFSET('rincian '!#REF!,0,0,1,$AL$5-1)))</f>
      </c>
      <c r="T141" s="425">
        <f ca="1">IFERROR(S141/N141*R141,0)</f>
      </c>
      <c r="U141" s="372" cm="1">
        <f t="array" ref="U141">IFERROR(INDEX('rincian '!#REF!,$AL$5),0)</f>
      </c>
      <c r="V141" s="425">
        <f>IFERROR(U141/N141*R141,0)</f>
      </c>
      <c r="W141" s="244">
        <f t="shared" ca="1" si="29"/>
      </c>
      <c r="X141" s="202">
        <f t="shared" ca="1" si="29"/>
      </c>
      <c r="AL141" s="460"/>
      <c r="AM141" s="460"/>
      <c r="AN141" s="460"/>
      <c r="AO141" s="460"/>
      <c r="AP141" s="460"/>
      <c r="AQ141" s="460"/>
    </row>
    <row r="142" spans="2:43" s="105" customFormat="1" ht="27" customHeight="1">
      <c r="B142" s="370">
        <f>#REF!</f>
      </c>
      <c r="C142" s="232"/>
      <c r="D142" s="164">
        <f>IF(#REF!&lt;&gt;"",#REF!,IF(#REF!&lt;&gt;"",#REF!,""))</f>
      </c>
      <c r="E142" s="235"/>
      <c r="F142" s="236"/>
      <c r="G142" s="236"/>
      <c r="H142" s="237"/>
      <c r="I142" s="238"/>
      <c r="J142" s="239"/>
      <c r="K142" s="240"/>
      <c r="L142" s="241"/>
      <c r="M142" s="242"/>
      <c r="N142" s="167">
        <f>#REF!</f>
      </c>
      <c r="O142" s="167">
        <f>#REF!</f>
      </c>
      <c r="P142" s="260">
        <f>#REF!</f>
      </c>
      <c r="Q142" s="168">
        <f>P142*N142</f>
      </c>
      <c r="R142" s="425">
        <f>IFERROR(Q142/$Q$166,0)</f>
      </c>
      <c r="S142" s="371">
        <f ca="1">IF($AL$5&lt;=1,0,SUM(OFFSET('rincian '!#REF!,0,0,1,$AL$5-1)))</f>
      </c>
      <c r="T142" s="425">
        <f ca="1">IFERROR(S142/N142*R142,0)</f>
      </c>
      <c r="U142" s="372" cm="1">
        <f t="array" ref="U142">IFERROR(INDEX('rincian '!#REF!,$AL$5),0)</f>
      </c>
      <c r="V142" s="425">
        <f>IFERROR(U142/N142*R142,0)</f>
      </c>
      <c r="W142" s="244">
        <f t="shared" ca="1" si="29"/>
      </c>
      <c r="X142" s="202">
        <f t="shared" ca="1" si="29"/>
      </c>
      <c r="AL142" s="460"/>
      <c r="AM142" s="460"/>
      <c r="AN142" s="460"/>
      <c r="AO142" s="460"/>
      <c r="AP142" s="460"/>
      <c r="AQ142" s="460"/>
    </row>
    <row r="143" spans="2:43" s="105" customFormat="1" ht="27" customHeight="1">
      <c r="B143" s="370">
        <f>#REF!</f>
      </c>
      <c r="C143" s="232"/>
      <c r="D143" s="164">
        <f>IF(#REF!&lt;&gt;"",#REF!,IF(#REF!&lt;&gt;"",#REF!,""))</f>
      </c>
      <c r="E143" s="235"/>
      <c r="F143" s="236"/>
      <c r="G143" s="236"/>
      <c r="H143" s="237"/>
      <c r="I143" s="238"/>
      <c r="J143" s="239"/>
      <c r="K143" s="240"/>
      <c r="L143" s="241"/>
      <c r="M143" s="242"/>
      <c r="N143" s="167">
        <f>#REF!</f>
      </c>
      <c r="O143" s="167">
        <f>#REF!</f>
      </c>
      <c r="P143" s="260">
        <f>#REF!</f>
      </c>
      <c r="Q143" s="168">
        <f>P143*N143</f>
      </c>
      <c r="R143" s="425">
        <f>IFERROR(Q143/$Q$166,0)</f>
      </c>
      <c r="S143" s="371">
        <f ca="1">IF($AL$5&lt;=1,0,SUM(OFFSET('rincian '!#REF!,0,0,1,$AL$5-1)))</f>
      </c>
      <c r="T143" s="425">
        <f ca="1">IFERROR(S143/N143*R143,0)</f>
      </c>
      <c r="U143" s="372" cm="1">
        <f t="array" ref="U143">IFERROR(INDEX('rincian '!#REF!,$AL$5),0)</f>
      </c>
      <c r="V143" s="425">
        <f>IFERROR(U143/N143*R143,0)</f>
      </c>
      <c r="W143" s="244">
        <f t="shared" ca="1" si="29"/>
      </c>
      <c r="X143" s="202">
        <f t="shared" ca="1" si="29"/>
      </c>
      <c r="AL143" s="460"/>
      <c r="AM143" s="460"/>
      <c r="AN143" s="460"/>
      <c r="AO143" s="460"/>
      <c r="AP143" s="460"/>
      <c r="AQ143" s="460"/>
    </row>
    <row r="144" spans="2:43" s="105" customFormat="1" ht="27" customHeight="1">
      <c r="B144" s="370">
        <f>#REF!</f>
      </c>
      <c r="C144" s="232"/>
      <c r="D144" s="164">
        <f>IF(#REF!&lt;&gt;"",#REF!,IF(#REF!&lt;&gt;"",#REF!,""))</f>
      </c>
      <c r="E144" s="235"/>
      <c r="F144" s="236"/>
      <c r="G144" s="236"/>
      <c r="H144" s="237"/>
      <c r="I144" s="238"/>
      <c r="J144" s="239"/>
      <c r="K144" s="240"/>
      <c r="L144" s="241"/>
      <c r="M144" s="242"/>
      <c r="N144" s="167"/>
      <c r="O144" s="167"/>
      <c r="P144" s="260"/>
      <c r="Q144" s="168"/>
      <c r="R144" s="425"/>
      <c r="S144" s="371"/>
      <c r="T144" s="425"/>
      <c r="U144" s="372"/>
      <c r="V144" s="425"/>
      <c r="W144" s="244"/>
      <c r="X144" s="202"/>
      <c r="AL144" s="460"/>
      <c r="AM144" s="460"/>
      <c r="AN144" s="460"/>
      <c r="AO144" s="460"/>
      <c r="AP144" s="460"/>
      <c r="AQ144" s="460"/>
    </row>
    <row r="145" spans="2:43" s="105" customFormat="1" ht="27" customHeight="1">
      <c r="B145" s="370">
        <f>#REF!</f>
      </c>
      <c r="C145" s="232"/>
      <c r="D145" s="164">
        <f>IF(#REF!&lt;&gt;"",#REF!,IF(#REF!&lt;&gt;"",#REF!,""))</f>
      </c>
      <c r="E145" s="235"/>
      <c r="F145" s="236"/>
      <c r="G145" s="236"/>
      <c r="H145" s="237"/>
      <c r="I145" s="238"/>
      <c r="J145" s="239"/>
      <c r="K145" s="240"/>
      <c r="L145" s="241"/>
      <c r="M145" s="242"/>
      <c r="N145" s="167"/>
      <c r="O145" s="167"/>
      <c r="P145" s="260"/>
      <c r="Q145" s="168"/>
      <c r="R145" s="425"/>
      <c r="S145" s="371"/>
      <c r="T145" s="425"/>
      <c r="U145" s="372"/>
      <c r="V145" s="425"/>
      <c r="W145" s="244"/>
      <c r="X145" s="202"/>
      <c r="AL145" s="460"/>
      <c r="AM145" s="460"/>
      <c r="AN145" s="460"/>
      <c r="AO145" s="460"/>
      <c r="AP145" s="460"/>
      <c r="AQ145" s="460"/>
    </row>
    <row r="146" spans="2:43" s="105" customFormat="1" ht="21" customHeight="1">
      <c r="B146" s="370">
        <f>#REF!</f>
      </c>
      <c r="C146" s="232"/>
      <c r="D146" s="704">
        <f>IF(#REF!&lt;&gt;"",#REF!,IF(#REF!&lt;&gt;"",#REF!,""))</f>
      </c>
      <c r="E146" s="704"/>
      <c r="F146" s="704"/>
      <c r="G146" s="704"/>
      <c r="H146" s="704"/>
      <c r="I146" s="704"/>
      <c r="J146" s="704"/>
      <c r="K146" s="704"/>
      <c r="L146" s="704"/>
      <c r="M146" s="705"/>
      <c r="N146" s="167"/>
      <c r="O146" s="167"/>
      <c r="P146" s="260"/>
      <c r="Q146" s="168"/>
      <c r="R146" s="425"/>
      <c r="S146" s="371"/>
      <c r="T146" s="425"/>
      <c r="U146" s="372"/>
      <c r="V146" s="425"/>
      <c r="W146" s="244"/>
      <c r="X146" s="202"/>
      <c r="AL146" s="460"/>
      <c r="AM146" s="460"/>
      <c r="AN146" s="460"/>
      <c r="AO146" s="460"/>
      <c r="AP146" s="460"/>
      <c r="AQ146" s="460"/>
    </row>
    <row r="147" spans="2:43" s="105" customFormat="1" ht="27" customHeight="1">
      <c r="B147" s="370">
        <f>#REF!</f>
      </c>
      <c r="C147" s="232"/>
      <c r="D147" s="164">
        <f>IF(#REF!&lt;&gt;"",#REF!,IF(#REF!&lt;&gt;"",#REF!,""))</f>
      </c>
      <c r="E147" s="235"/>
      <c r="F147" s="236"/>
      <c r="G147" s="236"/>
      <c r="H147" s="237"/>
      <c r="I147" s="238"/>
      <c r="J147" s="239"/>
      <c r="K147" s="240"/>
      <c r="L147" s="241"/>
      <c r="M147" s="242"/>
      <c r="N147" s="167">
        <f>#REF!</f>
      </c>
      <c r="O147" s="167">
        <f>#REF!</f>
      </c>
      <c r="P147" s="260">
        <f>#REF!</f>
      </c>
      <c r="Q147" s="168">
        <f>P147*N147</f>
      </c>
      <c r="R147" s="425">
        <f>IFERROR(Q147/$Q$166,0)</f>
      </c>
      <c r="S147" s="371">
        <f ca="1">IF($AL$5&lt;=1,0,SUM(OFFSET('rincian '!#REF!,0,0,1,$AL$5-1)))</f>
      </c>
      <c r="T147" s="425">
        <f ca="1">IFERROR(S147/N147*R147,0)</f>
      </c>
      <c r="U147" s="372" cm="1">
        <f t="array" ref="U147">IFERROR(INDEX('rincian '!#REF!,$AL$5),0)</f>
      </c>
      <c r="V147" s="425">
        <f>IFERROR(U147/N147*R147,0)</f>
      </c>
      <c r="W147" s="244">
        <f ca="1">S147+U147</f>
      </c>
      <c r="X147" s="202">
        <f ca="1">T147+V147</f>
      </c>
      <c r="AL147" s="460"/>
      <c r="AM147" s="460"/>
      <c r="AN147" s="460"/>
      <c r="AO147" s="460"/>
      <c r="AP147" s="460"/>
      <c r="AQ147" s="460"/>
    </row>
    <row r="148" spans="2:43" s="105" customFormat="1" ht="27" customHeight="1">
      <c r="B148" s="370">
        <f>#REF!</f>
      </c>
      <c r="C148" s="232"/>
      <c r="D148" s="164">
        <f>IF(#REF!&lt;&gt;"",#REF!,IF(#REF!&lt;&gt;"",#REF!,""))</f>
      </c>
      <c r="E148" s="235"/>
      <c r="F148" s="236"/>
      <c r="G148" s="236"/>
      <c r="H148" s="237"/>
      <c r="I148" s="238"/>
      <c r="J148" s="239"/>
      <c r="K148" s="240"/>
      <c r="L148" s="241"/>
      <c r="M148" s="242"/>
      <c r="N148" s="167"/>
      <c r="O148" s="167"/>
      <c r="P148" s="260"/>
      <c r="Q148" s="168"/>
      <c r="R148" s="425"/>
      <c r="S148" s="371"/>
      <c r="T148" s="425"/>
      <c r="U148" s="372"/>
      <c r="V148" s="425"/>
      <c r="W148" s="244"/>
      <c r="X148" s="202"/>
      <c r="AL148" s="460"/>
      <c r="AM148" s="460"/>
      <c r="AN148" s="460"/>
      <c r="AO148" s="460"/>
      <c r="AP148" s="460"/>
      <c r="AQ148" s="460"/>
    </row>
    <row r="149" spans="2:43" s="105" customFormat="1" ht="27" customHeight="1">
      <c r="B149" s="370">
        <f>#REF!</f>
      </c>
      <c r="C149" s="232"/>
      <c r="D149" s="164">
        <f>IF(#REF!&lt;&gt;"",#REF!,IF(#REF!&lt;&gt;"",#REF!,""))</f>
      </c>
      <c r="E149" s="235"/>
      <c r="F149" s="236"/>
      <c r="G149" s="236"/>
      <c r="H149" s="237"/>
      <c r="I149" s="238"/>
      <c r="J149" s="239"/>
      <c r="K149" s="240"/>
      <c r="L149" s="241"/>
      <c r="M149" s="242"/>
      <c r="N149" s="167"/>
      <c r="O149" s="167"/>
      <c r="P149" s="260"/>
      <c r="Q149" s="168"/>
      <c r="R149" s="425"/>
      <c r="S149" s="371"/>
      <c r="T149" s="425"/>
      <c r="U149" s="372"/>
      <c r="V149" s="425"/>
      <c r="W149" s="244"/>
      <c r="X149" s="202"/>
      <c r="AL149" s="460"/>
      <c r="AM149" s="460"/>
      <c r="AN149" s="460"/>
      <c r="AO149" s="460"/>
      <c r="AP149" s="460"/>
      <c r="AQ149" s="460"/>
    </row>
    <row r="150" spans="2:43" s="105" customFormat="1" ht="27" customHeight="1">
      <c r="B150" s="370">
        <f>#REF!</f>
      </c>
      <c r="C150" s="232"/>
      <c r="D150" s="164">
        <f>IF(#REF!&lt;&gt;"",#REF!,IF(#REF!&lt;&gt;"",#REF!,""))</f>
      </c>
      <c r="E150" s="235"/>
      <c r="F150" s="236"/>
      <c r="G150" s="236"/>
      <c r="H150" s="237"/>
      <c r="I150" s="238"/>
      <c r="J150" s="239"/>
      <c r="K150" s="240"/>
      <c r="L150" s="241"/>
      <c r="M150" s="242"/>
      <c r="N150" s="167"/>
      <c r="O150" s="167"/>
      <c r="P150" s="260"/>
      <c r="Q150" s="168"/>
      <c r="R150" s="425"/>
      <c r="S150" s="371"/>
      <c r="T150" s="425"/>
      <c r="U150" s="372"/>
      <c r="V150" s="425"/>
      <c r="W150" s="244"/>
      <c r="X150" s="202"/>
      <c r="AL150" s="460"/>
      <c r="AM150" s="460"/>
      <c r="AN150" s="460"/>
      <c r="AO150" s="460"/>
      <c r="AP150" s="460"/>
      <c r="AQ150" s="460"/>
    </row>
    <row r="151" spans="2:43" s="105" customFormat="1" ht="27" customHeight="1">
      <c r="B151" s="370">
        <f>#REF!</f>
      </c>
      <c r="C151" s="232"/>
      <c r="D151" s="164">
        <f>IF(#REF!&lt;&gt;"",#REF!,IF(#REF!&lt;&gt;"",#REF!,""))</f>
      </c>
      <c r="E151" s="235"/>
      <c r="F151" s="236"/>
      <c r="G151" s="236"/>
      <c r="H151" s="237"/>
      <c r="I151" s="238"/>
      <c r="J151" s="239"/>
      <c r="K151" s="240"/>
      <c r="L151" s="241"/>
      <c r="M151" s="242"/>
      <c r="N151" s="167"/>
      <c r="O151" s="167"/>
      <c r="P151" s="260"/>
      <c r="Q151" s="168"/>
      <c r="R151" s="425"/>
      <c r="S151" s="371"/>
      <c r="T151" s="425"/>
      <c r="U151" s="372"/>
      <c r="V151" s="425"/>
      <c r="W151" s="244"/>
      <c r="X151" s="202"/>
      <c r="AL151" s="460"/>
      <c r="AM151" s="460"/>
      <c r="AN151" s="460"/>
      <c r="AO151" s="460"/>
      <c r="AP151" s="460"/>
      <c r="AQ151" s="460"/>
    </row>
    <row r="152" spans="2:43" s="105" customFormat="1" ht="27" customHeight="1">
      <c r="B152" s="370">
        <f>#REF!</f>
      </c>
      <c r="C152" s="232"/>
      <c r="D152" s="164">
        <f>IF(#REF!&lt;&gt;"",#REF!,IF(#REF!&lt;&gt;"",#REF!,""))</f>
      </c>
      <c r="E152" s="235"/>
      <c r="F152" s="236"/>
      <c r="G152" s="236"/>
      <c r="H152" s="237"/>
      <c r="I152" s="238"/>
      <c r="J152" s="239"/>
      <c r="K152" s="240"/>
      <c r="L152" s="241"/>
      <c r="M152" s="242"/>
      <c r="N152" s="167">
        <f>#REF!</f>
      </c>
      <c r="O152" s="167">
        <f>#REF!</f>
      </c>
      <c r="P152" s="260">
        <f>#REF!</f>
      </c>
      <c r="Q152" s="168">
        <f>P152*N152</f>
      </c>
      <c r="R152" s="425">
        <f>IFERROR(Q152/$Q$166,0)</f>
      </c>
      <c r="S152" s="371">
        <f ca="1">IF($AL$5&lt;=1,0,SUM(OFFSET('rincian '!#REF!,0,0,1,$AL$5-1)))</f>
      </c>
      <c r="T152" s="425">
        <f ca="1">IFERROR(S152/N152*R152,0)</f>
      </c>
      <c r="U152" s="372" cm="1">
        <f t="array" ref="U152">IFERROR(INDEX('rincian '!#REF!,$AL$5),0)</f>
      </c>
      <c r="V152" s="425">
        <f>IFERROR(U152/N152*R152,0)</f>
      </c>
      <c r="W152" s="244">
        <f ca="1">S152+U152</f>
      </c>
      <c r="X152" s="202">
        <f ca="1">T152+V152</f>
      </c>
      <c r="AL152" s="460"/>
      <c r="AM152" s="460"/>
      <c r="AN152" s="460"/>
      <c r="AO152" s="460"/>
      <c r="AP152" s="460"/>
      <c r="AQ152" s="460"/>
    </row>
    <row r="153" spans="2:43" s="105" customFormat="1" ht="27" customHeight="1">
      <c r="B153" s="401">
        <f>#REF!</f>
      </c>
      <c r="C153" s="373"/>
      <c r="D153" s="374">
        <f>IF(#REF!&lt;&gt;"",#REF!,IF(#REF!&lt;&gt;"",#REF!,""))</f>
      </c>
      <c r="E153" s="375"/>
      <c r="F153" s="376"/>
      <c r="G153" s="376"/>
      <c r="H153" s="377"/>
      <c r="I153" s="378"/>
      <c r="J153" s="379"/>
      <c r="K153" s="380"/>
      <c r="L153" s="381"/>
      <c r="M153" s="382"/>
      <c r="N153" s="167"/>
      <c r="O153" s="167"/>
      <c r="P153" s="260"/>
      <c r="Q153" s="168"/>
      <c r="R153" s="425"/>
      <c r="S153" s="371"/>
      <c r="T153" s="425"/>
      <c r="U153" s="372"/>
      <c r="V153" s="425"/>
      <c r="W153" s="244"/>
      <c r="X153" s="202"/>
      <c r="AL153" s="460"/>
      <c r="AM153" s="460"/>
      <c r="AN153" s="460"/>
      <c r="AO153" s="460"/>
      <c r="AP153" s="460"/>
      <c r="AQ153" s="460"/>
    </row>
    <row r="154" spans="2:43" s="105" customFormat="1" ht="27" customHeight="1">
      <c r="B154" s="370">
        <f>#REF!</f>
      </c>
      <c r="C154" s="232"/>
      <c r="D154" s="164">
        <f>IF(#REF!&lt;&gt;"",#REF!,IF(#REF!&lt;&gt;"",#REF!,""))</f>
      </c>
      <c r="E154" s="235"/>
      <c r="F154" s="236"/>
      <c r="G154" s="236"/>
      <c r="H154" s="237"/>
      <c r="I154" s="238"/>
      <c r="J154" s="239"/>
      <c r="K154" s="240"/>
      <c r="L154" s="241"/>
      <c r="M154" s="242"/>
      <c r="N154" s="167">
        <f>#REF!</f>
      </c>
      <c r="O154" s="167">
        <f>#REF!</f>
      </c>
      <c r="P154" s="260">
        <f>#REF!</f>
      </c>
      <c r="Q154" s="168">
        <f>P154*N154</f>
      </c>
      <c r="R154" s="425">
        <f>IFERROR(Q154/$Q$166,0)</f>
      </c>
      <c r="S154" s="371">
        <f ca="1">IF($AL$5&lt;=1,0,SUM(OFFSET('rincian '!#REF!,0,0,1,$AL$5-1)))</f>
      </c>
      <c r="T154" s="425">
        <f ca="1">IFERROR(S154/N154*R154,0)</f>
      </c>
      <c r="U154" s="372" cm="1">
        <f t="array" ref="U154">IFERROR(INDEX('rincian '!#REF!,$AL$5),0)</f>
      </c>
      <c r="V154" s="425">
        <f>IFERROR(U154/N154*R154,0)</f>
      </c>
      <c r="W154" s="244">
        <f ca="1">S154+U154</f>
      </c>
      <c r="X154" s="202">
        <f ca="1">T154+V154</f>
      </c>
      <c r="AL154" s="460"/>
      <c r="AM154" s="460"/>
      <c r="AN154" s="460"/>
      <c r="AO154" s="460"/>
      <c r="AP154" s="460"/>
      <c r="AQ154" s="460"/>
    </row>
    <row r="155" spans="2:43" s="105" customFormat="1" ht="27" customHeight="1">
      <c r="B155" s="370">
        <f>#REF!</f>
      </c>
      <c r="C155" s="232"/>
      <c r="D155" s="164">
        <f>IF(#REF!&lt;&gt;"",#REF!,IF(#REF!&lt;&gt;"",#REF!,""))</f>
      </c>
      <c r="E155" s="235"/>
      <c r="F155" s="236"/>
      <c r="G155" s="236"/>
      <c r="H155" s="237"/>
      <c r="I155" s="238"/>
      <c r="J155" s="239"/>
      <c r="K155" s="240"/>
      <c r="L155" s="241"/>
      <c r="M155" s="242"/>
      <c r="N155" s="167">
        <f>#REF!</f>
      </c>
      <c r="O155" s="167">
        <f>#REF!</f>
      </c>
      <c r="P155" s="260">
        <f>#REF!</f>
      </c>
      <c r="Q155" s="168">
        <f>P155*N155</f>
      </c>
      <c r="R155" s="425">
        <f>IFERROR(Q155/$Q$166,0)</f>
      </c>
      <c r="S155" s="371">
        <f ca="1">IF($AL$5&lt;=1,0,SUM(OFFSET('rincian '!#REF!,0,0,1,$AL$5-1)))</f>
      </c>
      <c r="T155" s="425">
        <f ca="1">IFERROR(S155/N155*R155,0)</f>
      </c>
      <c r="U155" s="372" cm="1">
        <f t="array" ref="U155">IFERROR(INDEX('rincian '!#REF!,$AL$5),0)</f>
      </c>
      <c r="V155" s="425">
        <f>IFERROR(U155/N155*R155,0)</f>
      </c>
      <c r="W155" s="244">
        <f ca="1">S155+U155</f>
      </c>
      <c r="X155" s="202">
        <f ca="1">T155+V155</f>
      </c>
      <c r="AL155" s="460"/>
      <c r="AM155" s="460"/>
      <c r="AN155" s="460"/>
      <c r="AO155" s="460"/>
      <c r="AP155" s="460"/>
      <c r="AQ155" s="460"/>
    </row>
    <row r="156" spans="2:43" s="105" customFormat="1" ht="27" customHeight="1">
      <c r="B156" s="370">
        <f>#REF!</f>
      </c>
      <c r="C156" s="232"/>
      <c r="D156" s="164">
        <f>IF(#REF!&lt;&gt;"",#REF!,IF(#REF!&lt;&gt;"",#REF!,""))</f>
      </c>
      <c r="E156" s="235"/>
      <c r="F156" s="236"/>
      <c r="G156" s="236"/>
      <c r="H156" s="237"/>
      <c r="I156" s="238"/>
      <c r="J156" s="239"/>
      <c r="K156" s="240"/>
      <c r="L156" s="241"/>
      <c r="M156" s="242"/>
      <c r="N156" s="167"/>
      <c r="O156" s="167"/>
      <c r="P156" s="260"/>
      <c r="Q156" s="168"/>
      <c r="R156" s="425"/>
      <c r="S156" s="371"/>
      <c r="T156" s="425"/>
      <c r="U156" s="372"/>
      <c r="V156" s="425"/>
      <c r="W156" s="244"/>
      <c r="X156" s="202"/>
      <c r="AL156" s="460"/>
      <c r="AM156" s="460"/>
      <c r="AN156" s="460"/>
      <c r="AO156" s="460"/>
      <c r="AP156" s="460"/>
      <c r="AQ156" s="460"/>
    </row>
    <row r="157" spans="2:43" s="105" customFormat="1" ht="27" customHeight="1">
      <c r="B157" s="370">
        <f>#REF!</f>
      </c>
      <c r="C157" s="232"/>
      <c r="D157" s="164">
        <f>IF(#REF!&lt;&gt;"",#REF!,IF(#REF!&lt;&gt;"",#REF!,""))</f>
      </c>
      <c r="E157" s="235"/>
      <c r="F157" s="236"/>
      <c r="G157" s="236"/>
      <c r="H157" s="237"/>
      <c r="I157" s="238"/>
      <c r="J157" s="239"/>
      <c r="K157" s="240"/>
      <c r="L157" s="241"/>
      <c r="M157" s="242"/>
      <c r="N157" s="167"/>
      <c r="O157" s="167"/>
      <c r="P157" s="260"/>
      <c r="Q157" s="168"/>
      <c r="R157" s="425"/>
      <c r="S157" s="371"/>
      <c r="T157" s="425"/>
      <c r="U157" s="372"/>
      <c r="V157" s="425"/>
      <c r="W157" s="244"/>
      <c r="X157" s="202"/>
      <c r="AL157" s="460"/>
      <c r="AM157" s="460"/>
      <c r="AN157" s="460"/>
      <c r="AO157" s="460"/>
      <c r="AP157" s="460"/>
      <c r="AQ157" s="460"/>
    </row>
    <row r="158" spans="2:43" s="105" customFormat="1" ht="27" customHeight="1">
      <c r="B158" s="370">
        <f>#REF!</f>
      </c>
      <c r="C158" s="232"/>
      <c r="D158" s="164">
        <f>IF(#REF!&lt;&gt;"",#REF!,IF(#REF!&lt;&gt;"",#REF!,""))</f>
      </c>
      <c r="E158" s="235"/>
      <c r="F158" s="236"/>
      <c r="G158" s="236"/>
      <c r="H158" s="237"/>
      <c r="I158" s="238"/>
      <c r="J158" s="239"/>
      <c r="K158" s="240"/>
      <c r="L158" s="241"/>
      <c r="M158" s="242"/>
      <c r="N158" s="167"/>
      <c r="O158" s="167"/>
      <c r="P158" s="260"/>
      <c r="Q158" s="168"/>
      <c r="R158" s="425"/>
      <c r="S158" s="371"/>
      <c r="T158" s="425"/>
      <c r="U158" s="372"/>
      <c r="V158" s="425"/>
      <c r="W158" s="244"/>
      <c r="X158" s="202"/>
      <c r="AL158" s="460"/>
      <c r="AM158" s="460"/>
      <c r="AN158" s="460"/>
      <c r="AO158" s="460"/>
      <c r="AP158" s="460"/>
      <c r="AQ158" s="460"/>
    </row>
    <row r="159" spans="2:43" s="105" customFormat="1" ht="27" customHeight="1">
      <c r="B159" s="370">
        <f>#REF!</f>
      </c>
      <c r="C159" s="232"/>
      <c r="D159" s="164">
        <f>IF(#REF!&lt;&gt;"",#REF!,IF(#REF!&lt;&gt;"",#REF!,""))</f>
      </c>
      <c r="E159" s="235"/>
      <c r="F159" s="236"/>
      <c r="G159" s="236"/>
      <c r="H159" s="237"/>
      <c r="I159" s="238"/>
      <c r="J159" s="239"/>
      <c r="K159" s="240"/>
      <c r="L159" s="241"/>
      <c r="M159" s="242"/>
      <c r="N159" s="167">
        <f>#REF!</f>
      </c>
      <c r="O159" s="167">
        <f>#REF!</f>
      </c>
      <c r="P159" s="260">
        <f>#REF!</f>
      </c>
      <c r="Q159" s="168">
        <f>P159*N159</f>
      </c>
      <c r="R159" s="425">
        <f>IFERROR(Q159/$Q$166,0)</f>
      </c>
      <c r="S159" s="371">
        <f ca="1">IF($AL$5&lt;=1,0,SUM(OFFSET('rincian '!#REF!,0,0,1,$AL$5-1)))</f>
      </c>
      <c r="T159" s="425">
        <f ca="1">IFERROR(S159/N159*R159,0)</f>
      </c>
      <c r="U159" s="372" cm="1">
        <f t="array" ref="U159">IFERROR(INDEX('rincian '!#REF!,$AL$5),0)</f>
      </c>
      <c r="V159" s="425">
        <f>IFERROR(U159/N159*R159,0)</f>
      </c>
      <c r="W159" s="244">
        <f ca="1">S159+U159</f>
      </c>
      <c r="X159" s="202">
        <f ca="1">T159+V159</f>
      </c>
      <c r="AL159" s="460"/>
      <c r="AM159" s="460"/>
      <c r="AN159" s="460"/>
      <c r="AO159" s="460"/>
      <c r="AP159" s="460"/>
      <c r="AQ159" s="460"/>
    </row>
    <row r="160" spans="2:43" s="105" customFormat="1" ht="27" customHeight="1">
      <c r="B160" s="370">
        <f>#REF!</f>
      </c>
      <c r="C160" s="232"/>
      <c r="D160" s="164">
        <f>IF(#REF!&lt;&gt;"",#REF!,IF(#REF!&lt;&gt;"",#REF!,""))</f>
      </c>
      <c r="E160" s="235"/>
      <c r="F160" s="236"/>
      <c r="G160" s="236"/>
      <c r="H160" s="237"/>
      <c r="I160" s="238"/>
      <c r="J160" s="239"/>
      <c r="K160" s="240"/>
      <c r="L160" s="241"/>
      <c r="M160" s="242"/>
      <c r="N160" s="167"/>
      <c r="O160" s="167"/>
      <c r="P160" s="260"/>
      <c r="Q160" s="168"/>
      <c r="R160" s="425"/>
      <c r="S160" s="371"/>
      <c r="T160" s="425"/>
      <c r="U160" s="372"/>
      <c r="V160" s="425"/>
      <c r="W160" s="244"/>
      <c r="X160" s="202"/>
      <c r="AL160" s="460"/>
      <c r="AM160" s="460"/>
      <c r="AN160" s="460"/>
      <c r="AO160" s="460"/>
      <c r="AP160" s="460"/>
      <c r="AQ160" s="460"/>
    </row>
    <row r="161" spans="2:43" s="105" customFormat="1" ht="27" customHeight="1">
      <c r="B161" s="370">
        <f>#REF!</f>
      </c>
      <c r="C161" s="232"/>
      <c r="D161" s="164">
        <f>IF(#REF!&lt;&gt;"",#REF!,IF(#REF!&lt;&gt;"",#REF!,""))</f>
      </c>
      <c r="E161" s="235"/>
      <c r="F161" s="236"/>
      <c r="G161" s="236"/>
      <c r="H161" s="237"/>
      <c r="I161" s="238"/>
      <c r="J161" s="239"/>
      <c r="K161" s="240"/>
      <c r="L161" s="241"/>
      <c r="M161" s="242"/>
      <c r="N161" s="167"/>
      <c r="O161" s="167"/>
      <c r="P161" s="260"/>
      <c r="Q161" s="168"/>
      <c r="R161" s="425"/>
      <c r="S161" s="371"/>
      <c r="T161" s="425"/>
      <c r="U161" s="372"/>
      <c r="V161" s="425"/>
      <c r="W161" s="244"/>
      <c r="X161" s="202"/>
      <c r="AL161" s="460"/>
      <c r="AM161" s="460"/>
      <c r="AN161" s="460"/>
      <c r="AO161" s="460"/>
      <c r="AP161" s="460"/>
      <c r="AQ161" s="460"/>
    </row>
    <row r="162" spans="2:43" s="105" customFormat="1" ht="27" customHeight="1">
      <c r="B162" s="370">
        <f>#REF!</f>
      </c>
      <c r="C162" s="232"/>
      <c r="D162" s="164">
        <f>IF(#REF!&lt;&gt;"",#REF!,IF(#REF!&lt;&gt;"",#REF!,""))</f>
      </c>
      <c r="E162" s="235"/>
      <c r="F162" s="236"/>
      <c r="G162" s="236"/>
      <c r="H162" s="237"/>
      <c r="I162" s="238"/>
      <c r="J162" s="239"/>
      <c r="K162" s="240"/>
      <c r="L162" s="241"/>
      <c r="M162" s="242"/>
      <c r="N162" s="167">
        <f>#REF!</f>
      </c>
      <c r="O162" s="167">
        <f>#REF!</f>
      </c>
      <c r="P162" s="260">
        <f>#REF!</f>
      </c>
      <c r="Q162" s="168">
        <f>P162*N162</f>
      </c>
      <c r="R162" s="425">
        <f>IFERROR(Q162/$Q$166,0)</f>
      </c>
      <c r="S162" s="371">
        <f ca="1">IF($AL$5&lt;=1,0,SUM(OFFSET('rincian '!#REF!,0,0,1,$AL$5-1)))</f>
      </c>
      <c r="T162" s="425">
        <f ca="1">IFERROR(S162/N162*R162,0)</f>
      </c>
      <c r="U162" s="372" cm="1">
        <f t="array" ref="U162">IFERROR(INDEX('rincian '!#REF!,$AL$5),0)</f>
      </c>
      <c r="V162" s="425">
        <f>IFERROR(U162/N162*R162,0)</f>
      </c>
      <c r="W162" s="244">
        <f t="shared" ref="W162:X164" ca="1" si="30">S162+U162</f>
      </c>
      <c r="X162" s="202">
        <f t="shared" ca="1" si="30"/>
      </c>
      <c r="AL162" s="460"/>
      <c r="AM162" s="460"/>
      <c r="AN162" s="460"/>
      <c r="AO162" s="460"/>
      <c r="AP162" s="460"/>
      <c r="AQ162" s="460"/>
    </row>
    <row r="163" spans="2:43" s="105" customFormat="1" ht="27" customHeight="1">
      <c r="B163" s="370">
        <f>#REF!</f>
      </c>
      <c r="C163" s="232"/>
      <c r="D163" s="164">
        <f>IF(#REF!&lt;&gt;"",#REF!,IF(#REF!&lt;&gt;"",#REF!,""))</f>
      </c>
      <c r="E163" s="235"/>
      <c r="F163" s="236"/>
      <c r="G163" s="236"/>
      <c r="H163" s="237"/>
      <c r="I163" s="238"/>
      <c r="J163" s="239"/>
      <c r="K163" s="240"/>
      <c r="L163" s="241"/>
      <c r="M163" s="242"/>
      <c r="N163" s="167">
        <f>#REF!</f>
      </c>
      <c r="O163" s="167">
        <f>#REF!</f>
      </c>
      <c r="P163" s="260">
        <f>#REF!</f>
      </c>
      <c r="Q163" s="168">
        <f>P163*N163</f>
      </c>
      <c r="R163" s="425">
        <f>IFERROR(Q163/$Q$166,0)</f>
      </c>
      <c r="S163" s="371">
        <f ca="1">IF($AL$5&lt;=1,0,SUM(OFFSET('rincian '!#REF!,0,0,1,$AL$5-1)))</f>
      </c>
      <c r="T163" s="425">
        <f ca="1">IFERROR(S163/N163*R163,0)</f>
      </c>
      <c r="U163" s="372" cm="1">
        <f t="array" ref="U163">IFERROR(INDEX('rincian '!#REF!,$AL$5),0)</f>
      </c>
      <c r="V163" s="425">
        <f>IFERROR(U163/N163*R163,0)</f>
      </c>
      <c r="W163" s="244">
        <f t="shared" ca="1" si="30"/>
      </c>
      <c r="X163" s="202">
        <f t="shared" ca="1" si="30"/>
      </c>
      <c r="AL163" s="460"/>
      <c r="AM163" s="460"/>
      <c r="AN163" s="460"/>
      <c r="AO163" s="460"/>
      <c r="AP163" s="460"/>
      <c r="AQ163" s="460"/>
    </row>
    <row r="164" spans="2:43" s="105" customFormat="1" ht="27" customHeight="1">
      <c r="B164" s="370">
        <f>#REF!</f>
      </c>
      <c r="C164" s="232"/>
      <c r="D164" s="164">
        <f>IF(#REF!&lt;&gt;"",#REF!,IF(#REF!&lt;&gt;"",#REF!,""))</f>
      </c>
      <c r="E164" s="235"/>
      <c r="F164" s="236"/>
      <c r="G164" s="236"/>
      <c r="H164" s="237"/>
      <c r="I164" s="238"/>
      <c r="J164" s="239"/>
      <c r="K164" s="240"/>
      <c r="L164" s="241"/>
      <c r="M164" s="242"/>
      <c r="N164" s="167">
        <f>#REF!</f>
      </c>
      <c r="O164" s="167">
        <f>#REF!</f>
      </c>
      <c r="P164" s="260">
        <f>#REF!</f>
      </c>
      <c r="Q164" s="168">
        <f>P164*N164</f>
      </c>
      <c r="R164" s="425">
        <f>IFERROR(Q164/$Q$166,0)</f>
      </c>
      <c r="S164" s="371">
        <f ca="1">IF($AL$5&lt;=1,0,SUM(OFFSET('rincian '!#REF!,0,0,1,$AL$5-1)))</f>
      </c>
      <c r="T164" s="425">
        <f ca="1">IFERROR(S164/N164*R164,0)</f>
      </c>
      <c r="U164" s="372" cm="1">
        <f t="array" ref="U164">IFERROR(INDEX('rincian '!#REF!,$AL$5),0)</f>
      </c>
      <c r="V164" s="425">
        <f>IFERROR(U164/N164*R164,0)</f>
      </c>
      <c r="W164" s="244">
        <f t="shared" ca="1" si="30"/>
      </c>
      <c r="X164" s="202">
        <f t="shared" ca="1" si="30"/>
      </c>
      <c r="AL164" s="460"/>
      <c r="AM164" s="460"/>
      <c r="AN164" s="460"/>
      <c r="AO164" s="460"/>
      <c r="AP164" s="460"/>
      <c r="AQ164" s="460"/>
    </row>
    <row r="165" spans="2:43" s="105" customFormat="1" ht="25.2" customHeight="1">
      <c r="B165" s="140"/>
      <c r="C165" s="200"/>
      <c r="D165" s="196"/>
      <c r="E165" s="141"/>
      <c r="F165" s="141"/>
      <c r="G165" s="141"/>
      <c r="H165" s="141"/>
      <c r="I165" s="142"/>
      <c r="J165" s="143"/>
      <c r="K165" s="144"/>
      <c r="L165" s="145"/>
      <c r="M165" s="145"/>
      <c r="N165" s="167"/>
      <c r="O165" s="132"/>
      <c r="P165" s="133"/>
      <c r="Q165" s="168"/>
      <c r="R165" s="427"/>
      <c r="S165" s="146"/>
      <c r="T165" s="427"/>
      <c r="U165" s="146"/>
      <c r="V165" s="427"/>
      <c r="W165" s="170"/>
      <c r="X165" s="171"/>
    </row>
    <row r="166" spans="2:43" ht="25.2" customHeight="1" thickBot="1">
      <c r="B166" s="147"/>
      <c r="C166" s="148" t="s">
        <v>123</v>
      </c>
      <c r="D166" s="149"/>
      <c r="E166" s="150"/>
      <c r="F166" s="150"/>
      <c r="G166" s="150"/>
      <c r="H166" s="150"/>
      <c r="I166" s="150"/>
      <c r="J166" s="151"/>
      <c r="K166" s="152"/>
      <c r="L166" s="153"/>
      <c r="M166" s="154"/>
      <c r="N166" s="155"/>
      <c r="O166" s="151"/>
      <c r="P166" s="156"/>
      <c r="Q166" s="169">
        <f>SUM(Q12:Q165)</f>
      </c>
      <c r="R166" s="428">
        <f>SUM(R12:R165)</f>
      </c>
      <c r="S166" s="197"/>
      <c r="T166" s="428">
        <f ca="1">SUM(T12:T165)</f>
      </c>
      <c r="U166" s="198"/>
      <c r="V166" s="428">
        <f>SUM(V12:V165)</f>
      </c>
      <c r="W166" s="197"/>
      <c r="X166" s="199">
        <f ca="1">SUM(X12:X165)</f>
      </c>
      <c r="Z166" s="666" cm="1">
        <f t="array" aca="1" ref="Z166" ca="1">IF(SUMPRODUCT(--(W12:W165&gt;IFERROR(N12:N165*1,0)))&gt;0,"DITOLAK: ada item dengan progres s/d periode ini MELEBIHI volume kontrak",IF(ROUND(X166,6)&gt;1,"DITOLAK: bobot s/d periode ini "&amp;TEXT(X166,"0.00%")&amp;" sudah melebihi 100%",IF(ROUND(X166,6)=1,"PROGRES SUDAH 100% - VOLUME KONTRAK HABIS, penambahan progres ditolak","SISA BOBOT BELUM DITAGIH: "&amp;TEXT(1-X166,"0.00%"))))</f>
      </c>
      <c r="AA166" s="665"/>
      <c r="AB166" s="665"/>
      <c r="AC166" s="665"/>
      <c r="AD166" s="665"/>
      <c r="AE166" s="665"/>
      <c r="AF166" s="665"/>
      <c r="AG166" s="665"/>
      <c r="AH166" s="665"/>
    </row>
    <row r="167" spans="2:43" ht="25.2" customHeight="1">
      <c r="B167" s="157"/>
      <c r="C167" s="158"/>
      <c r="D167" s="159"/>
      <c r="E167" s="158"/>
      <c r="F167" s="158"/>
      <c r="G167" s="158"/>
      <c r="H167" s="158"/>
      <c r="I167" s="158"/>
      <c r="J167" s="160"/>
      <c r="K167" s="158"/>
      <c r="L167" s="158"/>
      <c r="M167" s="158"/>
      <c r="N167" s="161"/>
      <c r="O167" s="160"/>
      <c r="P167" s="161"/>
      <c r="Q167" s="161"/>
      <c r="R167" s="162"/>
      <c r="S167" s="120"/>
      <c r="T167" s="120"/>
      <c r="U167" s="120"/>
      <c r="V167" s="120"/>
      <c r="W167" s="120"/>
      <c r="X167" s="120"/>
      <c r="Z167" s="665"/>
      <c r="AA167" s="665"/>
      <c r="AB167" s="665"/>
      <c r="AC167" s="665"/>
      <c r="AD167" s="665"/>
      <c r="AE167" s="665"/>
      <c r="AF167" s="665"/>
      <c r="AG167" s="665"/>
      <c r="AH167" s="665"/>
    </row>
    <row r="168" spans="2:43" ht="25.2" customHeight="1">
      <c r="B168" s="157"/>
      <c r="C168" s="158"/>
      <c r="D168" s="159"/>
      <c r="E168" s="158"/>
      <c r="F168" s="158"/>
      <c r="G168" s="158"/>
      <c r="H168" s="158"/>
      <c r="I168" s="158"/>
      <c r="J168" s="160"/>
      <c r="K168" s="158"/>
      <c r="L168" s="158"/>
      <c r="M168" s="158"/>
      <c r="N168" s="163"/>
      <c r="O168" s="160"/>
      <c r="P168" s="161"/>
      <c r="Q168" s="161"/>
      <c r="R168" s="120"/>
      <c r="S168" s="120"/>
      <c r="T168" s="120"/>
      <c r="U168" s="120"/>
      <c r="V168" s="172"/>
      <c r="W168" s="203">
        <f>DATA!$B$36&amp;", "&amp;'BAPP 6'!W2</f>
      </c>
      <c r="X168" s="172"/>
    </row>
    <row r="169" spans="2:43" ht="25.2" customHeight="1">
      <c r="B169" s="658" t="s">
        <v>166</v>
      </c>
      <c r="C169" s="658"/>
      <c r="D169" s="658"/>
      <c r="E169" s="658"/>
      <c r="F169" s="658"/>
      <c r="G169" s="658"/>
      <c r="H169" s="658"/>
      <c r="I169" s="173"/>
      <c r="J169" s="173"/>
      <c r="K169" s="173"/>
      <c r="L169" s="173"/>
      <c r="M169" s="173"/>
      <c r="N169" s="658" t="s">
        <v>167</v>
      </c>
      <c r="O169" s="658"/>
      <c r="P169" s="658"/>
      <c r="Q169" s="658"/>
      <c r="R169" s="658"/>
      <c r="S169" s="658"/>
      <c r="T169" s="658"/>
      <c r="U169" s="120"/>
      <c r="V169" s="658" t="s">
        <v>168</v>
      </c>
      <c r="W169" s="658"/>
      <c r="X169" s="658"/>
    </row>
    <row r="170" spans="2:43" ht="25.2" hidden="1" customHeight="1">
      <c r="B170" s="658">
        <f>DATA!$B$107</f>
      </c>
      <c r="C170" s="658"/>
      <c r="D170" s="658"/>
      <c r="E170" s="658"/>
      <c r="F170" s="658"/>
      <c r="G170" s="658"/>
      <c r="H170" s="658"/>
      <c r="I170" s="173"/>
      <c r="J170" s="173"/>
      <c r="K170" s="173"/>
      <c r="L170" s="173"/>
      <c r="M170" s="173"/>
      <c r="N170" s="658">
        <f>B170</f>
      </c>
      <c r="O170" s="658"/>
      <c r="P170" s="658"/>
      <c r="Q170" s="161"/>
      <c r="R170" s="655">
        <f>N170</f>
      </c>
      <c r="S170" s="655"/>
      <c r="T170" s="655"/>
      <c r="U170" s="120"/>
      <c r="V170" s="655" t="s">
        <v>169</v>
      </c>
      <c r="W170" s="655"/>
      <c r="X170" s="655"/>
    </row>
    <row r="171" spans="2:43" ht="25.2" hidden="1" customHeight="1">
      <c r="B171" s="658">
        <f>DATA!$B$108</f>
      </c>
      <c r="C171" s="658"/>
      <c r="D171" s="658"/>
      <c r="E171" s="658"/>
      <c r="F171" s="658"/>
      <c r="G171" s="658"/>
      <c r="H171" s="658"/>
      <c r="I171" s="173"/>
      <c r="J171" s="173"/>
      <c r="K171" s="173"/>
      <c r="L171" s="173"/>
      <c r="M171" s="173"/>
      <c r="N171" s="658">
        <f>$B$171</f>
      </c>
      <c r="O171" s="658"/>
      <c r="P171" s="658"/>
      <c r="Q171" s="161"/>
      <c r="R171" s="655">
        <f>$B$171</f>
      </c>
      <c r="S171" s="655"/>
      <c r="T171" s="655"/>
      <c r="U171" s="120"/>
      <c r="V171" s="655"/>
      <c r="W171" s="655"/>
      <c r="X171" s="655"/>
    </row>
    <row r="172" spans="2:43" ht="25.2" customHeight="1">
      <c r="B172" s="157"/>
      <c r="C172" s="158"/>
      <c r="D172" s="159"/>
      <c r="E172" s="158"/>
      <c r="F172" s="158"/>
      <c r="G172" s="158"/>
      <c r="H172" s="158"/>
      <c r="I172" s="158"/>
      <c r="J172" s="158"/>
      <c r="K172" s="158"/>
      <c r="L172" s="158"/>
      <c r="M172" s="158"/>
      <c r="N172" s="161"/>
      <c r="O172" s="158"/>
      <c r="P172" s="161"/>
      <c r="Q172" s="161"/>
      <c r="R172" s="120"/>
      <c r="S172" s="120"/>
      <c r="T172" s="120"/>
      <c r="U172" s="120"/>
      <c r="V172" s="120"/>
      <c r="W172" s="120"/>
      <c r="X172" s="120"/>
    </row>
    <row r="173" spans="2:43" ht="25.2" customHeight="1">
      <c r="B173" s="157"/>
      <c r="C173" s="158"/>
      <c r="D173" s="159"/>
      <c r="E173" s="158"/>
      <c r="F173" s="158"/>
      <c r="G173" s="158"/>
      <c r="H173" s="158"/>
      <c r="I173" s="158"/>
      <c r="J173" s="158"/>
      <c r="K173" s="158"/>
      <c r="L173" s="158"/>
      <c r="M173" s="158"/>
      <c r="N173" s="161"/>
      <c r="O173" s="158"/>
      <c r="P173" s="161"/>
      <c r="Q173" s="161"/>
      <c r="R173" s="120"/>
      <c r="S173" s="120"/>
      <c r="T173" s="120"/>
      <c r="U173" s="120"/>
      <c r="V173" s="120"/>
      <c r="W173" s="120"/>
      <c r="X173" s="120"/>
    </row>
    <row r="174" spans="2:43" ht="25.2" customHeight="1">
      <c r="B174" s="157"/>
      <c r="C174" s="158"/>
      <c r="D174" s="159"/>
      <c r="E174" s="158"/>
      <c r="F174" s="158"/>
      <c r="G174" s="158"/>
      <c r="H174" s="158"/>
      <c r="I174" s="158"/>
      <c r="J174" s="158"/>
      <c r="K174" s="158"/>
      <c r="L174" s="158"/>
      <c r="M174" s="158"/>
      <c r="N174" s="161"/>
      <c r="O174" s="158"/>
      <c r="P174" s="161"/>
      <c r="Q174" s="161"/>
      <c r="R174" s="120"/>
      <c r="S174" s="120"/>
      <c r="T174" s="120"/>
      <c r="U174" s="120"/>
      <c r="V174" s="120"/>
      <c r="W174" s="120"/>
      <c r="X174" s="120"/>
    </row>
    <row r="175" spans="2:43" ht="25.2" customHeight="1">
      <c r="B175" s="157"/>
      <c r="C175" s="158"/>
      <c r="D175" s="159"/>
      <c r="E175" s="158"/>
      <c r="F175" s="158"/>
      <c r="G175" s="158"/>
      <c r="H175" s="158"/>
      <c r="I175" s="158"/>
      <c r="J175" s="158"/>
      <c r="K175" s="158"/>
      <c r="L175" s="158"/>
      <c r="M175" s="158"/>
      <c r="N175" s="161"/>
      <c r="O175" s="158"/>
      <c r="P175" s="161"/>
      <c r="Q175" s="161"/>
      <c r="R175" s="120"/>
      <c r="S175" s="120"/>
      <c r="T175" s="120"/>
      <c r="U175" s="120"/>
      <c r="V175" s="120"/>
      <c r="W175" s="120"/>
      <c r="X175" s="120"/>
    </row>
    <row r="176" spans="2:43" ht="25.2" customHeight="1">
      <c r="B176" s="157"/>
      <c r="C176" s="158"/>
      <c r="D176" s="159"/>
      <c r="E176" s="158"/>
      <c r="F176" s="158"/>
      <c r="G176" s="158"/>
      <c r="H176" s="158"/>
      <c r="I176" s="158"/>
      <c r="J176" s="158"/>
      <c r="K176" s="158"/>
      <c r="L176" s="158"/>
      <c r="M176" s="158"/>
      <c r="N176" s="161"/>
      <c r="O176" s="158"/>
      <c r="P176" s="161"/>
      <c r="Q176" s="161"/>
      <c r="R176" s="120"/>
      <c r="S176" s="120"/>
      <c r="T176" s="120"/>
      <c r="U176" s="120"/>
      <c r="V176" s="120"/>
      <c r="W176" s="120"/>
      <c r="X176" s="120"/>
    </row>
    <row r="177" spans="2:24" ht="25.2" customHeight="1">
      <c r="B177" s="157"/>
      <c r="C177" s="158"/>
      <c r="D177" s="159"/>
      <c r="E177" s="158"/>
      <c r="F177" s="158"/>
      <c r="G177" s="158"/>
      <c r="H177" s="158"/>
      <c r="I177" s="158"/>
      <c r="J177" s="158"/>
      <c r="K177" s="158"/>
      <c r="L177" s="158"/>
      <c r="M177" s="158"/>
      <c r="N177" s="161"/>
      <c r="O177" s="158"/>
      <c r="P177" s="161"/>
      <c r="Q177" s="161"/>
      <c r="R177" s="120"/>
      <c r="S177" s="120"/>
      <c r="T177" s="120"/>
      <c r="U177" s="120"/>
      <c r="V177" s="120"/>
      <c r="W177" s="120"/>
      <c r="X177" s="120"/>
    </row>
    <row r="178" spans="2:24" ht="25.2" customHeight="1">
      <c r="B178" s="659">
        <f>DATA!$B$109</f>
      </c>
      <c r="C178" s="660"/>
      <c r="D178" s="660"/>
      <c r="E178" s="660"/>
      <c r="F178" s="660"/>
      <c r="G178" s="660"/>
      <c r="H178" s="660"/>
      <c r="I178" s="174"/>
      <c r="J178" s="174"/>
      <c r="K178" s="174"/>
      <c r="L178" s="174"/>
      <c r="M178" s="174"/>
      <c r="N178" s="659">
        <f>DATA!$B$111</f>
      </c>
      <c r="O178" s="660"/>
      <c r="P178" s="660"/>
      <c r="Q178" s="218"/>
      <c r="R178" s="664">
        <f>DATA!$B$113</f>
      </c>
      <c r="S178" s="665"/>
      <c r="T178" s="665"/>
      <c r="U178" s="665"/>
      <c r="V178" s="663">
        <f>#REF!</f>
      </c>
      <c r="W178" s="663"/>
      <c r="X178" s="663"/>
    </row>
    <row r="179" spans="2:24" ht="25.2" customHeight="1">
      <c r="B179" s="658">
        <f>DATA!$B$110</f>
      </c>
      <c r="C179" s="658"/>
      <c r="D179" s="658"/>
      <c r="E179" s="658"/>
      <c r="F179" s="658"/>
      <c r="G179" s="658"/>
      <c r="H179" s="658"/>
      <c r="I179" s="173"/>
      <c r="J179" s="173"/>
      <c r="K179" s="173"/>
      <c r="L179" s="173"/>
      <c r="M179" s="173"/>
      <c r="N179" s="658">
        <f>DATA!$B$112</f>
      </c>
      <c r="O179" s="658"/>
      <c r="P179" s="658"/>
      <c r="Q179" s="219"/>
      <c r="R179" s="710">
        <f>DATA!$B$114</f>
      </c>
      <c r="S179" s="665"/>
      <c r="T179" s="665"/>
      <c r="U179" s="665"/>
      <c r="V179" s="709">
        <f>#REF!</f>
      </c>
      <c r="W179" s="709"/>
      <c r="X179" s="709"/>
    </row>
    <row r="182" spans="2:24" ht="25.2" customHeight="1">
      <c r="P182" s="166"/>
    </row>
    <row r="183" spans="2:24" ht="25.2" customHeight="1">
      <c r="J183" s="165" t="s">
        <v>170</v>
      </c>
      <c r="O183" s="165"/>
      <c r="P183" s="165"/>
    </row>
    <row r="184" spans="2:24" ht="25.2" customHeight="1">
      <c r="J184" s="165">
        <f>DATA!$B$62</f>
      </c>
      <c r="O184" s="165"/>
    </row>
    <row r="185" spans="2:24" ht="25.2" customHeight="1">
      <c r="J185" s="165">
        <f>DATA!$B$108</f>
      </c>
      <c r="O185" s="165"/>
    </row>
  </sheetData>
  <mergeCells count="53">
    <mergeCell ref="B179:H179"/>
    <mergeCell ref="N179:P179"/>
    <mergeCell ref="V179:X179"/>
    <mergeCell ref="B171:H171"/>
    <mergeCell ref="N171:P171"/>
    <mergeCell ref="R171:T171"/>
    <mergeCell ref="V171:X171"/>
    <mergeCell ref="B178:H178"/>
    <mergeCell ref="N178:P178"/>
    <mergeCell ref="V178:X178"/>
    <mergeCell ref="R178:U178"/>
    <mergeCell ref="R179:U179"/>
    <mergeCell ref="B169:H169"/>
    <mergeCell ref="V169:X169"/>
    <mergeCell ref="B170:H170"/>
    <mergeCell ref="N170:P170"/>
    <mergeCell ref="R170:T170"/>
    <mergeCell ref="V170:X170"/>
    <mergeCell ref="D40:M40"/>
    <mergeCell ref="D58:M58"/>
    <mergeCell ref="D59:M59"/>
    <mergeCell ref="D60:M60"/>
    <mergeCell ref="D101:M101"/>
    <mergeCell ref="X8:X9"/>
    <mergeCell ref="C11:I11"/>
    <mergeCell ref="D15:M15"/>
    <mergeCell ref="D16:M16"/>
    <mergeCell ref="D17:M17"/>
    <mergeCell ref="P7:P9"/>
    <mergeCell ref="Q7:Q9"/>
    <mergeCell ref="S7:T7"/>
    <mergeCell ref="U7:V7"/>
    <mergeCell ref="W7:X7"/>
    <mergeCell ref="R8:R9"/>
    <mergeCell ref="S8:S9"/>
    <mergeCell ref="T8:T9"/>
    <mergeCell ref="U8:U9"/>
    <mergeCell ref="Z166:AH166"/>
    <mergeCell ref="Z167:AH167"/>
    <mergeCell ref="N169:T169"/>
    <mergeCell ref="V8:V9"/>
    <mergeCell ref="B2:X2"/>
    <mergeCell ref="B3:X3"/>
    <mergeCell ref="B4:X4"/>
    <mergeCell ref="B5:X5"/>
    <mergeCell ref="B7:B9"/>
    <mergeCell ref="C7:I9"/>
    <mergeCell ref="J7:J9"/>
    <mergeCell ref="K7:M8"/>
    <mergeCell ref="N7:N9"/>
    <mergeCell ref="O7:O9"/>
    <mergeCell ref="D146:M146"/>
    <mergeCell ref="W8:W9"/>
  </mergeCells>
  <conditionalFormatting sqref="Z166:AH167">
    <cfRule type="containsText" dxfId="9" priority="1" operator="containsText" text="DITOLAK">
      <formula>NOT(ISERROR(SEARCH("DITOLAK",Z166)))</formula>
    </cfRule>
    <cfRule type="containsText" dxfId="8" priority="2" operator="containsText" text="HABIS">
      <formula>NOT(ISERROR(SEARCH("HABIS",Z166)))</formula>
    </cfRule>
    <cfRule type="containsText" dxfId="7" priority="3" operator="containsText" text="SISA">
      <formula>NOT(ISERROR(SEARCH("SISA",Z166)))</formula>
    </cfRule>
  </conditionalFormatting>
  <printOptions horizontalCentered="1"/>
  <pageMargins left="0.18" right="0.14000000000000001" top="0.39370078740157499" bottom="0.39370078740157499" header="0.31496062992126" footer="0.31496062992126"/>
  <pageSetup paperSize="9" scale="39" fitToHeight="0" orientation="landscape" r:id="rId1"/>
  <rowBreaks count="3" manualBreakCount="3">
    <brk id="50" min="1" max="23" man="1"/>
    <brk id="100" min="1" max="23" man="1"/>
    <brk id="147" min="1" max="2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CA3E-F9A1-4A2E-AAEA-E24DC6D5DB7A}">
  <dimension ref="B1:Y65"/>
  <sheetViews>
    <sheetView view="pageBreakPreview" zoomScale="60" zoomScaleNormal="100" workbookViewId="0">
      <selection activeCell="D29" sqref="D29"/>
    </sheetView>
  </sheetViews>
  <sheetFormatPr defaultColWidth="8.81640625" defaultRowHeight="13.2"/>
  <cols>
    <col min="1" max="1" width="2.36328125" style="56" customWidth="1"/>
    <col min="2" max="2" width="4.81640625" style="63" customWidth="1"/>
    <col min="3" max="3" width="2.453125" style="56" customWidth="1"/>
    <col min="4" max="4" width="14.6328125" style="56" customWidth="1"/>
    <col min="5" max="5" width="1.1796875" style="56" customWidth="1"/>
    <col min="6" max="6" width="28.7265625" style="56" customWidth="1"/>
    <col min="7" max="7" width="11.36328125" style="56" customWidth="1"/>
    <col min="8" max="8" width="10.81640625" style="64" customWidth="1"/>
    <col min="9" max="9" width="7.54296875" style="57" customWidth="1"/>
    <col min="10" max="10" width="14.6328125" style="56" bestFit="1" customWidth="1"/>
    <col min="11" max="11" width="17.36328125" style="56" customWidth="1"/>
    <col min="12" max="12" width="2.54296875" style="56" customWidth="1"/>
    <col min="13" max="14" width="8.81640625" style="56"/>
    <col min="15" max="15" width="12.36328125" style="56" bestFit="1" customWidth="1"/>
    <col min="16" max="16384" width="8.81640625" style="56"/>
  </cols>
  <sheetData>
    <row r="1" spans="2:12" s="58" customFormat="1" ht="25.5" customHeight="1">
      <c r="C1" s="92"/>
      <c r="D1" s="92"/>
      <c r="E1" s="92"/>
      <c r="F1" s="92"/>
      <c r="G1" s="92"/>
      <c r="H1" s="92"/>
      <c r="I1" s="92"/>
      <c r="J1" s="92"/>
      <c r="K1" s="92"/>
      <c r="L1" s="66"/>
    </row>
    <row r="2" spans="2:12" s="58" customFormat="1" ht="17.399999999999999">
      <c r="B2" s="713"/>
      <c r="C2" s="713"/>
      <c r="D2" s="713"/>
      <c r="E2" s="713"/>
      <c r="F2" s="713"/>
      <c r="G2" s="713"/>
      <c r="H2" s="713"/>
      <c r="I2" s="713"/>
      <c r="J2" s="713"/>
      <c r="K2" s="713"/>
    </row>
    <row r="3" spans="2:12" s="58" customFormat="1" ht="17.399999999999999">
      <c r="B3" s="713">
        <f>"LAMPIRAN SPKP NO. "&amp;DATA!$B$4</f>
      </c>
      <c r="C3" s="713"/>
      <c r="D3" s="713"/>
      <c r="E3" s="713"/>
      <c r="F3" s="713"/>
      <c r="G3" s="713"/>
      <c r="H3" s="713"/>
      <c r="I3" s="713"/>
      <c r="J3" s="713"/>
      <c r="K3" s="713"/>
    </row>
    <row r="4" spans="2:12" s="58" customFormat="1" ht="17.399999999999999">
      <c r="B4" s="714" t="s">
        <v>172</v>
      </c>
      <c r="C4" s="714"/>
      <c r="D4" s="714"/>
      <c r="E4" s="714"/>
      <c r="F4" s="714"/>
      <c r="G4" s="714"/>
      <c r="H4" s="714"/>
      <c r="I4" s="714"/>
      <c r="J4" s="714"/>
      <c r="K4" s="714"/>
    </row>
    <row r="5" spans="2:12" s="58" customFormat="1" ht="15.6">
      <c r="B5" s="73"/>
      <c r="C5" s="73"/>
      <c r="D5" s="73"/>
      <c r="E5" s="73"/>
      <c r="F5" s="73"/>
      <c r="G5" s="73"/>
      <c r="H5" s="73"/>
      <c r="I5" s="73"/>
      <c r="J5" s="73"/>
      <c r="K5" s="73"/>
    </row>
    <row r="6" spans="2:12" s="58" customFormat="1" ht="18" customHeight="1">
      <c r="B6" s="58" t="s">
        <v>173</v>
      </c>
      <c r="E6" s="58" t="s">
        <v>2</v>
      </c>
      <c r="F6" s="93">
        <f>DATA!$B$4</f>
      </c>
    </row>
    <row r="7" spans="2:12" s="58" customFormat="1" ht="18" customHeight="1">
      <c r="B7" s="58" t="s">
        <v>174</v>
      </c>
      <c r="E7" s="58" t="s">
        <v>2</v>
      </c>
      <c r="F7" s="448">
        <f>TEXT(DATA!$B$5,"[$-21]dd mmmm yyyy")</f>
      </c>
    </row>
    <row r="8" spans="2:12" s="58" customFormat="1" ht="18" customHeight="1">
      <c r="B8" s="58" t="s">
        <v>175</v>
      </c>
      <c r="E8" s="58" t="s">
        <v>2</v>
      </c>
      <c r="F8" s="93">
        <f>DATA!$B$6</f>
      </c>
    </row>
    <row r="9" spans="2:12" s="58" customFormat="1" ht="18" customHeight="1">
      <c r="B9" s="58" t="s">
        <v>176</v>
      </c>
      <c r="E9" s="58" t="s">
        <v>2</v>
      </c>
      <c r="F9" s="93">
        <f>DATA!$B$7</f>
      </c>
    </row>
    <row r="10" spans="2:12">
      <c r="B10" s="90"/>
    </row>
    <row r="11" spans="2:12" ht="54" customHeight="1" thickBot="1">
      <c r="B11" s="505" t="s">
        <v>139</v>
      </c>
      <c r="C11" s="715" t="s">
        <v>177</v>
      </c>
      <c r="D11" s="716"/>
      <c r="E11" s="716"/>
      <c r="F11" s="716"/>
      <c r="G11" s="717"/>
      <c r="H11" s="715" t="s">
        <v>143</v>
      </c>
      <c r="I11" s="717"/>
      <c r="J11" s="94" t="s">
        <v>178</v>
      </c>
      <c r="K11" s="94" t="s">
        <v>179</v>
      </c>
    </row>
    <row r="12" spans="2:12" ht="16.2" thickTop="1">
      <c r="B12" s="231"/>
      <c r="C12" s="227"/>
      <c r="D12" s="227"/>
      <c r="E12" s="227"/>
      <c r="F12" s="227"/>
      <c r="G12" s="228"/>
      <c r="H12" s="225"/>
      <c r="I12" s="506"/>
      <c r="J12" s="226"/>
      <c r="K12" s="226"/>
    </row>
    <row r="13" spans="2:12" ht="19.95" customHeight="1">
      <c r="B13" s="530"/>
      <c r="C13" s="711">
        <f>DATA!$B$6</f>
      </c>
      <c r="D13" s="712"/>
      <c r="E13" s="712"/>
      <c r="F13" s="712"/>
      <c r="G13" s="712"/>
      <c r="H13" s="551"/>
      <c r="I13" s="552"/>
      <c r="J13" s="531"/>
      <c r="K13" s="532"/>
    </row>
    <row r="14" spans="2:12" ht="19.95" customHeight="1">
      <c r="B14" s="548"/>
      <c r="C14" s="720"/>
      <c r="D14" s="721"/>
      <c r="E14" s="721"/>
      <c r="F14" s="721"/>
      <c r="G14" s="722"/>
      <c r="H14" s="507"/>
      <c r="I14" s="508"/>
      <c r="J14" s="549"/>
      <c r="K14" s="550"/>
    </row>
    <row r="15" spans="2:12" ht="19.95" customHeight="1">
      <c r="B15" s="509"/>
      <c r="C15" s="553"/>
      <c r="D15" s="510"/>
      <c r="E15" s="511"/>
      <c r="F15" s="512"/>
      <c r="G15" s="513"/>
      <c r="H15" s="514"/>
      <c r="I15" s="515"/>
      <c r="J15" s="516"/>
      <c r="K15" s="517"/>
      <c r="L15" s="74"/>
    </row>
    <row r="16" spans="2:12" ht="19.95" customHeight="1">
      <c r="B16" s="509"/>
      <c r="C16" s="511"/>
      <c r="D16" s="512"/>
      <c r="E16" s="511"/>
      <c r="F16" s="512"/>
      <c r="G16" s="513"/>
      <c r="H16" s="514"/>
      <c r="I16" s="515"/>
      <c r="J16" s="516"/>
      <c r="K16" s="517"/>
      <c r="L16" s="74"/>
    </row>
    <row r="17" spans="2:12" ht="19.95" customHeight="1">
      <c r="B17" s="518"/>
      <c r="C17" s="519"/>
      <c r="D17" s="512"/>
      <c r="E17" s="511"/>
      <c r="F17" s="512"/>
      <c r="G17" s="513"/>
      <c r="H17" s="514"/>
      <c r="I17" s="515"/>
      <c r="J17" s="516"/>
      <c r="K17" s="517">
        <f t="shared" ref="K17:K38" si="0">H17*J17</f>
      </c>
      <c r="L17" s="74"/>
    </row>
    <row r="18" spans="2:12" ht="19.95" customHeight="1">
      <c r="B18" s="518"/>
      <c r="C18" s="519"/>
      <c r="D18" s="512"/>
      <c r="E18" s="511"/>
      <c r="F18" s="512"/>
      <c r="G18" s="513"/>
      <c r="H18" s="514"/>
      <c r="I18" s="515"/>
      <c r="J18" s="516"/>
      <c r="K18" s="517">
        <f t="shared" si="0"/>
      </c>
      <c r="L18" s="74"/>
    </row>
    <row r="19" spans="2:12" ht="19.95" customHeight="1">
      <c r="B19" s="518"/>
      <c r="C19" s="519"/>
      <c r="D19" s="512"/>
      <c r="E19" s="511"/>
      <c r="F19" s="512"/>
      <c r="G19" s="513"/>
      <c r="H19" s="514"/>
      <c r="I19" s="515"/>
      <c r="J19" s="516"/>
      <c r="K19" s="517">
        <f t="shared" si="0"/>
      </c>
      <c r="L19" s="74"/>
    </row>
    <row r="20" spans="2:12" ht="19.95" customHeight="1">
      <c r="B20" s="518"/>
      <c r="C20" s="519"/>
      <c r="D20" s="512"/>
      <c r="E20" s="511"/>
      <c r="F20" s="512"/>
      <c r="G20" s="513"/>
      <c r="H20" s="514"/>
      <c r="I20" s="515"/>
      <c r="J20" s="516"/>
      <c r="K20" s="517">
        <f t="shared" si="0"/>
      </c>
      <c r="L20" s="74"/>
    </row>
    <row r="21" spans="2:12" ht="19.95" customHeight="1">
      <c r="B21" s="518"/>
      <c r="C21" s="519"/>
      <c r="D21" s="512"/>
      <c r="E21" s="511"/>
      <c r="F21" s="512"/>
      <c r="G21" s="513"/>
      <c r="H21" s="514"/>
      <c r="I21" s="515"/>
      <c r="J21" s="516"/>
      <c r="K21" s="517">
        <f t="shared" si="0"/>
      </c>
      <c r="L21" s="74"/>
    </row>
    <row r="22" spans="2:12" ht="19.95" customHeight="1">
      <c r="B22" s="518"/>
      <c r="C22" s="519"/>
      <c r="D22" s="512"/>
      <c r="E22" s="511"/>
      <c r="F22" s="512"/>
      <c r="G22" s="513"/>
      <c r="H22" s="514"/>
      <c r="I22" s="515"/>
      <c r="J22" s="516"/>
      <c r="K22" s="517">
        <f t="shared" si="0"/>
      </c>
      <c r="L22" s="74"/>
    </row>
    <row r="23" spans="2:12" ht="19.95" customHeight="1">
      <c r="B23" s="518"/>
      <c r="C23" s="519"/>
      <c r="D23" s="512"/>
      <c r="E23" s="511"/>
      <c r="F23" s="512"/>
      <c r="G23" s="513"/>
      <c r="H23" s="514"/>
      <c r="I23" s="515"/>
      <c r="J23" s="516"/>
      <c r="K23" s="517">
        <v>0</v>
      </c>
      <c r="L23" s="74"/>
    </row>
    <row r="24" spans="2:12" ht="19.95" customHeight="1">
      <c r="B24" s="518"/>
      <c r="C24" s="519"/>
      <c r="D24" s="512"/>
      <c r="E24" s="511"/>
      <c r="F24" s="512"/>
      <c r="G24" s="513"/>
      <c r="H24" s="514"/>
      <c r="I24" s="515"/>
      <c r="J24" s="516"/>
      <c r="K24" s="517">
        <f t="shared" si="0"/>
      </c>
      <c r="L24" s="74"/>
    </row>
    <row r="25" spans="2:12" ht="19.95" customHeight="1">
      <c r="B25" s="520"/>
      <c r="C25" s="519"/>
      <c r="D25" s="512"/>
      <c r="E25" s="511"/>
      <c r="F25" s="512"/>
      <c r="G25" s="513"/>
      <c r="H25" s="514"/>
      <c r="I25" s="515"/>
      <c r="J25" s="516"/>
      <c r="K25" s="517"/>
      <c r="L25" s="74"/>
    </row>
    <row r="26" spans="2:12" ht="19.95" customHeight="1">
      <c r="B26" s="509"/>
      <c r="C26" s="553"/>
      <c r="D26" s="510"/>
      <c r="E26" s="511"/>
      <c r="F26" s="512"/>
      <c r="G26" s="513"/>
      <c r="H26" s="514"/>
      <c r="I26" s="515"/>
      <c r="J26" s="516"/>
      <c r="K26" s="517">
        <f t="shared" si="0"/>
      </c>
      <c r="L26" s="74"/>
    </row>
    <row r="27" spans="2:12" ht="19.95" customHeight="1">
      <c r="B27" s="518"/>
      <c r="C27" s="511"/>
      <c r="D27" s="512"/>
      <c r="E27" s="511"/>
      <c r="F27" s="512"/>
      <c r="G27" s="513"/>
      <c r="H27" s="514"/>
      <c r="I27" s="515"/>
      <c r="J27" s="516"/>
      <c r="K27" s="517">
        <f t="shared" si="0"/>
      </c>
      <c r="L27" s="74"/>
    </row>
    <row r="28" spans="2:12" ht="19.95" customHeight="1">
      <c r="B28" s="518"/>
      <c r="C28" s="519"/>
      <c r="D28" s="512"/>
      <c r="E28" s="511"/>
      <c r="F28" s="512"/>
      <c r="G28" s="513"/>
      <c r="H28" s="514"/>
      <c r="I28" s="515"/>
      <c r="J28" s="516"/>
      <c r="K28" s="517">
        <f t="shared" si="0"/>
      </c>
      <c r="L28" s="74"/>
    </row>
    <row r="29" spans="2:12" ht="19.95" customHeight="1">
      <c r="B29" s="518"/>
      <c r="C29" s="519"/>
      <c r="D29" s="512"/>
      <c r="E29" s="511"/>
      <c r="F29" s="512"/>
      <c r="G29" s="513"/>
      <c r="H29" s="514"/>
      <c r="I29" s="515"/>
      <c r="J29" s="516"/>
      <c r="K29" s="517">
        <f t="shared" si="0"/>
      </c>
      <c r="L29" s="74"/>
    </row>
    <row r="30" spans="2:12" ht="19.95" customHeight="1">
      <c r="B30" s="518"/>
      <c r="C30" s="519"/>
      <c r="D30" s="512"/>
      <c r="E30" s="511"/>
      <c r="F30" s="512"/>
      <c r="G30" s="513"/>
      <c r="H30" s="514"/>
      <c r="I30" s="515"/>
      <c r="J30" s="516"/>
      <c r="K30" s="517">
        <f t="shared" si="0"/>
      </c>
      <c r="L30" s="74"/>
    </row>
    <row r="31" spans="2:12" ht="19.95" customHeight="1">
      <c r="B31" s="518"/>
      <c r="C31" s="519"/>
      <c r="D31" s="512"/>
      <c r="E31" s="511"/>
      <c r="F31" s="512"/>
      <c r="G31" s="513"/>
      <c r="H31" s="514"/>
      <c r="I31" s="515"/>
      <c r="J31" s="516"/>
      <c r="K31" s="517">
        <f t="shared" si="0"/>
      </c>
      <c r="L31" s="74"/>
    </row>
    <row r="32" spans="2:12" ht="19.95" customHeight="1">
      <c r="B32" s="518"/>
      <c r="C32" s="519"/>
      <c r="D32" s="512"/>
      <c r="E32" s="511"/>
      <c r="F32" s="512"/>
      <c r="G32" s="513"/>
      <c r="H32" s="514"/>
      <c r="I32" s="515"/>
      <c r="J32" s="516"/>
      <c r="K32" s="517">
        <f t="shared" si="0"/>
      </c>
      <c r="L32" s="74"/>
    </row>
    <row r="33" spans="2:25" ht="19.95" customHeight="1">
      <c r="B33" s="518"/>
      <c r="C33" s="519"/>
      <c r="D33" s="512"/>
      <c r="E33" s="511"/>
      <c r="F33" s="512"/>
      <c r="G33" s="513"/>
      <c r="H33" s="514"/>
      <c r="I33" s="515"/>
      <c r="J33" s="516"/>
      <c r="K33" s="517">
        <f t="shared" si="0"/>
      </c>
      <c r="L33" s="74"/>
    </row>
    <row r="34" spans="2:25" ht="19.95" customHeight="1">
      <c r="B34" s="518"/>
      <c r="C34" s="519"/>
      <c r="D34" s="512"/>
      <c r="E34" s="511"/>
      <c r="F34" s="512"/>
      <c r="G34" s="513"/>
      <c r="H34" s="514"/>
      <c r="I34" s="515"/>
      <c r="J34" s="516"/>
      <c r="K34" s="517">
        <f t="shared" si="0"/>
      </c>
      <c r="L34" s="74"/>
    </row>
    <row r="35" spans="2:25" ht="19.95" customHeight="1">
      <c r="B35" s="518"/>
      <c r="C35" s="519"/>
      <c r="D35" s="512"/>
      <c r="E35" s="511"/>
      <c r="F35" s="512"/>
      <c r="G35" s="513"/>
      <c r="H35" s="514"/>
      <c r="I35" s="515"/>
      <c r="J35" s="516"/>
      <c r="K35" s="517">
        <v>0</v>
      </c>
      <c r="L35" s="74"/>
    </row>
    <row r="36" spans="2:25" ht="19.95" customHeight="1">
      <c r="B36" s="518"/>
      <c r="C36" s="519"/>
      <c r="D36" s="512"/>
      <c r="E36" s="511"/>
      <c r="F36" s="512"/>
      <c r="G36" s="513"/>
      <c r="H36" s="514"/>
      <c r="I36" s="515"/>
      <c r="J36" s="516"/>
      <c r="K36" s="517">
        <v>0</v>
      </c>
      <c r="L36" s="74"/>
    </row>
    <row r="37" spans="2:25" ht="19.95" customHeight="1">
      <c r="B37" s="518"/>
      <c r="C37" s="519"/>
      <c r="D37" s="512"/>
      <c r="E37" s="511"/>
      <c r="F37" s="512"/>
      <c r="G37" s="513"/>
      <c r="H37" s="514"/>
      <c r="I37" s="515"/>
      <c r="J37" s="516"/>
      <c r="K37" s="517">
        <f t="shared" si="0"/>
      </c>
      <c r="L37" s="74"/>
    </row>
    <row r="38" spans="2:25" ht="19.95" customHeight="1">
      <c r="B38" s="518"/>
      <c r="C38" s="519"/>
      <c r="D38" s="512"/>
      <c r="E38" s="511"/>
      <c r="F38" s="512"/>
      <c r="G38" s="513"/>
      <c r="H38" s="514"/>
      <c r="I38" s="515"/>
      <c r="J38" s="516"/>
      <c r="K38" s="517">
        <f t="shared" si="0"/>
      </c>
      <c r="L38" s="74"/>
    </row>
    <row r="39" spans="2:25" ht="19.95" customHeight="1">
      <c r="B39" s="520"/>
      <c r="C39" s="519"/>
      <c r="D39" s="512"/>
      <c r="E39" s="511"/>
      <c r="F39" s="512"/>
      <c r="G39" s="513"/>
      <c r="H39" s="514"/>
      <c r="I39" s="515"/>
      <c r="J39" s="516"/>
      <c r="K39" s="517"/>
      <c r="L39" s="74"/>
    </row>
    <row r="40" spans="2:25" ht="20.100000000000001" customHeight="1" thickBot="1">
      <c r="B40" s="254"/>
      <c r="C40" s="255"/>
      <c r="D40" s="255"/>
      <c r="E40" s="255"/>
      <c r="F40" s="256"/>
      <c r="G40" s="257"/>
      <c r="H40" s="95"/>
      <c r="I40" s="96"/>
      <c r="J40" s="97"/>
      <c r="K40" s="258"/>
    </row>
    <row r="41" spans="2:25" ht="19.95" customHeight="1" thickTop="1" thickBot="1">
      <c r="B41" s="727" t="s">
        <v>123</v>
      </c>
      <c r="C41" s="728"/>
      <c r="D41" s="728"/>
      <c r="E41" s="728"/>
      <c r="F41" s="728"/>
      <c r="G41" s="728"/>
      <c r="H41" s="728"/>
      <c r="I41" s="728"/>
      <c r="J41" s="729"/>
      <c r="K41" s="259">
        <f>SUM(K15:K39)</f>
      </c>
      <c r="M41" s="220"/>
    </row>
    <row r="42" spans="2:25" ht="19.95" customHeight="1" thickTop="1" thickBot="1">
      <c r="B42" s="727" t="s">
        <v>180</v>
      </c>
      <c r="C42" s="728"/>
      <c r="D42" s="728"/>
      <c r="E42" s="728"/>
      <c r="F42" s="728"/>
      <c r="G42" s="728"/>
      <c r="H42" s="728"/>
      <c r="I42" s="728"/>
      <c r="J42" s="729"/>
      <c r="K42" s="259">
        <f>K41*0.11</f>
      </c>
      <c r="M42" s="220"/>
    </row>
    <row r="43" spans="2:25" ht="19.95" customHeight="1" thickTop="1">
      <c r="B43" s="727" t="s">
        <v>181</v>
      </c>
      <c r="C43" s="728"/>
      <c r="D43" s="728"/>
      <c r="E43" s="728"/>
      <c r="F43" s="728"/>
      <c r="G43" s="728"/>
      <c r="H43" s="728"/>
      <c r="I43" s="728"/>
      <c r="J43" s="729"/>
      <c r="K43" s="259">
        <f>K41+K42</f>
      </c>
      <c r="M43" s="220"/>
    </row>
    <row r="44" spans="2:25" ht="15.6">
      <c r="B44" s="521"/>
      <c r="C44" s="58"/>
      <c r="D44" s="58"/>
      <c r="E44" s="58"/>
      <c r="F44" s="58"/>
      <c r="G44" s="71"/>
      <c r="H44" s="77"/>
      <c r="I44" s="215"/>
      <c r="J44" s="59"/>
      <c r="K44" s="522"/>
    </row>
    <row r="45" spans="2:25" ht="15.6">
      <c r="B45" s="523" t="s">
        <v>182</v>
      </c>
      <c r="H45" s="56"/>
      <c r="I45" s="56"/>
      <c r="K45" s="524"/>
      <c r="V45" s="98"/>
      <c r="W45" s="57"/>
      <c r="X45" s="74"/>
      <c r="Y45" s="525"/>
    </row>
    <row r="46" spans="2:25" ht="15" customHeight="1">
      <c r="B46" s="526"/>
      <c r="D46" s="730">
        <f>PROPER(IF(K43=0,"nol",IF(K43&lt;0,"minus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IF(--MID(TEXT(ABS(K43),"000000000000000"),1,3)=0,"",MID(TEXT(ABS(K43),"000000000000000"),1,1)&amp;" ratus "&amp;MID(TEXT(ABS(K43),"000000000000000"),2,1)&amp;" puluh "&amp;MID(TEXT(ABS(K43),"000000000000000"),3,1)&amp;" trilyun ")&amp; IF(--MID(TEXT(ABS(K43),"000000000000000"),4,3)=0,"",MID(TEXT(ABS(K43),"000000000000000"),4,1)&amp;" ratus "&amp;MID(TEXT(ABS(K43),"000000000000000"),5,1)&amp;" puluh "&amp;MID(TEXT(ABS(K43),"000000000000000"),6,1)&amp;" milyar ")&amp; IF(--MID(TEXT(ABS(K43),"000000000000000"),7,3)=0,"",MID(TEXT(ABS(K43),"000000000000000"),7,1)&amp;" ratus "&amp;MID(TEXT(ABS(K43),"000000000000000"),8,1)&amp;" puluh "&amp;MID(TEXT(ABS(K43),"000000000000000"),9,1)&amp;" juta ")&amp; IF(--MID(TEXT(ABS(K43),"000000000000000"),10,3)=0,"",IF(--MID(TEXT(ABS(K43),"000000000000000"),10,3)=1,"*",MID(TEXT(ABS(K43),"000000000000000"),10,1)&amp;" ratus "&amp;MID(TEXT(ABS(K43),"000000000000000"),11,1)&amp;" puluh ")&amp;MID(TEXT(ABS(K43),"000000000000000"),12,1)&amp;" ribu ")&amp; IF(--MID(TEXT(ABS(K43),"000000000000000"),13,3)=0,"",MID(TEXT(ABS(K43),"000000000000000"),13,1)&amp;" ratus "&amp;MID(TEXT(ABS(K43),"000000000000000"),14,1)&amp;" puluh "&amp;MID(TEXT(ABS(K43),"000000000000000"),15,1)),1,"satu"),2,"dua"),3,"tiga"),4,"empat"),5,"lima"),6,"enam"),7,"tujuh"),8,"delapan"),9,"sembilan"),"0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Rupiah"</f>
      </c>
      <c r="E46" s="731"/>
      <c r="F46" s="731"/>
      <c r="G46" s="731"/>
      <c r="H46" s="731"/>
      <c r="I46" s="731"/>
      <c r="J46" s="731"/>
      <c r="K46" s="732"/>
    </row>
    <row r="47" spans="2:25" ht="15" customHeight="1">
      <c r="B47" s="526"/>
      <c r="D47" s="733"/>
      <c r="E47" s="734"/>
      <c r="F47" s="734"/>
      <c r="G47" s="734"/>
      <c r="H47" s="734"/>
      <c r="I47" s="734"/>
      <c r="J47" s="734"/>
      <c r="K47" s="735"/>
    </row>
    <row r="48" spans="2:25" ht="5.25" customHeight="1" thickBot="1">
      <c r="B48" s="99"/>
      <c r="C48" s="527"/>
      <c r="D48" s="527"/>
      <c r="E48" s="527"/>
      <c r="F48" s="527"/>
      <c r="G48" s="527"/>
      <c r="H48" s="528"/>
      <c r="I48" s="529"/>
      <c r="J48" s="527"/>
      <c r="K48" s="100"/>
    </row>
    <row r="49" spans="2:11" ht="13.8" thickTop="1"/>
    <row r="55" spans="2:11" ht="15.6">
      <c r="B55" s="736" t="s">
        <v>183</v>
      </c>
      <c r="C55" s="736"/>
      <c r="D55" s="736"/>
      <c r="E55" s="736"/>
      <c r="F55" s="736"/>
      <c r="I55" s="724" t="s">
        <v>184</v>
      </c>
      <c r="J55" s="724"/>
      <c r="K55" s="724"/>
    </row>
    <row r="56" spans="2:11" ht="15.6">
      <c r="B56" s="723">
        <f>UPPER(DATA!$B$17)</f>
      </c>
      <c r="C56" s="723"/>
      <c r="D56" s="723"/>
      <c r="E56" s="723"/>
      <c r="F56" s="723"/>
      <c r="I56" s="724">
        <f>UPPER(DATA!$B$24)</f>
      </c>
      <c r="J56" s="724"/>
      <c r="K56" s="724"/>
    </row>
    <row r="57" spans="2:11" ht="15.6">
      <c r="B57" s="723">
        <f>UPPER(DATA!$B$19)</f>
      </c>
      <c r="C57" s="723"/>
      <c r="D57" s="723"/>
      <c r="E57" s="723"/>
      <c r="F57" s="723"/>
      <c r="I57" s="724"/>
      <c r="J57" s="724"/>
      <c r="K57" s="724"/>
    </row>
    <row r="58" spans="2:11" ht="15">
      <c r="B58" s="229"/>
      <c r="C58" s="230"/>
      <c r="D58" s="230"/>
      <c r="E58" s="230"/>
      <c r="F58" s="230"/>
      <c r="K58" s="58"/>
    </row>
    <row r="59" spans="2:11" ht="15">
      <c r="B59" s="229"/>
      <c r="C59" s="230"/>
      <c r="D59" s="230"/>
      <c r="E59" s="230"/>
      <c r="F59" s="230"/>
      <c r="K59" s="58"/>
    </row>
    <row r="60" spans="2:11" ht="15">
      <c r="B60" s="229"/>
      <c r="C60" s="230"/>
      <c r="D60" s="230"/>
      <c r="E60" s="230"/>
      <c r="F60" s="230"/>
      <c r="K60" s="58"/>
    </row>
    <row r="61" spans="2:11" ht="15">
      <c r="B61" s="229"/>
      <c r="C61" s="230"/>
      <c r="D61" s="230"/>
      <c r="E61" s="230"/>
      <c r="F61" s="230"/>
      <c r="K61" s="58"/>
    </row>
    <row r="62" spans="2:11" ht="15">
      <c r="B62" s="229"/>
      <c r="C62" s="230"/>
      <c r="D62" s="230"/>
      <c r="E62" s="230"/>
      <c r="F62" s="230"/>
      <c r="K62" s="58"/>
    </row>
    <row r="63" spans="2:11" ht="15">
      <c r="B63" s="229"/>
      <c r="C63" s="230"/>
      <c r="D63" s="230"/>
      <c r="E63" s="230"/>
      <c r="F63" s="230"/>
      <c r="K63" s="58"/>
    </row>
    <row r="64" spans="2:11" ht="15.6">
      <c r="B64" s="725">
        <f>DATA!$B$69</f>
      </c>
      <c r="C64" s="725"/>
      <c r="D64" s="725"/>
      <c r="E64" s="725"/>
      <c r="F64" s="725"/>
      <c r="I64" s="726">
        <f>DATA!$B$22</f>
      </c>
      <c r="J64" s="726"/>
      <c r="K64" s="726"/>
    </row>
    <row r="65" spans="2:11" ht="15">
      <c r="B65" s="718">
        <f>DATA!$B$70</f>
      </c>
      <c r="C65" s="718"/>
      <c r="D65" s="718"/>
      <c r="E65" s="718"/>
      <c r="F65" s="718"/>
      <c r="I65" s="719">
        <f>DATA!$B$23</f>
      </c>
      <c r="J65" s="719"/>
      <c r="K65" s="719"/>
    </row>
  </sheetData>
  <mergeCells count="21">
    <mergeCell ref="B65:F65"/>
    <mergeCell ref="I65:K65"/>
    <mergeCell ref="C14:G14"/>
    <mergeCell ref="B56:F56"/>
    <mergeCell ref="I56:K56"/>
    <mergeCell ref="B57:F57"/>
    <mergeCell ref="I57:K57"/>
    <mergeCell ref="B64:F64"/>
    <mergeCell ref="I64:K64"/>
    <mergeCell ref="B41:J41"/>
    <mergeCell ref="B42:J42"/>
    <mergeCell ref="B43:J43"/>
    <mergeCell ref="D46:K47"/>
    <mergeCell ref="B55:F55"/>
    <mergeCell ref="I55:K55"/>
    <mergeCell ref="C13:G13"/>
    <mergeCell ref="B2:K2"/>
    <mergeCell ref="B3:K3"/>
    <mergeCell ref="B4:K4"/>
    <mergeCell ref="C11:G11"/>
    <mergeCell ref="H11:I11"/>
  </mergeCells>
  <pageMargins left="0.7" right="0.7" top="0.75" bottom="0.75" header="0.3" footer="0.3"/>
  <pageSetup scale="55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8906-4AFE-4B9B-B643-70B69D971D02}">
  <dimension ref="A1:D100"/>
  <sheetViews>
    <sheetView topLeftCell="A65" workbookViewId="0"/>
  </sheetViews>
  <sheetFormatPr defaultRowHeight="15"/>
  <cols>
    <col min="1" max="1" width="7.1796875" bestFit="1" customWidth="1"/>
    <col min="2" max="2" width="21" bestFit="1" customWidth="1"/>
  </cols>
  <sheetData>
    <row r="1" spans="1:4" ht="15.6">
      <c r="A1" s="436" t="s">
        <v>185</v>
      </c>
      <c r="B1" s="436" t="s">
        <v>186</v>
      </c>
      <c r="D1" t="s">
        <v>187</v>
      </c>
    </row>
    <row r="2" spans="1:4">
      <c r="A2">
        <v>1</v>
      </c>
      <c r="B2" t="s">
        <v>188</v>
      </c>
    </row>
    <row r="3" spans="1:4">
      <c r="A3">
        <v>2</v>
      </c>
      <c r="B3" t="s">
        <v>189</v>
      </c>
    </row>
    <row r="4" spans="1:4">
      <c r="A4">
        <v>3</v>
      </c>
      <c r="B4" t="s">
        <v>190</v>
      </c>
    </row>
    <row r="5" spans="1:4">
      <c r="A5">
        <v>4</v>
      </c>
      <c r="B5" t="s">
        <v>191</v>
      </c>
    </row>
    <row r="6" spans="1:4">
      <c r="A6">
        <v>5</v>
      </c>
      <c r="B6" t="s">
        <v>192</v>
      </c>
    </row>
    <row r="7" spans="1:4">
      <c r="A7">
        <v>6</v>
      </c>
      <c r="B7" t="s">
        <v>193</v>
      </c>
    </row>
    <row r="8" spans="1:4">
      <c r="A8">
        <v>7</v>
      </c>
      <c r="B8" t="s">
        <v>194</v>
      </c>
    </row>
    <row r="9" spans="1:4">
      <c r="A9">
        <v>8</v>
      </c>
      <c r="B9" t="s">
        <v>195</v>
      </c>
    </row>
    <row r="10" spans="1:4">
      <c r="A10">
        <v>9</v>
      </c>
      <c r="B10" t="s">
        <v>196</v>
      </c>
    </row>
    <row r="11" spans="1:4">
      <c r="A11">
        <v>10</v>
      </c>
      <c r="B11" t="s">
        <v>197</v>
      </c>
    </row>
    <row r="12" spans="1:4">
      <c r="A12">
        <v>11</v>
      </c>
      <c r="B12" t="s">
        <v>198</v>
      </c>
    </row>
    <row r="13" spans="1:4">
      <c r="A13">
        <v>12</v>
      </c>
      <c r="B13" t="s">
        <v>199</v>
      </c>
    </row>
    <row r="14" spans="1:4">
      <c r="A14">
        <v>13</v>
      </c>
      <c r="B14" t="s">
        <v>200</v>
      </c>
    </row>
    <row r="15" spans="1:4">
      <c r="A15">
        <v>14</v>
      </c>
      <c r="B15" t="s">
        <v>201</v>
      </c>
    </row>
    <row r="16" spans="1:4">
      <c r="A16">
        <v>15</v>
      </c>
      <c r="B16" t="s">
        <v>202</v>
      </c>
    </row>
    <row r="17" spans="1:2">
      <c r="A17">
        <v>16</v>
      </c>
      <c r="B17" t="s">
        <v>203</v>
      </c>
    </row>
    <row r="18" spans="1:2">
      <c r="A18">
        <v>17</v>
      </c>
      <c r="B18" t="s">
        <v>204</v>
      </c>
    </row>
    <row r="19" spans="1:2">
      <c r="A19">
        <v>18</v>
      </c>
      <c r="B19" t="s">
        <v>205</v>
      </c>
    </row>
    <row r="20" spans="1:2">
      <c r="A20">
        <v>19</v>
      </c>
      <c r="B20" t="s">
        <v>206</v>
      </c>
    </row>
    <row r="21" spans="1:2">
      <c r="A21">
        <v>20</v>
      </c>
      <c r="B21" t="s">
        <v>207</v>
      </c>
    </row>
    <row r="22" spans="1:2">
      <c r="A22">
        <v>21</v>
      </c>
      <c r="B22" t="s">
        <v>208</v>
      </c>
    </row>
    <row r="23" spans="1:2">
      <c r="A23">
        <v>22</v>
      </c>
      <c r="B23" t="s">
        <v>209</v>
      </c>
    </row>
    <row r="24" spans="1:2">
      <c r="A24">
        <v>23</v>
      </c>
      <c r="B24" t="s">
        <v>210</v>
      </c>
    </row>
    <row r="25" spans="1:2">
      <c r="A25">
        <v>24</v>
      </c>
      <c r="B25" t="s">
        <v>211</v>
      </c>
    </row>
    <row r="26" spans="1:2">
      <c r="A26">
        <v>25</v>
      </c>
      <c r="B26" t="s">
        <v>212</v>
      </c>
    </row>
    <row r="27" spans="1:2">
      <c r="A27">
        <v>26</v>
      </c>
      <c r="B27" t="s">
        <v>213</v>
      </c>
    </row>
    <row r="28" spans="1:2">
      <c r="A28">
        <v>27</v>
      </c>
      <c r="B28" t="s">
        <v>214</v>
      </c>
    </row>
    <row r="29" spans="1:2">
      <c r="A29">
        <v>28</v>
      </c>
      <c r="B29" t="s">
        <v>215</v>
      </c>
    </row>
    <row r="30" spans="1:2">
      <c r="A30">
        <v>29</v>
      </c>
      <c r="B30" t="s">
        <v>216</v>
      </c>
    </row>
    <row r="31" spans="1:2">
      <c r="A31">
        <v>30</v>
      </c>
      <c r="B31" t="s">
        <v>217</v>
      </c>
    </row>
    <row r="32" spans="1:2">
      <c r="A32">
        <v>31</v>
      </c>
      <c r="B32" t="s">
        <v>218</v>
      </c>
    </row>
    <row r="33" spans="1:2">
      <c r="A33">
        <v>32</v>
      </c>
      <c r="B33" t="s">
        <v>219</v>
      </c>
    </row>
    <row r="34" spans="1:2">
      <c r="A34">
        <v>33</v>
      </c>
      <c r="B34" t="s">
        <v>220</v>
      </c>
    </row>
    <row r="35" spans="1:2">
      <c r="A35">
        <v>34</v>
      </c>
      <c r="B35" t="s">
        <v>221</v>
      </c>
    </row>
    <row r="36" spans="1:2">
      <c r="A36">
        <v>35</v>
      </c>
      <c r="B36" t="s">
        <v>222</v>
      </c>
    </row>
    <row r="37" spans="1:2">
      <c r="A37">
        <v>36</v>
      </c>
      <c r="B37" t="s">
        <v>223</v>
      </c>
    </row>
    <row r="38" spans="1:2">
      <c r="A38">
        <v>37</v>
      </c>
      <c r="B38" t="s">
        <v>224</v>
      </c>
    </row>
    <row r="39" spans="1:2">
      <c r="A39">
        <v>38</v>
      </c>
      <c r="B39" t="s">
        <v>225</v>
      </c>
    </row>
    <row r="40" spans="1:2">
      <c r="A40">
        <v>39</v>
      </c>
      <c r="B40" t="s">
        <v>226</v>
      </c>
    </row>
    <row r="41" spans="1:2">
      <c r="A41">
        <v>40</v>
      </c>
      <c r="B41" t="s">
        <v>227</v>
      </c>
    </row>
    <row r="42" spans="1:2">
      <c r="A42">
        <v>41</v>
      </c>
      <c r="B42" t="s">
        <v>228</v>
      </c>
    </row>
    <row r="43" spans="1:2">
      <c r="A43">
        <v>42</v>
      </c>
      <c r="B43" t="s">
        <v>229</v>
      </c>
    </row>
    <row r="44" spans="1:2">
      <c r="A44">
        <v>43</v>
      </c>
      <c r="B44" t="s">
        <v>230</v>
      </c>
    </row>
    <row r="45" spans="1:2">
      <c r="A45">
        <v>44</v>
      </c>
      <c r="B45" t="s">
        <v>231</v>
      </c>
    </row>
    <row r="46" spans="1:2">
      <c r="A46">
        <v>45</v>
      </c>
      <c r="B46" t="s">
        <v>232</v>
      </c>
    </row>
    <row r="47" spans="1:2">
      <c r="A47">
        <v>46</v>
      </c>
      <c r="B47" t="s">
        <v>233</v>
      </c>
    </row>
    <row r="48" spans="1:2">
      <c r="A48">
        <v>47</v>
      </c>
      <c r="B48" t="s">
        <v>234</v>
      </c>
    </row>
    <row r="49" spans="1:2">
      <c r="A49">
        <v>48</v>
      </c>
      <c r="B49" t="s">
        <v>235</v>
      </c>
    </row>
    <row r="50" spans="1:2">
      <c r="A50">
        <v>49</v>
      </c>
      <c r="B50" t="s">
        <v>236</v>
      </c>
    </row>
    <row r="51" spans="1:2">
      <c r="A51">
        <v>50</v>
      </c>
      <c r="B51" t="s">
        <v>237</v>
      </c>
    </row>
    <row r="52" spans="1:2">
      <c r="A52">
        <v>51</v>
      </c>
      <c r="B52" t="s">
        <v>238</v>
      </c>
    </row>
    <row r="53" spans="1:2">
      <c r="A53">
        <v>52</v>
      </c>
      <c r="B53" t="s">
        <v>239</v>
      </c>
    </row>
    <row r="54" spans="1:2">
      <c r="A54">
        <v>53</v>
      </c>
      <c r="B54" t="s">
        <v>240</v>
      </c>
    </row>
    <row r="55" spans="1:2">
      <c r="A55">
        <v>54</v>
      </c>
      <c r="B55" t="s">
        <v>241</v>
      </c>
    </row>
    <row r="56" spans="1:2">
      <c r="A56">
        <v>55</v>
      </c>
      <c r="B56" t="s">
        <v>242</v>
      </c>
    </row>
    <row r="57" spans="1:2">
      <c r="A57">
        <v>56</v>
      </c>
      <c r="B57" t="s">
        <v>243</v>
      </c>
    </row>
    <row r="58" spans="1:2">
      <c r="A58">
        <v>57</v>
      </c>
      <c r="B58" t="s">
        <v>244</v>
      </c>
    </row>
    <row r="59" spans="1:2">
      <c r="A59">
        <v>58</v>
      </c>
      <c r="B59" t="s">
        <v>245</v>
      </c>
    </row>
    <row r="60" spans="1:2">
      <c r="A60">
        <v>59</v>
      </c>
      <c r="B60" t="s">
        <v>246</v>
      </c>
    </row>
    <row r="61" spans="1:2">
      <c r="A61">
        <v>60</v>
      </c>
      <c r="B61" t="s">
        <v>247</v>
      </c>
    </row>
    <row r="62" spans="1:2">
      <c r="A62">
        <v>61</v>
      </c>
      <c r="B62" t="s">
        <v>248</v>
      </c>
    </row>
    <row r="63" spans="1:2">
      <c r="A63">
        <v>62</v>
      </c>
      <c r="B63" t="s">
        <v>249</v>
      </c>
    </row>
    <row r="64" spans="1:2">
      <c r="A64">
        <v>63</v>
      </c>
      <c r="B64" t="s">
        <v>250</v>
      </c>
    </row>
    <row r="65" spans="1:2">
      <c r="A65">
        <v>64</v>
      </c>
      <c r="B65" t="s">
        <v>251</v>
      </c>
    </row>
    <row r="66" spans="1:2">
      <c r="A66">
        <v>65</v>
      </c>
      <c r="B66" t="s">
        <v>252</v>
      </c>
    </row>
    <row r="67" spans="1:2">
      <c r="A67">
        <v>66</v>
      </c>
      <c r="B67" t="s">
        <v>253</v>
      </c>
    </row>
    <row r="68" spans="1:2">
      <c r="A68">
        <v>67</v>
      </c>
      <c r="B68" t="s">
        <v>254</v>
      </c>
    </row>
    <row r="69" spans="1:2">
      <c r="A69">
        <v>68</v>
      </c>
      <c r="B69" t="s">
        <v>255</v>
      </c>
    </row>
    <row r="70" spans="1:2">
      <c r="A70">
        <v>69</v>
      </c>
      <c r="B70" t="s">
        <v>256</v>
      </c>
    </row>
    <row r="71" spans="1:2">
      <c r="A71">
        <v>70</v>
      </c>
      <c r="B71" t="s">
        <v>257</v>
      </c>
    </row>
    <row r="72" spans="1:2">
      <c r="A72">
        <v>71</v>
      </c>
      <c r="B72" t="s">
        <v>258</v>
      </c>
    </row>
    <row r="73" spans="1:2">
      <c r="A73">
        <v>72</v>
      </c>
      <c r="B73" t="s">
        <v>259</v>
      </c>
    </row>
    <row r="74" spans="1:2">
      <c r="A74">
        <v>73</v>
      </c>
      <c r="B74" t="s">
        <v>260</v>
      </c>
    </row>
    <row r="75" spans="1:2">
      <c r="A75">
        <v>74</v>
      </c>
      <c r="B75" t="s">
        <v>261</v>
      </c>
    </row>
    <row r="76" spans="1:2">
      <c r="A76">
        <v>75</v>
      </c>
      <c r="B76" t="s">
        <v>262</v>
      </c>
    </row>
    <row r="77" spans="1:2">
      <c r="A77">
        <v>76</v>
      </c>
      <c r="B77" t="s">
        <v>263</v>
      </c>
    </row>
    <row r="78" spans="1:2">
      <c r="A78">
        <v>77</v>
      </c>
      <c r="B78" t="s">
        <v>264</v>
      </c>
    </row>
    <row r="79" spans="1:2">
      <c r="A79">
        <v>78</v>
      </c>
      <c r="B79" t="s">
        <v>265</v>
      </c>
    </row>
    <row r="80" spans="1:2">
      <c r="A80">
        <v>79</v>
      </c>
      <c r="B80" t="s">
        <v>266</v>
      </c>
    </row>
    <row r="81" spans="1:2">
      <c r="A81">
        <v>80</v>
      </c>
      <c r="B81" t="s">
        <v>267</v>
      </c>
    </row>
    <row r="82" spans="1:2">
      <c r="A82">
        <v>81</v>
      </c>
      <c r="B82" t="s">
        <v>268</v>
      </c>
    </row>
    <row r="83" spans="1:2">
      <c r="A83">
        <v>82</v>
      </c>
      <c r="B83" t="s">
        <v>269</v>
      </c>
    </row>
    <row r="84" spans="1:2">
      <c r="A84">
        <v>83</v>
      </c>
      <c r="B84" t="s">
        <v>270</v>
      </c>
    </row>
    <row r="85" spans="1:2">
      <c r="A85">
        <v>84</v>
      </c>
      <c r="B85" t="s">
        <v>271</v>
      </c>
    </row>
    <row r="86" spans="1:2">
      <c r="A86">
        <v>85</v>
      </c>
      <c r="B86" t="s">
        <v>272</v>
      </c>
    </row>
    <row r="87" spans="1:2">
      <c r="A87">
        <v>86</v>
      </c>
      <c r="B87" t="s">
        <v>273</v>
      </c>
    </row>
    <row r="88" spans="1:2">
      <c r="A88">
        <v>87</v>
      </c>
      <c r="B88" t="s">
        <v>274</v>
      </c>
    </row>
    <row r="89" spans="1:2">
      <c r="A89">
        <v>88</v>
      </c>
      <c r="B89" t="s">
        <v>275</v>
      </c>
    </row>
    <row r="90" spans="1:2">
      <c r="A90">
        <v>89</v>
      </c>
      <c r="B90" t="s">
        <v>276</v>
      </c>
    </row>
    <row r="91" spans="1:2">
      <c r="A91">
        <v>90</v>
      </c>
      <c r="B91" t="s">
        <v>277</v>
      </c>
    </row>
    <row r="92" spans="1:2">
      <c r="A92">
        <v>91</v>
      </c>
      <c r="B92" t="s">
        <v>278</v>
      </c>
    </row>
    <row r="93" spans="1:2">
      <c r="A93">
        <v>92</v>
      </c>
      <c r="B93" t="s">
        <v>279</v>
      </c>
    </row>
    <row r="94" spans="1:2">
      <c r="A94">
        <v>93</v>
      </c>
      <c r="B94" t="s">
        <v>280</v>
      </c>
    </row>
    <row r="95" spans="1:2">
      <c r="A95">
        <v>94</v>
      </c>
      <c r="B95" t="s">
        <v>281</v>
      </c>
    </row>
    <row r="96" spans="1:2">
      <c r="A96">
        <v>95</v>
      </c>
      <c r="B96" t="s">
        <v>282</v>
      </c>
    </row>
    <row r="97" spans="1:2">
      <c r="A97">
        <v>96</v>
      </c>
      <c r="B97" t="s">
        <v>283</v>
      </c>
    </row>
    <row r="98" spans="1:2">
      <c r="A98">
        <v>97</v>
      </c>
      <c r="B98" t="s">
        <v>284</v>
      </c>
    </row>
    <row r="99" spans="1:2">
      <c r="A99">
        <v>98</v>
      </c>
      <c r="B99" t="s">
        <v>285</v>
      </c>
    </row>
    <row r="100" spans="1:2">
      <c r="A100">
        <v>99</v>
      </c>
      <c r="B100" t="s">
        <v>286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97DC-AE59-4828-A975-300FC72FC889}">
  <dimension ref="A1:B116"/>
  <sheetViews>
    <sheetView topLeftCell="A21" workbookViewId="0">
      <selection activeCell="B5" sqref="B5"/>
    </sheetView>
  </sheetViews>
  <sheetFormatPr defaultRowHeight="15"/>
  <cols>
    <col min="1" max="1" width="34.08984375" customWidth="1"/>
    <col min="2" max="2" width="56.26953125" customWidth="1"/>
  </cols>
  <sheetData>
    <row r="1" spans="1:2" ht="16.8">
      <c r="A1" s="437" t="s">
        <v>287</v>
      </c>
      <c r="B1" s="440"/>
    </row>
    <row r="2" spans="1:2">
      <c r="A2" t="s">
        <v>288</v>
      </c>
      <c r="B2" s="440"/>
    </row>
    <row r="3" spans="1:2" ht="15.6">
      <c r="A3" s="438" t="s">
        <v>289</v>
      </c>
      <c r="B3" s="440"/>
    </row>
    <row r="4" spans="1:2">
      <c r="A4" t="s">
        <v>290</v>
      </c>
      <c r="B4" s="441"/>
    </row>
    <row r="5" spans="1:2">
      <c r="A5" t="s">
        <v>291</v>
      </c>
      <c r="B5" s="442"/>
    </row>
    <row r="6" spans="1:2">
      <c r="A6" t="s">
        <v>292</v>
      </c>
      <c r="B6" s="441"/>
    </row>
    <row r="7" spans="1:2" ht="15.6">
      <c r="A7" t="s">
        <v>293</v>
      </c>
      <c r="B7" s="441" t="s">
        <v>294</v>
      </c>
    </row>
    <row r="8" spans="1:2">
      <c r="A8" t="s">
        <v>295</v>
      </c>
      <c r="B8" s="442"/>
    </row>
    <row r="9" spans="1:2">
      <c r="A9" t="s">
        <v>296</v>
      </c>
      <c r="B9" s="442"/>
    </row>
    <row r="10" spans="1:2">
      <c r="A10" t="s">
        <v>297</v>
      </c>
      <c r="B10" s="443">
        <f>lamp1!K41</f>
      </c>
    </row>
    <row r="11" spans="1:2">
      <c r="A11" t="s">
        <v>298</v>
      </c>
      <c r="B11" s="444">
        <v>0.11</v>
      </c>
    </row>
    <row r="12" spans="1:2">
      <c r="B12" s="440"/>
    </row>
    <row r="13" spans="1:2" ht="15.6">
      <c r="A13" s="438" t="s">
        <v>299</v>
      </c>
      <c r="B13" s="440"/>
    </row>
    <row r="14" spans="1:2">
      <c r="A14" t="s">
        <v>300</v>
      </c>
      <c r="B14" s="441" t="s">
        <v>301</v>
      </c>
    </row>
    <row r="15" spans="1:2">
      <c r="A15" t="s">
        <v>302</v>
      </c>
      <c r="B15" s="441" t="s">
        <v>303</v>
      </c>
    </row>
    <row r="16" spans="1:2">
      <c r="A16" t="s">
        <v>304</v>
      </c>
      <c r="B16" s="441" t="s">
        <v>303</v>
      </c>
    </row>
    <row r="17" spans="1:2">
      <c r="A17" t="s">
        <v>305</v>
      </c>
      <c r="B17" s="441" t="s">
        <v>306</v>
      </c>
    </row>
    <row r="18" spans="1:2">
      <c r="A18" t="s">
        <v>307</v>
      </c>
      <c r="B18" s="441" t="s">
        <v>308</v>
      </c>
    </row>
    <row r="19" spans="1:2">
      <c r="A19" t="s">
        <v>309</v>
      </c>
      <c r="B19" s="441" t="s">
        <v>310</v>
      </c>
    </row>
    <row r="20" spans="1:2">
      <c r="B20" s="440"/>
    </row>
    <row r="21" spans="1:2" ht="15.6">
      <c r="A21" s="438" t="s">
        <v>311</v>
      </c>
      <c r="B21" s="440"/>
    </row>
    <row r="22" spans="1:2">
      <c r="A22" t="s">
        <v>312</v>
      </c>
      <c r="B22" s="441"/>
    </row>
    <row r="23" spans="1:2">
      <c r="A23" t="s">
        <v>313</v>
      </c>
      <c r="B23" s="441"/>
    </row>
    <row r="24" spans="1:2">
      <c r="A24" t="s">
        <v>314</v>
      </c>
      <c r="B24" s="441"/>
    </row>
    <row r="25" spans="1:2">
      <c r="A25" t="s">
        <v>315</v>
      </c>
      <c r="B25" s="445">
        <f>IF($B$84&lt;&gt;"",$B$84,$B$76)</f>
      </c>
    </row>
    <row r="26" spans="1:2">
      <c r="B26" s="440"/>
    </row>
    <row r="27" spans="1:2" ht="15.6">
      <c r="A27" s="438" t="s">
        <v>316</v>
      </c>
      <c r="B27" s="440"/>
    </row>
    <row r="28" spans="1:2">
      <c r="A28" t="s">
        <v>317</v>
      </c>
      <c r="B28" s="461">
        <v>1</v>
      </c>
    </row>
    <row r="29" spans="1:2">
      <c r="A29" t="s">
        <v>318</v>
      </c>
      <c r="B29" s="465" cm="1">
        <f t="array" ref="B29">INDEX($B$99:$B$104,$B$28)</f>
      </c>
    </row>
    <row r="30" spans="1:2">
      <c r="A30" t="s">
        <v>319</v>
      </c>
      <c r="B30" s="445">
        <f>TEXT($B$28,"00")&amp;"/BAPP/"&amp;$B$4</f>
      </c>
    </row>
    <row r="31" spans="1:2">
      <c r="A31" t="s">
        <v>320</v>
      </c>
      <c r="B31" s="445">
        <f>TEXT($B$28,"00")&amp;"/BAP/"&amp;$B$4</f>
      </c>
    </row>
    <row r="32" spans="1:2">
      <c r="A32" t="s">
        <v>321</v>
      </c>
      <c r="B32" s="445">
        <f>TEXT($B$28,"00")&amp;"/BAPR/"&amp;$B$4</f>
      </c>
    </row>
    <row r="33" spans="1:2">
      <c r="A33" t="s">
        <v>322</v>
      </c>
      <c r="B33" s="445">
        <f>TEXT($B$28,"00")&amp;"/BAST/"&amp;$B$4</f>
      </c>
    </row>
    <row r="34" spans="1:2">
      <c r="A34" t="s">
        <v>323</v>
      </c>
      <c r="B34" s="442"/>
    </row>
    <row r="35" spans="1:2">
      <c r="A35" t="s">
        <v>324</v>
      </c>
      <c r="B35" s="442"/>
    </row>
    <row r="36" spans="1:2">
      <c r="A36" t="s">
        <v>325</v>
      </c>
      <c r="B36" s="441" t="s">
        <v>326</v>
      </c>
    </row>
    <row r="37" spans="1:2">
      <c r="B37" s="440"/>
    </row>
    <row r="38" spans="1:2" ht="15.6">
      <c r="A38" s="438" t="s">
        <v>327</v>
      </c>
      <c r="B38" s="440"/>
    </row>
    <row r="39" spans="1:2">
      <c r="A39" t="s">
        <v>328</v>
      </c>
      <c r="B39" s="446">
        <f ca="1">IFERROR('rincian '!T38,0)</f>
      </c>
    </row>
    <row r="40" spans="1:2">
      <c r="A40" t="s">
        <v>329</v>
      </c>
      <c r="B40" s="447"/>
    </row>
    <row r="41" spans="1:2">
      <c r="A41" t="s">
        <v>330</v>
      </c>
      <c r="B41" s="446">
        <f ca="1">IF($B$40="",$B$39,$B$40)</f>
      </c>
    </row>
    <row r="42" spans="1:2">
      <c r="A42" t="s">
        <v>331</v>
      </c>
      <c r="B42" s="446">
        <f ca="1">'rincian '!X38</f>
      </c>
    </row>
    <row r="43" spans="1:2">
      <c r="A43" t="s">
        <v>332</v>
      </c>
      <c r="B43" s="446">
        <f ca="1">$B$42-$B$41</f>
      </c>
    </row>
    <row r="44" spans="1:2">
      <c r="A44" t="s">
        <v>333</v>
      </c>
      <c r="B44" s="447">
        <v>0.05</v>
      </c>
    </row>
    <row r="45" spans="1:2">
      <c r="A45" t="s">
        <v>334</v>
      </c>
      <c r="B45" s="447">
        <v>0.1</v>
      </c>
    </row>
    <row r="46" spans="1:2">
      <c r="A46" t="s">
        <v>335</v>
      </c>
      <c r="B46" s="447">
        <v>0</v>
      </c>
    </row>
    <row r="47" spans="1:2">
      <c r="A47" t="s">
        <v>336</v>
      </c>
      <c r="B47" s="447">
        <v>0</v>
      </c>
    </row>
    <row r="48" spans="1:2">
      <c r="B48" s="440"/>
    </row>
    <row r="49" spans="1:2" ht="15.6">
      <c r="A49" s="438" t="s">
        <v>337</v>
      </c>
      <c r="B49" s="440"/>
    </row>
    <row r="50" spans="1:2">
      <c r="A50" t="s">
        <v>338</v>
      </c>
      <c r="B50" s="445">
        <f>TEXT($B$29,"[$-21]dddd")</f>
      </c>
    </row>
    <row r="51" spans="1:2">
      <c r="A51" t="s">
        <v>339</v>
      </c>
      <c r="B51" s="445">
        <f>VLOOKUP(DAY($B$29),HELPER!$A$2:$B$100,2,0)</f>
      </c>
    </row>
    <row r="52" spans="1:2">
      <c r="A52" t="s">
        <v>340</v>
      </c>
      <c r="B52" s="445">
        <f>TEXT($B$29,"[$-21]mmmm")</f>
      </c>
    </row>
    <row r="53" spans="1:2">
      <c r="A53" t="s">
        <v>341</v>
      </c>
      <c r="B53" s="445">
        <f>"Dua Ribu"&amp;IF(MOD(YEAR($B$29),100)=0,""," "&amp;VLOOKUP(MOD(YEAR($B$29),100),HELPER!$A$2:$B$100,2,0))</f>
      </c>
    </row>
    <row r="54" spans="1:2">
      <c r="A54" t="s">
        <v>342</v>
      </c>
      <c r="B54" s="445">
        <f>TEXT($B$29,"[$-21]dd mmmm yyyy")</f>
      </c>
    </row>
    <row r="55" spans="1:2">
      <c r="A55" t="s">
        <v>343</v>
      </c>
      <c r="B55" s="445">
        <f>TEXT($B$35,"[$-21]dddd")</f>
      </c>
    </row>
    <row r="56" spans="1:2">
      <c r="A56" t="s">
        <v>344</v>
      </c>
      <c r="B56" s="445">
        <f>VLOOKUP(DAY($B$35),HELPER!$A$2:$B$100,2,0)</f>
      </c>
    </row>
    <row r="57" spans="1:2">
      <c r="A57" t="s">
        <v>345</v>
      </c>
      <c r="B57" s="445">
        <f>TEXT($B$35,"[$-21]mmmm")</f>
      </c>
    </row>
    <row r="58" spans="1:2">
      <c r="A58" t="s">
        <v>346</v>
      </c>
      <c r="B58" s="445">
        <f>"Dua Ribu"&amp;IF(MOD(YEAR($B$35),100)=0,""," "&amp;VLOOKUP(MOD(YEAR($B$35),100),HELPER!$A$2:$B$100,2,0))</f>
      </c>
    </row>
    <row r="59" spans="1:2">
      <c r="A59" t="s">
        <v>347</v>
      </c>
      <c r="B59" s="445">
        <f>TEXT($B$35,"[$-21]dd mmmm yyyy")</f>
      </c>
    </row>
    <row r="60" spans="1:2">
      <c r="B60" s="440"/>
    </row>
    <row r="61" spans="1:2" ht="15.6">
      <c r="A61" s="438" t="s">
        <v>348</v>
      </c>
    </row>
    <row r="62" spans="1:2">
      <c r="A62" t="s">
        <v>349</v>
      </c>
      <c r="B62" s="439" t="s">
        <v>301</v>
      </c>
    </row>
    <row r="63" spans="1:2">
      <c r="A63" t="s">
        <v>350</v>
      </c>
      <c r="B63" s="439" t="s">
        <v>303</v>
      </c>
    </row>
    <row r="65" spans="1:2" ht="15.6">
      <c r="A65" s="438" t="s">
        <v>351</v>
      </c>
    </row>
    <row r="66" spans="1:2">
      <c r="A66" t="s">
        <v>352</v>
      </c>
      <c r="B66" s="439" t="s">
        <v>353</v>
      </c>
    </row>
    <row r="67" spans="1:2">
      <c r="A67" t="s">
        <v>354</v>
      </c>
      <c r="B67" s="439" t="s">
        <v>355</v>
      </c>
    </row>
    <row r="68" spans="1:2">
      <c r="A68" t="s">
        <v>356</v>
      </c>
      <c r="B68" s="453">
        <v>3000000000</v>
      </c>
    </row>
    <row r="69" spans="1:2">
      <c r="A69" t="s">
        <v>357</v>
      </c>
      <c r="B69" s="454">
        <f>IF(AND($B$10&gt;$B$68,$B$66&lt;&gt;""),$B$66,$B$14)</f>
      </c>
    </row>
    <row r="70" spans="1:2">
      <c r="A70" t="s">
        <v>358</v>
      </c>
      <c r="B70" s="454">
        <f>IF(AND($B$10&gt;$B$68,$B$66&lt;&gt;""),$B$67,$B$15)</f>
      </c>
    </row>
    <row r="72" spans="1:2" ht="15.6">
      <c r="A72" s="438" t="s">
        <v>359</v>
      </c>
    </row>
    <row r="73" spans="1:2">
      <c r="A73" t="s">
        <v>360</v>
      </c>
      <c r="B73" s="439"/>
    </row>
    <row r="74" spans="1:2">
      <c r="A74" t="s">
        <v>361</v>
      </c>
      <c r="B74" s="455"/>
    </row>
    <row r="75" spans="1:2">
      <c r="A75" t="s">
        <v>362</v>
      </c>
      <c r="B75" s="454"/>
    </row>
    <row r="76" spans="1:2">
      <c r="A76" t="s">
        <v>363</v>
      </c>
      <c r="B76" s="454"/>
    </row>
    <row r="77" spans="1:2">
      <c r="A77" t="s">
        <v>364</v>
      </c>
      <c r="B77" s="454"/>
    </row>
    <row r="78" spans="1:2">
      <c r="A78" t="s">
        <v>365</v>
      </c>
      <c r="B78" s="454"/>
    </row>
    <row r="79" spans="1:2">
      <c r="A79" t="s">
        <v>366</v>
      </c>
      <c r="B79" s="454"/>
    </row>
    <row r="80" spans="1:2">
      <c r="A80" t="s">
        <v>367</v>
      </c>
      <c r="B80" s="486"/>
    </row>
    <row r="81" spans="1:2">
      <c r="A81" t="s">
        <v>368</v>
      </c>
      <c r="B81" s="454"/>
    </row>
    <row r="82" spans="1:2">
      <c r="A82" t="s">
        <v>369</v>
      </c>
      <c r="B82" s="454"/>
    </row>
    <row r="84" spans="1:2">
      <c r="A84" t="s">
        <v>370</v>
      </c>
      <c r="B84" s="456"/>
    </row>
    <row r="85" spans="1:2">
      <c r="A85" t="s">
        <v>371</v>
      </c>
      <c r="B85" s="456"/>
    </row>
    <row r="86" spans="1:2">
      <c r="A86" t="s">
        <v>372</v>
      </c>
      <c r="B86" s="454">
        <f>IF($B$85&lt;&gt;"",$B$85,$B$77)</f>
      </c>
    </row>
    <row r="88" spans="1:2" ht="15.6">
      <c r="A88" s="438" t="s">
        <v>373</v>
      </c>
    </row>
    <row r="89" spans="1:2">
      <c r="A89" t="s">
        <v>374</v>
      </c>
      <c r="B89" s="462">
        <f>IFERROR(SUMPRODUCT('rincian '!$AL$15:$AL$36,'rincian '!$P$15:$P$36)/$B$10,0)</f>
      </c>
    </row>
    <row r="90" spans="1:2">
      <c r="A90" t="s">
        <v>375</v>
      </c>
      <c r="B90" s="462">
        <f>IFERROR(SUMPRODUCT('rincian '!$AM$15:$AM$36,'rincian '!$P$15:$P$36)/$B$10,0)</f>
      </c>
    </row>
    <row r="91" spans="1:2">
      <c r="A91" t="s">
        <v>376</v>
      </c>
      <c r="B91" s="462">
        <f>IFERROR(SUMPRODUCT('rincian '!$AN$15:$AN$36,'rincian '!$P$15:$P$36)/$B$10,0)</f>
      </c>
    </row>
    <row r="92" spans="1:2">
      <c r="A92" t="s">
        <v>377</v>
      </c>
      <c r="B92" s="462">
        <f>IFERROR(SUMPRODUCT('rincian '!$AO$15:$AO$36,'rincian '!$P$15:$P$36)/$B$10,0)</f>
      </c>
    </row>
    <row r="93" spans="1:2">
      <c r="A93" t="s">
        <v>378</v>
      </c>
      <c r="B93" s="462">
        <f>IFERROR(SUMPRODUCT('rincian '!$AP$15:$AP$36,'rincian '!$P$15:$P$36)/$B$10,0)</f>
      </c>
    </row>
    <row r="94" spans="1:2">
      <c r="A94" t="s">
        <v>379</v>
      </c>
      <c r="B94" s="462">
        <f>IFERROR(SUMPRODUCT('rincian '!$AQ$15:$AQ$36,'rincian '!$P$15:$P$36)/$B$10,0)</f>
      </c>
    </row>
    <row r="95" spans="1:2" ht="15.6">
      <c r="A95" t="s">
        <v>380</v>
      </c>
      <c r="B95" s="463">
        <f>SUM($B$89:$B$94)</f>
      </c>
    </row>
    <row r="96" spans="1:2">
      <c r="A96" t="s">
        <v>381</v>
      </c>
      <c r="B96">
        <f>IF(ROUND($B$95,6)&gt;1,"PERINGATAN: alokasi termin melebihi 100% kontrak",IF(ROUND($B$95,6)=1,"Alokasi penuh 100%","Sisa belum dialokasikan "&amp;TEXT(1-$B$95,"0.00%")))</f>
      </c>
    </row>
    <row r="97" spans="1:2" ht="15.6">
      <c r="A97" s="472" t="s">
        <v>382</v>
      </c>
    </row>
    <row r="98" spans="1:2" ht="15.6">
      <c r="A98" s="438" t="s">
        <v>383</v>
      </c>
    </row>
    <row r="99" spans="1:2">
      <c r="A99" t="s">
        <v>384</v>
      </c>
      <c r="B99" s="464"/>
    </row>
    <row r="100" spans="1:2">
      <c r="A100" t="s">
        <v>385</v>
      </c>
      <c r="B100" s="464"/>
    </row>
    <row r="101" spans="1:2">
      <c r="A101" t="s">
        <v>386</v>
      </c>
      <c r="B101" s="464"/>
    </row>
    <row r="102" spans="1:2">
      <c r="A102" t="s">
        <v>387</v>
      </c>
      <c r="B102" s="464"/>
    </row>
    <row r="103" spans="1:2">
      <c r="A103" t="s">
        <v>388</v>
      </c>
      <c r="B103" s="464"/>
    </row>
    <row r="104" spans="1:2">
      <c r="A104" t="s">
        <v>389</v>
      </c>
      <c r="B104" s="464"/>
    </row>
    <row r="106" spans="1:2" ht="15.6">
      <c r="A106" s="438" t="s">
        <v>390</v>
      </c>
    </row>
    <row r="107" spans="1:2">
      <c r="A107" t="s">
        <v>391</v>
      </c>
      <c r="B107" s="439" t="s">
        <v>392</v>
      </c>
    </row>
    <row r="108" spans="1:2">
      <c r="A108" t="s">
        <v>393</v>
      </c>
      <c r="B108" s="439" t="s">
        <v>394</v>
      </c>
    </row>
    <row r="109" spans="1:2">
      <c r="A109" t="s">
        <v>395</v>
      </c>
      <c r="B109" s="454">
        <f>$B$14</f>
      </c>
    </row>
    <row r="110" spans="1:2">
      <c r="A110" t="s">
        <v>396</v>
      </c>
      <c r="B110" s="454">
        <f>$B$15</f>
      </c>
    </row>
    <row r="111" spans="1:2">
      <c r="A111" t="s">
        <v>397</v>
      </c>
      <c r="B111" s="439" t="s">
        <v>398</v>
      </c>
    </row>
    <row r="112" spans="1:2">
      <c r="A112" t="s">
        <v>399</v>
      </c>
      <c r="B112" s="439" t="s">
        <v>400</v>
      </c>
    </row>
    <row r="113" spans="1:2">
      <c r="A113" t="s">
        <v>401</v>
      </c>
      <c r="B113" s="439" t="s">
        <v>402</v>
      </c>
    </row>
    <row r="114" spans="1:2">
      <c r="A114" t="s">
        <v>403</v>
      </c>
      <c r="B114" s="439" t="s">
        <v>404</v>
      </c>
    </row>
    <row r="115" spans="1:2">
      <c r="B115" s="439"/>
    </row>
    <row r="116" spans="1:2">
      <c r="B116" s="439"/>
    </row>
  </sheetData>
  <dataValidations count="1">
    <dataValidation type="whole" allowBlank="1" showInputMessage="1" showErrorMessage="1" errorTitle="Termin tidak valid" error="Termin aktif hanya 1 sampai 6." sqref="B28" xr:uid="{577BCD49-3E1F-42EF-9463-7C2D958CD47D}">
      <formula1>1</formula1>
      <formula2>6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Rekanan tidak dikenal" error="Pilih nama rekanan dari daftar (kolom Name Org pada sheet rekanan)." promptTitle="Pilih Rekanan" prompt="Klik panah dropdown lalu pilih rekanan. Seluruh data (alamat, NPWP, telp, email, bank, rekening) terisi otomatis." xr:uid="{B061945B-459B-48B8-BB8E-C09699262445}">
          <x14:formula1>
            <xm:f>rekanan!$G$2:$G$16464</xm:f>
          </x14:formula1>
          <xm:sqref>B73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3736-32FC-4AD7-B19A-BB8F0D9CB49E}">
  <dimension ref="A1:AB29"/>
  <sheetViews>
    <sheetView topLeftCell="D1" workbookViewId="0">
      <pane ySplit="1" topLeftCell="A5" activePane="bottomLeft" state="frozen"/>
      <selection pane="bottomLeft" activeCell="J29" sqref="J29"/>
    </sheetView>
  </sheetViews>
  <sheetFormatPr defaultRowHeight="15"/>
  <cols>
    <col min="1" max="1" width="5.90625" bestFit="1" customWidth="1"/>
    <col min="2" max="2" width="54" bestFit="1" customWidth="1"/>
    <col min="3" max="3" width="65.08984375" bestFit="1" customWidth="1"/>
    <col min="4" max="4" width="63.90625" customWidth="1"/>
    <col min="5" max="5" width="10.6328125" bestFit="1" customWidth="1"/>
    <col min="6" max="6" width="12.26953125" bestFit="1" customWidth="1"/>
    <col min="7" max="7" width="13.36328125" bestFit="1" customWidth="1"/>
    <col min="8" max="8" width="13.453125" bestFit="1" customWidth="1"/>
    <col min="9" max="9" width="8.08984375" bestFit="1" customWidth="1"/>
    <col min="10" max="15" width="8.1796875" bestFit="1" customWidth="1"/>
    <col min="16" max="16" width="12.36328125" bestFit="1" customWidth="1"/>
    <col min="17" max="17" width="7.90625" bestFit="1" customWidth="1"/>
    <col min="18" max="19" width="14.81640625" bestFit="1" customWidth="1"/>
    <col min="20" max="20" width="13.1796875" bestFit="1" customWidth="1"/>
  </cols>
  <sheetData>
    <row r="1" spans="1:28" ht="15.6">
      <c r="A1" s="474" t="s">
        <v>405</v>
      </c>
      <c r="B1" s="474" t="s">
        <v>406</v>
      </c>
      <c r="C1" s="474" t="s">
        <v>407</v>
      </c>
      <c r="D1" s="474" t="s">
        <v>140</v>
      </c>
      <c r="E1" s="474" t="s">
        <v>408</v>
      </c>
      <c r="F1" s="474" t="s">
        <v>409</v>
      </c>
      <c r="G1" s="474" t="s">
        <v>154</v>
      </c>
      <c r="H1" s="474" t="s">
        <v>155</v>
      </c>
      <c r="I1" s="474" t="s">
        <v>410</v>
      </c>
      <c r="J1" s="483" t="s">
        <v>156</v>
      </c>
      <c r="K1" s="483" t="s">
        <v>157</v>
      </c>
      <c r="L1" s="483" t="s">
        <v>158</v>
      </c>
      <c r="M1" s="483" t="s">
        <v>159</v>
      </c>
      <c r="N1" s="483" t="s">
        <v>160</v>
      </c>
      <c r="O1" s="483" t="s">
        <v>161</v>
      </c>
      <c r="P1" s="474" t="s">
        <v>411</v>
      </c>
      <c r="Q1" s="474" t="s">
        <v>412</v>
      </c>
      <c r="R1" s="474" t="s">
        <v>413</v>
      </c>
      <c r="S1" s="474" t="s">
        <v>414</v>
      </c>
      <c r="T1" s="474" t="s">
        <v>164</v>
      </c>
      <c r="V1" s="737">
        <f>IF(COUNTIF($T$2:$T$16,"MELEBIHI KONTRAK")&gt;0,"DITOLAK: ada item yang volumenya MELEBIHI kontrak - lihat kolom T yang merah",IF(ROUND(SUM($S$2:$S$16),6)&gt;1,"DITOLAK: total bobot "&amp;TEXT(SUM($S$2:$S$16),"0.00%")&amp;" melebihi 100%",IF(ROUND(SUM($S$2:$S$16),6)=1,"PROGRES SUDAH 100% - VOLUME KONTRAK HABIS, penambahan progres ditolak","AMAN - sisa bobot belum dialokasikan "&amp;TEXT(1-SUM($S$2:$S$16),"0.00%"))))</f>
      </c>
      <c r="W1" s="665"/>
      <c r="X1" s="665"/>
      <c r="Y1" s="665"/>
      <c r="Z1" s="665"/>
      <c r="AA1" s="665"/>
      <c r="AB1" s="665"/>
    </row>
    <row r="2" spans="1:28">
      <c r="A2" s="496"/>
      <c r="B2">
        <f>IF('rincian '!$C11="","",'rincian '!$C11)</f>
      </c>
      <c r="D2">
        <f>IF('rincian '!$D13="","",TRIM('rincian '!$D13))</f>
      </c>
      <c r="E2">
        <f>IF('rincian '!$O13="","",'rincian '!$O13)</f>
      </c>
      <c r="F2" s="475">
        <f>IF(N('rincian '!$N13)=0,"",'rincian '!$N13)</f>
      </c>
      <c r="G2" s="475">
        <f>IF(N('rincian '!$P13)=0,"",'rincian '!$P13)</f>
      </c>
      <c r="H2" s="475">
        <f>IF(N('rincian '!$Q13)=0,"",'rincian '!$Q13)</f>
      </c>
      <c r="I2" s="476">
        <f>IF(N('rincian '!$R13)=0,"",'rincian '!$R13)</f>
      </c>
      <c r="J2" s="481"/>
      <c r="K2" s="481"/>
      <c r="L2" s="481"/>
      <c r="M2" s="481"/>
      <c r="N2" s="481"/>
      <c r="O2" s="481"/>
      <c r="P2" s="478"/>
      <c r="Q2" s="478"/>
      <c r="R2" s="477"/>
      <c r="S2" s="477"/>
      <c r="V2" s="665"/>
      <c r="W2" s="665"/>
      <c r="X2" s="665"/>
      <c r="Y2" s="665"/>
      <c r="Z2" s="665"/>
      <c r="AA2" s="665"/>
      <c r="AB2" s="665"/>
    </row>
    <row r="3" spans="1:28">
      <c r="A3" s="496">
        <f>IF('rincian '!$B13="","",'rincian '!$B13)</f>
      </c>
      <c r="B3">
        <f>IF('rincian '!$C13="","",'rincian '!$C13)</f>
      </c>
      <c r="D3">
        <f>IF('rincian '!$D14="","",TRIM('rincian '!$D14))</f>
      </c>
      <c r="E3">
        <f>IF('rincian '!$O14="","",'rincian '!$O14)</f>
      </c>
      <c r="F3" s="475">
        <f>IF(N('rincian '!$N14)=0,"",'rincian '!$N14)</f>
      </c>
      <c r="G3" s="475">
        <f>IF(N('rincian '!$P14)=0,"",'rincian '!$P14)</f>
      </c>
      <c r="H3" s="475">
        <f>IF(N('rincian '!$Q14)=0,"",'rincian '!$Q14)</f>
      </c>
      <c r="I3" s="476">
        <f>IF(N('rincian '!$R14)=0,"",'rincian '!$R14)</f>
      </c>
      <c r="J3" s="481"/>
      <c r="K3" s="481"/>
      <c r="L3" s="481"/>
      <c r="M3" s="481"/>
      <c r="N3" s="481"/>
      <c r="O3" s="481"/>
      <c r="P3" s="478"/>
      <c r="Q3" s="478"/>
      <c r="R3" s="477"/>
      <c r="S3" s="477"/>
    </row>
    <row r="4" spans="1:28">
      <c r="A4" s="496">
        <f>IF('rincian '!$B14="","",'rincian '!$B14)</f>
      </c>
      <c r="B4">
        <f>IF('rincian '!$C14="","",'rincian '!$C14)</f>
      </c>
      <c r="F4" s="475"/>
      <c r="G4" s="475"/>
      <c r="H4" s="475"/>
      <c r="I4" s="476"/>
      <c r="J4" s="481"/>
      <c r="K4" s="481"/>
      <c r="L4" s="481"/>
      <c r="M4" s="481"/>
      <c r="N4" s="481"/>
      <c r="O4" s="481"/>
      <c r="P4" s="478"/>
      <c r="Q4" s="478"/>
      <c r="R4" s="477"/>
      <c r="S4" s="477"/>
    </row>
    <row r="5" spans="1:28">
      <c r="A5" s="496">
        <f>IF('rincian '!$B15="","",'rincian '!$B15)</f>
      </c>
      <c r="B5">
        <f>IF(ISNUMBER(MATCH('rincian '!$C16,{"I","II","III","IV","V","VI","VII","VIII","IX","X"},0)),TRIM('rincian '!$C16),B4)</f>
      </c>
      <c r="C5">
        <f>IF(ISNUMBER(MATCH('rincian '!$B15,{"I","II","III","IV","V","VI","VII","VIII","IX","X"},0)),"",IF(AND(ISNUMBER('rincian '!$B15),'rincian '!$B15&lt;&gt;""),TRIM('rincian '!$D15),C4))</f>
      </c>
      <c r="D5">
        <f>IF('rincian '!$D15="","",TRIM('rincian '!$D15))</f>
      </c>
      <c r="E5">
        <f>IF('rincian '!$O15="","",'rincian '!$O15)</f>
      </c>
      <c r="F5" s="475">
        <f>IF(N('rincian '!$N15)=0,"",'rincian '!$N15)</f>
      </c>
      <c r="G5" s="475">
        <f>IF(N('rincian '!$P15)=0,"",'rincian '!$P15)</f>
      </c>
      <c r="H5" s="475">
        <f>IF(N('rincian '!$Q15)=0,"",'rincian '!$Q15)</f>
      </c>
      <c r="I5" s="476">
        <f>IF(N('rincian '!$R15)=0,"",'rincian '!$R15)</f>
      </c>
      <c r="J5" s="481"/>
      <c r="K5" s="481"/>
      <c r="L5" s="481"/>
      <c r="M5" s="481"/>
      <c r="N5" s="481"/>
      <c r="O5" s="481"/>
      <c r="P5" s="478">
        <f t="shared" ref="P5:P26" si="0">SUM($J5:$O5)</f>
      </c>
      <c r="Q5" s="478">
        <f t="shared" ref="Q5:Q26" si="1">IF(N($F5)=0,"",$F5-$P5)</f>
      </c>
      <c r="R5" s="477">
        <f t="shared" ref="R5:R26" si="2">IFERROR($P5/$F5,0)</f>
      </c>
      <c r="S5" s="477">
        <f t="shared" ref="S5:S26" si="3">IFERROR($P5/$F5*N($I5),0)</f>
      </c>
      <c r="T5">
        <f t="shared" ref="T5:T26" si="4">IF(N($F5)=0,"",IF($P5&gt;$F5,"MELEBIHI KONTRAK",IF($P5=$F5,"SELESAI 100%",IF($P5=0,"BELUM MULAI","BERJALAN"))))</f>
      </c>
    </row>
    <row r="6" spans="1:28">
      <c r="A6" s="496">
        <f>IF('rincian '!$B16="","",'rincian '!$B16)</f>
      </c>
      <c r="B6">
        <f>IF(ISNUMBER(MATCH('rincian '!$C17,{"I","II","III","IV","V","VI","VII","VIII","IX","X"},0)),TRIM('rincian '!$C17),B5)</f>
      </c>
      <c r="C6">
        <f>IF(ISNUMBER(MATCH('rincian '!$B16,{"I","II","III","IV","V","VI","VII","VIII","IX","X"},0)),"",IF(AND(ISNUMBER('rincian '!$B16),'rincian '!$B16&lt;&gt;""),TRIM('rincian '!$D16),C5))</f>
      </c>
      <c r="D6">
        <f>IF('rincian '!$D16="","",TRIM('rincian '!$D16))</f>
      </c>
      <c r="E6">
        <f>IF('rincian '!$O16="","",'rincian '!$O16)</f>
      </c>
      <c r="F6" s="475">
        <f>IF(N('rincian '!$N16)=0,"",'rincian '!$N16)</f>
      </c>
      <c r="G6" s="475">
        <f>IF(N('rincian '!$P16)=0,"",'rincian '!$P16)</f>
      </c>
      <c r="H6" s="475">
        <f>IF(N('rincian '!$Q16)=0,"",'rincian '!$Q16)</f>
      </c>
      <c r="I6" s="476">
        <f>IF(N('rincian '!$R16)=0,"",'rincian '!$R16)</f>
      </c>
      <c r="J6" s="481"/>
      <c r="K6" s="481"/>
      <c r="L6" s="481"/>
      <c r="M6" s="481"/>
      <c r="N6" s="481"/>
      <c r="O6" s="481"/>
      <c r="P6" s="478">
        <f t="shared" si="0"/>
      </c>
      <c r="Q6" s="478">
        <f t="shared" si="1"/>
      </c>
      <c r="R6" s="477">
        <f t="shared" si="2"/>
      </c>
      <c r="S6" s="477">
        <f t="shared" si="3"/>
      </c>
      <c r="T6">
        <f t="shared" si="4"/>
      </c>
    </row>
    <row r="7" spans="1:28">
      <c r="A7" s="496">
        <f>IF('rincian '!$B17="","",'rincian '!$B17)</f>
      </c>
      <c r="B7">
        <f>IF(ISNUMBER(MATCH('rincian '!$C18,{"I","II","III","IV","V","VI","VII","VIII","IX","X"},0)),TRIM('rincian '!$C18),B6)</f>
      </c>
      <c r="C7">
        <f>IF(ISNUMBER(MATCH('rincian '!$B17,{"I","II","III","IV","V","VI","VII","VIII","IX","X"},0)),"",IF(AND(ISNUMBER('rincian '!$B17),'rincian '!$B17&lt;&gt;""),TRIM('rincian '!$D17),C6))</f>
      </c>
      <c r="D7">
        <f>IF('rincian '!$D17="","",TRIM('rincian '!$D17))</f>
      </c>
      <c r="E7">
        <f>IF('rincian '!$O17="","",'rincian '!$O17)</f>
      </c>
      <c r="F7" s="475">
        <f>IF(N('rincian '!$N17)=0,"",'rincian '!$N17)</f>
      </c>
      <c r="G7" s="475">
        <f>IF(N('rincian '!$P17)=0,"",'rincian '!$P17)</f>
      </c>
      <c r="H7" s="475">
        <f>IF(N('rincian '!$Q17)=0,"",'rincian '!$Q17)</f>
      </c>
      <c r="I7" s="476">
        <f>IF(N('rincian '!$R17)=0,"",'rincian '!$R17)</f>
      </c>
      <c r="J7" s="481"/>
      <c r="K7" s="481"/>
      <c r="L7" s="481"/>
      <c r="M7" s="481"/>
      <c r="N7" s="481"/>
      <c r="O7" s="481"/>
      <c r="P7" s="478">
        <f t="shared" si="0"/>
      </c>
      <c r="Q7" s="478">
        <f t="shared" si="1"/>
      </c>
      <c r="R7" s="477">
        <f t="shared" si="2"/>
      </c>
      <c r="S7" s="477">
        <f t="shared" si="3"/>
      </c>
      <c r="T7">
        <f t="shared" si="4"/>
      </c>
    </row>
    <row r="8" spans="1:28">
      <c r="A8" s="496">
        <f>IF('rincian '!$B18="","",'rincian '!$B18)</f>
      </c>
      <c r="B8">
        <f>IF(ISNUMBER(MATCH('rincian '!$C19,{"I","II","III","IV","V","VI","VII","VIII","IX","X"},0)),TRIM('rincian '!$C19),B7)</f>
      </c>
      <c r="C8">
        <f>IF(ISNUMBER(MATCH('rincian '!$B18,{"I","II","III","IV","V","VI","VII","VIII","IX","X"},0)),"",IF(AND(ISNUMBER('rincian '!$B18),'rincian '!$B18&lt;&gt;""),TRIM('rincian '!$D18),C7))</f>
      </c>
      <c r="D8">
        <f>IF('rincian '!$D18="","",TRIM('rincian '!$D18))</f>
      </c>
      <c r="E8">
        <f>IF('rincian '!$O18="","",'rincian '!$O18)</f>
      </c>
      <c r="F8" s="475">
        <f>IF(N('rincian '!$N18)=0,"",'rincian '!$N18)</f>
      </c>
      <c r="G8" s="475">
        <f>IF(N('rincian '!$P18)=0,"",'rincian '!$P18)</f>
      </c>
      <c r="H8" s="475">
        <f>IF(N('rincian '!$Q18)=0,"",'rincian '!$Q18)</f>
      </c>
      <c r="I8" s="476">
        <f>IF(N('rincian '!$R18)=0,"",'rincian '!$R18)</f>
      </c>
      <c r="J8" s="481"/>
      <c r="K8" s="481"/>
      <c r="L8" s="481"/>
      <c r="M8" s="481"/>
      <c r="N8" s="481"/>
      <c r="O8" s="481"/>
      <c r="P8" s="478">
        <f t="shared" si="0"/>
      </c>
      <c r="Q8" s="478">
        <f t="shared" si="1"/>
      </c>
      <c r="R8" s="477">
        <f t="shared" si="2"/>
      </c>
      <c r="S8" s="477">
        <f t="shared" si="3"/>
      </c>
      <c r="T8">
        <f t="shared" si="4"/>
      </c>
    </row>
    <row r="9" spans="1:28">
      <c r="A9" s="496">
        <f>IF('rincian '!$B19="","",'rincian '!$B19)</f>
      </c>
      <c r="B9">
        <f>IF(ISNUMBER(MATCH('rincian '!$C20,{"I","II","III","IV","V","VI","VII","VIII","IX","X"},0)),TRIM('rincian '!$C20),B8)</f>
      </c>
      <c r="C9">
        <f>IF(ISNUMBER(MATCH('rincian '!$B19,{"I","II","III","IV","V","VI","VII","VIII","IX","X"},0)),"",IF(AND(ISNUMBER('rincian '!$B19),'rincian '!$B19&lt;&gt;""),TRIM('rincian '!$D19),C8))</f>
      </c>
      <c r="D9">
        <f>IF('rincian '!$D19="","",TRIM('rincian '!$D19))</f>
      </c>
      <c r="E9">
        <f>IF('rincian '!$O19="","",'rincian '!$O19)</f>
      </c>
      <c r="F9" s="475">
        <f>IF(N('rincian '!$N19)=0,"",'rincian '!$N19)</f>
      </c>
      <c r="G9" s="475">
        <f>IF(N('rincian '!$P19)=0,"",'rincian '!$P19)</f>
      </c>
      <c r="H9" s="475">
        <f>IF(N('rincian '!$Q19)=0,"",'rincian '!$Q19)</f>
      </c>
      <c r="I9" s="476">
        <f>IF(N('rincian '!$R19)=0,"",'rincian '!$R19)</f>
      </c>
      <c r="J9" s="481"/>
      <c r="K9" s="481"/>
      <c r="L9" s="481"/>
      <c r="M9" s="481"/>
      <c r="N9" s="481"/>
      <c r="O9" s="481"/>
      <c r="P9" s="478">
        <f t="shared" si="0"/>
      </c>
      <c r="Q9" s="478">
        <f t="shared" si="1"/>
      </c>
      <c r="R9" s="477">
        <f t="shared" si="2"/>
      </c>
      <c r="S9" s="477">
        <f t="shared" si="3"/>
      </c>
      <c r="T9">
        <f t="shared" si="4"/>
      </c>
    </row>
    <row r="10" spans="1:28">
      <c r="A10" s="496">
        <f>IF('rincian '!$B20="","",'rincian '!$B20)</f>
      </c>
      <c r="B10">
        <f>IF(ISNUMBER(MATCH('rincian '!$C21,{"I","II","III","IV","V","VI","VII","VIII","IX","X"},0)),TRIM('rincian '!$C21),B9)</f>
      </c>
      <c r="C10">
        <f>IF(ISNUMBER(MATCH('rincian '!$B20,{"I","II","III","IV","V","VI","VII","VIII","IX","X"},0)),"",IF(AND(ISNUMBER('rincian '!$B20),'rincian '!$B20&lt;&gt;""),TRIM('rincian '!$D20),C9))</f>
      </c>
      <c r="D10">
        <f>IF('rincian '!$D20="","",TRIM('rincian '!$D20))</f>
      </c>
      <c r="E10">
        <f>IF('rincian '!$O20="","",'rincian '!$O20)</f>
      </c>
      <c r="F10" s="475">
        <f>IF(N('rincian '!$N20)=0,"",'rincian '!$N20)</f>
      </c>
      <c r="G10" s="475">
        <f>IF(N('rincian '!$P20)=0,"",'rincian '!$P20)</f>
      </c>
      <c r="H10" s="475">
        <f>IF(N('rincian '!$Q20)=0,"",'rincian '!$Q20)</f>
      </c>
      <c r="I10" s="476">
        <f>IF(N('rincian '!$R20)=0,"",'rincian '!$R20)</f>
      </c>
      <c r="J10" s="481"/>
      <c r="K10" s="481"/>
      <c r="L10" s="481"/>
      <c r="M10" s="481"/>
      <c r="N10" s="481"/>
      <c r="O10" s="481"/>
      <c r="P10" s="478">
        <f t="shared" si="0"/>
      </c>
      <c r="Q10" s="478">
        <f t="shared" si="1"/>
      </c>
      <c r="R10" s="477">
        <f t="shared" si="2"/>
      </c>
      <c r="S10" s="477">
        <f t="shared" si="3"/>
      </c>
      <c r="T10">
        <f t="shared" si="4"/>
      </c>
    </row>
    <row r="11" spans="1:28">
      <c r="A11" s="496">
        <f>IF('rincian '!$B21="","",'rincian '!$B21)</f>
      </c>
      <c r="B11">
        <f>IF(ISNUMBER(MATCH('rincian '!$C22,{"I","II","III","IV","V","VI","VII","VIII","IX","X"},0)),TRIM('rincian '!$C22),B10)</f>
      </c>
      <c r="C11">
        <f>IF(ISNUMBER(MATCH('rincian '!$B21,{"I","II","III","IV","V","VI","VII","VIII","IX","X"},0)),"",IF(AND(ISNUMBER('rincian '!$B21),'rincian '!$B21&lt;&gt;""),TRIM('rincian '!$D21),C10))</f>
      </c>
      <c r="D11">
        <f>IF('rincian '!$D21="","",TRIM('rincian '!$D21))</f>
      </c>
      <c r="E11">
        <f>IF('rincian '!$O21="","",'rincian '!$O21)</f>
      </c>
      <c r="F11" s="475">
        <f>IF(N('rincian '!$N21)=0,"",'rincian '!$N21)</f>
      </c>
      <c r="G11" s="475">
        <f>IF(N('rincian '!$P21)=0,"",'rincian '!$P21)</f>
      </c>
      <c r="H11" s="475">
        <f>IF(N('rincian '!$Q21)=0,"",'rincian '!$Q21)</f>
      </c>
      <c r="I11" s="476">
        <f>IF(N('rincian '!$R21)=0,"",'rincian '!$R21)</f>
      </c>
      <c r="J11" s="481"/>
      <c r="K11" s="481"/>
      <c r="L11" s="481"/>
      <c r="M11" s="481"/>
      <c r="N11" s="481"/>
      <c r="O11" s="481"/>
      <c r="P11" s="478"/>
      <c r="Q11" s="478">
        <f t="shared" si="1"/>
      </c>
      <c r="R11" s="477"/>
      <c r="S11" s="477"/>
      <c r="T11">
        <f t="shared" si="4"/>
      </c>
    </row>
    <row r="12" spans="1:28">
      <c r="A12" s="496">
        <f>IF('rincian '!$B22="","",'rincian '!$B22)</f>
      </c>
      <c r="B12">
        <f>IF(ISNUMBER(MATCH('rincian '!$C23,{"I","II","III","IV","V","VI","VII","VIII","IX","X"},0)),TRIM('rincian '!$C23),B11)</f>
      </c>
      <c r="C12">
        <f>IF(ISNUMBER(MATCH('rincian '!$B22,{"I","II","III","IV","V","VI","VII","VIII","IX","X"},0)),"",IF(AND(ISNUMBER('rincian '!$B22),'rincian '!$B22&lt;&gt;""),TRIM('rincian '!$D22),C11))</f>
      </c>
      <c r="D12">
        <f>IF('rincian '!$D22="","",TRIM('rincian '!$D22))</f>
      </c>
      <c r="E12">
        <f>IF('rincian '!$O22="","",'rincian '!$O22)</f>
      </c>
      <c r="F12" s="475">
        <f>IF(N('rincian '!$N22)=0,"",'rincian '!$N22)</f>
      </c>
      <c r="G12" s="475">
        <f>IF(N('rincian '!$P22)=0,"",'rincian '!$P22)</f>
      </c>
      <c r="H12" s="475">
        <f>IF(N('rincian '!$Q22)=0,"",'rincian '!$Q22)</f>
      </c>
      <c r="I12" s="476">
        <f>IF(N('rincian '!$R22)=0,"",'rincian '!$R22)</f>
      </c>
      <c r="J12" s="481"/>
      <c r="K12" s="481"/>
      <c r="L12" s="481"/>
      <c r="M12" s="481"/>
      <c r="N12" s="481"/>
      <c r="O12" s="481"/>
      <c r="P12" s="478">
        <f t="shared" si="0"/>
      </c>
      <c r="Q12" s="478">
        <f t="shared" si="1"/>
      </c>
      <c r="R12" s="477">
        <f t="shared" si="2"/>
      </c>
      <c r="S12" s="477">
        <f t="shared" si="3"/>
      </c>
      <c r="T12">
        <f t="shared" si="4"/>
      </c>
    </row>
    <row r="13" spans="1:28">
      <c r="A13" s="496">
        <f>IF('rincian '!$B23="","",'rincian '!$B23)</f>
      </c>
      <c r="D13">
        <f>IF('rincian '!$D23="","",TRIM('rincian '!$D23))</f>
      </c>
      <c r="E13">
        <f>IF('rincian '!$O23="","",'rincian '!$O23)</f>
      </c>
      <c r="F13" s="475">
        <f>IF(N('rincian '!$N23)=0,"",'rincian '!$N23)</f>
      </c>
      <c r="G13" s="475">
        <f>IF(N('rincian '!$P23)=0,"",'rincian '!$P23)</f>
      </c>
      <c r="H13" s="475">
        <f>IF(N('rincian '!$Q23)=0,"",'rincian '!$Q23)</f>
      </c>
      <c r="I13" s="476">
        <f>IF(N('rincian '!$R23)=0,"",'rincian '!$R23)</f>
      </c>
      <c r="J13" s="481"/>
      <c r="K13" s="481"/>
      <c r="L13" s="481"/>
      <c r="M13" s="481"/>
      <c r="N13" s="481"/>
      <c r="O13" s="481"/>
      <c r="P13" s="478"/>
      <c r="Q13" s="478">
        <f t="shared" si="1"/>
      </c>
      <c r="R13" s="477"/>
      <c r="S13" s="477"/>
      <c r="T13">
        <f t="shared" si="4"/>
      </c>
    </row>
    <row r="14" spans="1:28">
      <c r="A14" s="496">
        <f>IF('rincian '!$B24="","",'rincian '!$B24)</f>
      </c>
      <c r="B14">
        <f>IF('rincian '!$C24="","",'rincian '!$C24)</f>
      </c>
      <c r="D14">
        <f>IF('rincian '!$D24="","",TRIM('rincian '!$D24))</f>
      </c>
      <c r="E14">
        <f>IF('rincian '!$O24="","",'rincian '!$O24)</f>
      </c>
      <c r="F14" s="475">
        <f>IF(N('rincian '!$N24)=0,"",'rincian '!$N24)</f>
      </c>
      <c r="G14" s="475">
        <f>IF(N('rincian '!$P24)=0,"",'rincian '!$P24)</f>
      </c>
      <c r="H14" s="475">
        <f>IF(N('rincian '!$Q24)=0,"",'rincian '!$Q24)</f>
      </c>
      <c r="I14" s="476">
        <f>IF(N('rincian '!$R24)=0,"",'rincian '!$R24)</f>
      </c>
      <c r="J14" s="481"/>
      <c r="K14" s="481"/>
      <c r="L14" s="481"/>
      <c r="M14" s="481"/>
      <c r="N14" s="481"/>
      <c r="O14" s="481"/>
      <c r="P14" s="478"/>
      <c r="Q14" s="478">
        <f t="shared" si="1"/>
      </c>
      <c r="R14" s="477"/>
      <c r="S14" s="477"/>
      <c r="T14">
        <f t="shared" si="4"/>
      </c>
    </row>
    <row r="15" spans="1:28">
      <c r="A15" s="496">
        <f>IF('rincian '!$B25="","",'rincian '!$B25)</f>
      </c>
      <c r="B15">
        <f>IF('rincian '!$C25="","",'rincian '!$C25)</f>
      </c>
      <c r="D15">
        <f>IF('rincian '!$D25="","",TRIM('rincian '!$D25))</f>
      </c>
      <c r="E15">
        <f>IF('rincian '!$O25="","",'rincian '!$O25)</f>
      </c>
      <c r="F15" s="475">
        <f>IF(N('rincian '!$N25)=0,"",'rincian '!$N25)</f>
      </c>
      <c r="G15" s="475">
        <f>IF(N('rincian '!$P25)=0,"",'rincian '!$P25)</f>
      </c>
      <c r="H15" s="475">
        <f>IF(N('rincian '!$Q25)=0,"",'rincian '!$Q25)</f>
      </c>
      <c r="I15" s="476">
        <f>IF(N('rincian '!$R25)=0,"",'rincian '!$R25)</f>
      </c>
      <c r="J15" s="481"/>
      <c r="K15" s="481"/>
      <c r="L15" s="481"/>
      <c r="M15" s="481"/>
      <c r="N15" s="481"/>
      <c r="O15" s="481"/>
      <c r="P15" s="478"/>
      <c r="Q15" s="478">
        <f t="shared" si="1"/>
      </c>
      <c r="R15" s="477"/>
      <c r="S15" s="477"/>
      <c r="T15">
        <f t="shared" si="4"/>
      </c>
    </row>
    <row r="16" spans="1:28">
      <c r="A16" s="496">
        <f>IF('rincian '!$B26="","",'rincian '!$B26)</f>
      </c>
      <c r="B16">
        <f>IF(ISNUMBER(MATCH('rincian '!$C27,{"I","II","III","IV","V","VI","VII","VIII","IX","X"},0)),TRIM('rincian '!$C27),B15)</f>
      </c>
      <c r="C16">
        <f>IF(ISNUMBER(MATCH('rincian '!$B26,{"I","II","III","IV","V","VI","VII","VIII","IX","X"},0)),"",IF(AND(ISNUMBER('rincian '!$B26),'rincian '!$B26&lt;&gt;""),TRIM('rincian '!$D26),C15))</f>
      </c>
      <c r="D16">
        <f>IF('rincian '!$D26="","",TRIM('rincian '!$D26))</f>
      </c>
      <c r="E16">
        <f>IF('rincian '!$O26="","",'rincian '!$O26)</f>
      </c>
      <c r="F16" s="475">
        <f>IF(N('rincian '!$N26)=0,"",'rincian '!$N26)</f>
      </c>
      <c r="G16" s="475">
        <f>IF(N('rincian '!$P26)=0,"",'rincian '!$P26)</f>
      </c>
      <c r="H16" s="475">
        <f>IF(N('rincian '!$Q26)=0,"",'rincian '!$Q26)</f>
      </c>
      <c r="I16" s="476">
        <f>IF(N('rincian '!$R26)=0,"",'rincian '!$R26)</f>
      </c>
      <c r="J16" s="481"/>
      <c r="K16" s="481"/>
      <c r="L16" s="481"/>
      <c r="M16" s="481"/>
      <c r="N16" s="481"/>
      <c r="O16" s="481"/>
      <c r="P16" s="478">
        <f t="shared" si="0"/>
      </c>
      <c r="Q16" s="478">
        <f t="shared" si="1"/>
      </c>
      <c r="R16" s="477">
        <f t="shared" si="2"/>
      </c>
      <c r="S16" s="477">
        <f t="shared" si="3"/>
      </c>
      <c r="T16">
        <f t="shared" si="4"/>
      </c>
    </row>
    <row r="17" spans="1:20">
      <c r="A17" s="496">
        <f>IF('rincian '!$B27="","",'rincian '!$B27)</f>
      </c>
      <c r="B17">
        <f>IF(ISNUMBER(MATCH('rincian '!$C28,{"I","II","III","IV","V","VI","VII","VIII","IX","X"},0)),TRIM('rincian '!$C28),B16)</f>
      </c>
      <c r="C17">
        <f>IF(ISNUMBER(MATCH('rincian '!$B27,{"I","II","III","IV","V","VI","VII","VIII","IX","X"},0)),"",IF(AND(ISNUMBER('rincian '!$B27),'rincian '!$B27&lt;&gt;""),TRIM('rincian '!$D27),C16))</f>
      </c>
      <c r="D17">
        <f>IF('rincian '!$D27="","",TRIM('rincian '!$D27))</f>
      </c>
      <c r="E17">
        <f>IF('rincian '!$O27="","",'rincian '!$O27)</f>
      </c>
      <c r="F17" s="475">
        <f>IF(N('rincian '!$N27)=0,"",'rincian '!$N27)</f>
      </c>
      <c r="G17" s="475">
        <f>IF(N('rincian '!$P27)=0,"",'rincian '!$P27)</f>
      </c>
      <c r="H17" s="475">
        <f>IF(N('rincian '!$Q27)=0,"",'rincian '!$Q27)</f>
      </c>
      <c r="I17" s="476">
        <f>IF(N('rincian '!$R27)=0,"",'rincian '!$R27)</f>
      </c>
      <c r="J17" s="481"/>
      <c r="K17" s="481"/>
      <c r="L17" s="481"/>
      <c r="M17" s="481"/>
      <c r="N17" s="481"/>
      <c r="O17" s="481"/>
      <c r="P17" s="478">
        <f t="shared" si="0"/>
      </c>
      <c r="Q17" s="478">
        <f t="shared" si="1"/>
      </c>
      <c r="R17" s="477">
        <f t="shared" si="2"/>
      </c>
      <c r="S17" s="477">
        <f t="shared" si="3"/>
      </c>
      <c r="T17">
        <f t="shared" si="4"/>
      </c>
    </row>
    <row r="18" spans="1:20">
      <c r="A18" s="496">
        <f>IF('rincian '!$B28="","",'rincian '!$B28)</f>
      </c>
      <c r="B18">
        <f>IF(ISNUMBER(MATCH('rincian '!$C29,{"I","II","III","IV","V","VI","VII","VIII","IX","X"},0)),TRIM('rincian '!$C29),B17)</f>
      </c>
      <c r="C18">
        <f>IF(ISNUMBER(MATCH('rincian '!$B28,{"I","II","III","IV","V","VI","VII","VIII","IX","X"},0)),"",IF(AND(ISNUMBER('rincian '!$B28),'rincian '!$B28&lt;&gt;""),TRIM('rincian '!$D28),C17))</f>
      </c>
      <c r="D18">
        <f>IF('rincian '!$D28="","",TRIM('rincian '!$D28))</f>
      </c>
      <c r="E18">
        <f>IF('rincian '!$O28="","",'rincian '!$O28)</f>
      </c>
      <c r="F18" s="475">
        <f>IF(N('rincian '!$N28)=0,"",'rincian '!$N28)</f>
      </c>
      <c r="G18" s="475">
        <f>IF(N('rincian '!$P28)=0,"",'rincian '!$P28)</f>
      </c>
      <c r="H18" s="475">
        <f>IF(N('rincian '!$Q28)=0,"",'rincian '!$Q28)</f>
      </c>
      <c r="I18" s="476">
        <f>IF(N('rincian '!$R28)=0,"",'rincian '!$R28)</f>
      </c>
      <c r="J18" s="481"/>
      <c r="K18" s="481"/>
      <c r="L18" s="481"/>
      <c r="M18" s="481"/>
      <c r="N18" s="481"/>
      <c r="O18" s="481"/>
      <c r="P18" s="478">
        <f t="shared" si="0"/>
      </c>
      <c r="Q18" s="478">
        <f t="shared" si="1"/>
      </c>
      <c r="R18" s="477">
        <f t="shared" si="2"/>
      </c>
      <c r="S18" s="477">
        <f t="shared" si="3"/>
      </c>
      <c r="T18">
        <f t="shared" si="4"/>
      </c>
    </row>
    <row r="19" spans="1:20">
      <c r="A19" s="496">
        <f>IF('rincian '!$B29="","",'rincian '!$B29)</f>
      </c>
      <c r="B19">
        <f>IF(ISNUMBER(MATCH('rincian '!$C30,{"I","II","III","IV","V","VI","VII","VIII","IX","X"},0)),TRIM('rincian '!$C30),B18)</f>
      </c>
      <c r="C19">
        <f>IF(ISNUMBER(MATCH('rincian '!$B29,{"I","II","III","IV","V","VI","VII","VIII","IX","X"},0)),"",IF(AND(ISNUMBER('rincian '!$B29),'rincian '!$B29&lt;&gt;""),TRIM('rincian '!$D29),C18))</f>
      </c>
      <c r="D19">
        <f>IF('rincian '!$D29="","",TRIM('rincian '!$D29))</f>
      </c>
      <c r="E19">
        <f>IF('rincian '!$O29="","",'rincian '!$O29)</f>
      </c>
      <c r="F19" s="475">
        <f>IF(N('rincian '!$N29)=0,"",'rincian '!$N29)</f>
      </c>
      <c r="G19" s="475">
        <f>IF(N('rincian '!$P29)=0,"",'rincian '!$P29)</f>
      </c>
      <c r="H19" s="475">
        <f>IF(N('rincian '!$Q29)=0,"",'rincian '!$Q29)</f>
      </c>
      <c r="I19" s="476">
        <f>IF(N('rincian '!$R29)=0,"",'rincian '!$R29)</f>
      </c>
      <c r="J19" s="481"/>
      <c r="K19" s="481"/>
      <c r="L19" s="481"/>
      <c r="M19" s="481"/>
      <c r="N19" s="481"/>
      <c r="O19" s="481"/>
      <c r="P19" s="478">
        <f t="shared" si="0"/>
      </c>
      <c r="Q19" s="478">
        <f t="shared" si="1"/>
      </c>
      <c r="R19" s="477">
        <f t="shared" si="2"/>
      </c>
      <c r="S19" s="477">
        <f t="shared" si="3"/>
      </c>
      <c r="T19">
        <f t="shared" si="4"/>
      </c>
    </row>
    <row r="20" spans="1:20">
      <c r="A20" s="496">
        <f>IF('rincian '!$B30="","",'rincian '!$B30)</f>
      </c>
      <c r="B20">
        <f>IF(ISNUMBER(MATCH('rincian '!$C31,{"I","II","III","IV","V","VI","VII","VIII","IX","X"},0)),TRIM('rincian '!$C31),B19)</f>
      </c>
      <c r="C20">
        <f>IF(ISNUMBER(MATCH('rincian '!$B30,{"I","II","III","IV","V","VI","VII","VIII","IX","X"},0)),"",IF(AND(ISNUMBER('rincian '!$B30),'rincian '!$B30&lt;&gt;""),TRIM('rincian '!$D30),C19))</f>
      </c>
      <c r="D20">
        <f>IF('rincian '!$D30="","",TRIM('rincian '!$D30))</f>
      </c>
      <c r="E20">
        <f>IF('rincian '!$O30="","",'rincian '!$O30)</f>
      </c>
      <c r="F20" s="475">
        <f>IF(N('rincian '!$N30)=0,"",'rincian '!$N30)</f>
      </c>
      <c r="G20" s="475">
        <f>IF(N('rincian '!$P30)=0,"",'rincian '!$P30)</f>
      </c>
      <c r="H20" s="475">
        <f>IF(N('rincian '!$Q30)=0,"",'rincian '!$Q30)</f>
      </c>
      <c r="I20" s="476">
        <f>IF(N('rincian '!$R30)=0,"",'rincian '!$R30)</f>
      </c>
      <c r="J20" s="481"/>
      <c r="K20" s="481"/>
      <c r="L20" s="481"/>
      <c r="M20" s="481"/>
      <c r="N20" s="481"/>
      <c r="O20" s="481"/>
      <c r="P20" s="478">
        <f t="shared" si="0"/>
      </c>
      <c r="Q20" s="478">
        <f t="shared" si="1"/>
      </c>
      <c r="R20" s="477">
        <f t="shared" si="2"/>
      </c>
      <c r="S20" s="477">
        <f t="shared" si="3"/>
      </c>
      <c r="T20">
        <f t="shared" si="4"/>
      </c>
    </row>
    <row r="21" spans="1:20">
      <c r="A21" s="496">
        <f>IF('rincian '!$B31="","",'rincian '!$B31)</f>
      </c>
      <c r="B21">
        <f>IF(ISNUMBER(MATCH('rincian '!$C32,{"I","II","III","IV","V","VI","VII","VIII","IX","X"},0)),TRIM('rincian '!$C32),B20)</f>
      </c>
      <c r="C21">
        <f>IF(ISNUMBER(MATCH('rincian '!$B31,{"I","II","III","IV","V","VI","VII","VIII","IX","X"},0)),"",IF(AND(ISNUMBER('rincian '!$B31),'rincian '!$B31&lt;&gt;""),TRIM('rincian '!$D31),C20))</f>
      </c>
      <c r="D21">
        <f>IF('rincian '!$D31="","",TRIM('rincian '!$D31))</f>
      </c>
      <c r="E21">
        <f>IF('rincian '!$O31="","",'rincian '!$O31)</f>
      </c>
      <c r="F21" s="475">
        <f>IF(N('rincian '!$N31)=0,"",'rincian '!$N31)</f>
      </c>
      <c r="G21" s="475">
        <f>IF(N('rincian '!$P31)=0,"",'rincian '!$P31)</f>
      </c>
      <c r="H21" s="475">
        <f>IF(N('rincian '!$Q31)=0,"",'rincian '!$Q31)</f>
      </c>
      <c r="I21" s="476">
        <f>IF(N('rincian '!$R31)=0,"",'rincian '!$R31)</f>
      </c>
      <c r="J21" s="481"/>
      <c r="K21" s="481"/>
      <c r="L21" s="481"/>
      <c r="M21" s="481"/>
      <c r="N21" s="481"/>
      <c r="O21" s="481"/>
      <c r="P21" s="478">
        <f t="shared" si="0"/>
      </c>
      <c r="Q21" s="478">
        <f t="shared" si="1"/>
      </c>
      <c r="R21" s="477">
        <f t="shared" si="2"/>
      </c>
      <c r="S21" s="477">
        <f t="shared" si="3"/>
      </c>
      <c r="T21">
        <f t="shared" si="4"/>
      </c>
    </row>
    <row r="22" spans="1:20">
      <c r="A22" s="496">
        <f>IF('rincian '!$B32="","",'rincian '!$B32)</f>
      </c>
      <c r="B22">
        <f>IF(ISNUMBER(MATCH('rincian '!$C33,{"I","II","III","IV","V","VI","VII","VIII","IX","X"},0)),TRIM('rincian '!$C33),B21)</f>
      </c>
      <c r="C22">
        <f>IF(ISNUMBER(MATCH('rincian '!$B32,{"I","II","III","IV","V","VI","VII","VIII","IX","X"},0)),"",IF(AND(ISNUMBER('rincian '!$B32),'rincian '!$B32&lt;&gt;""),TRIM('rincian '!$D32),C21))</f>
      </c>
      <c r="D22">
        <f>IF('rincian '!$D32="","",TRIM('rincian '!$D32))</f>
      </c>
      <c r="E22">
        <f>IF('rincian '!$O32="","",'rincian '!$O32)</f>
      </c>
      <c r="F22" s="475">
        <f>IF(N('rincian '!$N32)=0,"",'rincian '!$N32)</f>
      </c>
      <c r="G22" s="475">
        <f>IF(N('rincian '!$P32)=0,"",'rincian '!$P32)</f>
      </c>
      <c r="H22" s="475">
        <f>IF(N('rincian '!$Q32)=0,"",'rincian '!$Q32)</f>
      </c>
      <c r="I22" s="476">
        <f>IF(N('rincian '!$R32)=0,"",'rincian '!$R32)</f>
      </c>
      <c r="J22" s="481"/>
      <c r="K22" s="481"/>
      <c r="L22" s="481"/>
      <c r="M22" s="481"/>
      <c r="N22" s="481"/>
      <c r="O22" s="481"/>
      <c r="P22" s="478">
        <f t="shared" si="0"/>
      </c>
      <c r="Q22" s="478">
        <f t="shared" si="1"/>
      </c>
      <c r="R22" s="477">
        <f t="shared" si="2"/>
      </c>
      <c r="S22" s="477">
        <f t="shared" si="3"/>
      </c>
      <c r="T22">
        <f t="shared" si="4"/>
      </c>
    </row>
    <row r="23" spans="1:20">
      <c r="A23" s="496">
        <f>IF('rincian '!$B33="","",'rincian '!$B33)</f>
      </c>
      <c r="B23">
        <f>IF(ISNUMBER(MATCH('rincian '!$C34,{"I","II","III","IV","V","VI","VII","VIII","IX","X"},0)),TRIM('rincian '!$C34),B22)</f>
      </c>
      <c r="C23">
        <f>IF(ISNUMBER(MATCH('rincian '!$B33,{"I","II","III","IV","V","VI","VII","VIII","IX","X"},0)),"",IF(AND(ISNUMBER('rincian '!$B33),'rincian '!$B33&lt;&gt;""),TRIM('rincian '!$D33),C22))</f>
      </c>
      <c r="D23">
        <f>IF('rincian '!$D33="","",TRIM('rincian '!$D33))</f>
      </c>
      <c r="E23">
        <f>IF('rincian '!$O33="","",'rincian '!$O33)</f>
      </c>
      <c r="F23" s="475">
        <f>IF(N('rincian '!$N33)=0,"",'rincian '!$N33)</f>
      </c>
      <c r="G23" s="475">
        <f>IF(N('rincian '!$P33)=0,"",'rincian '!$P33)</f>
      </c>
      <c r="H23" s="475">
        <f>IF(N('rincian '!$Q33)=0,"",'rincian '!$Q33)</f>
      </c>
      <c r="I23" s="476">
        <f>IF(N('rincian '!$R33)=0,"",'rincian '!$R33)</f>
      </c>
      <c r="J23" s="481"/>
      <c r="K23" s="481"/>
      <c r="L23" s="481"/>
      <c r="M23" s="481"/>
      <c r="N23" s="481"/>
      <c r="O23" s="481"/>
      <c r="P23" s="478"/>
      <c r="Q23" s="478">
        <f t="shared" si="1"/>
      </c>
      <c r="R23" s="477"/>
      <c r="S23" s="477"/>
      <c r="T23">
        <f t="shared" si="4"/>
      </c>
    </row>
    <row r="24" spans="1:20">
      <c r="A24" s="496">
        <f>IF('rincian '!$B34="","",'rincian '!$B34)</f>
      </c>
      <c r="B24">
        <f>IF(ISNUMBER(MATCH('rincian '!$C35,{"I","II","III","IV","V","VI","VII","VIII","IX","X"},0)),TRIM('rincian '!$C35),B23)</f>
      </c>
      <c r="C24">
        <f>IF(ISNUMBER(MATCH('rincian '!$B34,{"I","II","III","IV","V","VI","VII","VIII","IX","X"},0)),"",IF(AND(ISNUMBER('rincian '!$B34),'rincian '!$B34&lt;&gt;""),TRIM('rincian '!$D34),C23))</f>
      </c>
      <c r="D24">
        <f>IF('rincian '!$D34="","",TRIM('rincian '!$D34))</f>
      </c>
      <c r="E24">
        <f>IF('rincian '!$O34="","",'rincian '!$O34)</f>
      </c>
      <c r="F24" s="475">
        <f>IF(N('rincian '!$N34)=0,"",'rincian '!$N34)</f>
      </c>
      <c r="G24" s="475">
        <f>IF(N('rincian '!$P34)=0,"",'rincian '!$P34)</f>
      </c>
      <c r="H24" s="475">
        <f>IF(N('rincian '!$Q34)=0,"",'rincian '!$Q34)</f>
      </c>
      <c r="I24" s="476">
        <f>IF(N('rincian '!$R34)=0,"",'rincian '!$R34)</f>
      </c>
      <c r="J24" s="481"/>
      <c r="K24" s="481"/>
      <c r="L24" s="481"/>
      <c r="M24" s="481"/>
      <c r="N24" s="481"/>
      <c r="O24" s="481"/>
      <c r="P24" s="478"/>
      <c r="Q24" s="478">
        <f t="shared" si="1"/>
      </c>
      <c r="R24" s="477"/>
      <c r="S24" s="477"/>
      <c r="T24">
        <f t="shared" si="4"/>
      </c>
    </row>
    <row r="25" spans="1:20">
      <c r="A25" s="496">
        <f>IF('rincian '!$B35="","",'rincian '!$B35)</f>
      </c>
      <c r="B25">
        <f>IF(ISNUMBER(MATCH('rincian '!$C36,{"I","II","III","IV","V","VI","VII","VIII","IX","X"},0)),TRIM('rincian '!$C36),B24)</f>
      </c>
      <c r="C25">
        <f>IF(ISNUMBER(MATCH('rincian '!$B35,{"I","II","III","IV","V","VI","VII","VIII","IX","X"},0)),"",IF(AND(ISNUMBER('rincian '!$B35),'rincian '!$B35&lt;&gt;""),TRIM('rincian '!$D35),C24))</f>
      </c>
      <c r="D25">
        <f>IF('rincian '!$D35="","",TRIM('rincian '!$D35))</f>
      </c>
      <c r="E25">
        <f>IF('rincian '!$O35="","",'rincian '!$O35)</f>
      </c>
      <c r="F25" s="475">
        <f>IF(N('rincian '!$N35)=0,"",'rincian '!$N35)</f>
      </c>
      <c r="G25" s="475">
        <f>IF(N('rincian '!$P35)=0,"",'rincian '!$P35)</f>
      </c>
      <c r="H25" s="475">
        <f>IF(N('rincian '!$Q35)=0,"",'rincian '!$Q35)</f>
      </c>
      <c r="I25" s="476">
        <f>IF(N('rincian '!$R35)=0,"",'rincian '!$R35)</f>
      </c>
      <c r="J25" s="481"/>
      <c r="K25" s="481"/>
      <c r="L25" s="481"/>
      <c r="M25" s="481"/>
      <c r="N25" s="481"/>
      <c r="O25" s="481"/>
      <c r="P25" s="478">
        <f t="shared" si="0"/>
      </c>
      <c r="Q25" s="478">
        <f t="shared" si="1"/>
      </c>
      <c r="R25" s="477">
        <f t="shared" si="2"/>
      </c>
      <c r="S25" s="477">
        <f t="shared" si="3"/>
      </c>
      <c r="T25">
        <f t="shared" si="4"/>
      </c>
    </row>
    <row r="26" spans="1:20">
      <c r="A26" s="496">
        <f>IF('rincian '!$B36="","",'rincian '!$B36)</f>
      </c>
      <c r="B26">
        <f>IF(ISNUMBER(MATCH('rincian '!$C37,{"I","II","III","IV","V","VI","VII","VIII","IX","X"},0)),TRIM('rincian '!$C37),B25)</f>
      </c>
      <c r="C26">
        <f>IF(ISNUMBER(MATCH('rincian '!$B36,{"I","II","III","IV","V","VI","VII","VIII","IX","X"},0)),"",IF(AND(ISNUMBER('rincian '!$B36),'rincian '!$B36&lt;&gt;""),TRIM('rincian '!$D36),C25))</f>
      </c>
      <c r="D26">
        <f>IF('rincian '!$D36="","",TRIM('rincian '!$D36))</f>
      </c>
      <c r="E26">
        <f>IF('rincian '!$O36="","",'rincian '!$O36)</f>
      </c>
      <c r="F26" s="475">
        <f>IF(N('rincian '!$N36)=0,"",'rincian '!$N36)</f>
      </c>
      <c r="G26" s="475">
        <f>IF(N('rincian '!$P36)=0,"",'rincian '!$P36)</f>
      </c>
      <c r="H26" s="475">
        <f>IF(N('rincian '!$Q36)=0,"",'rincian '!$Q36)</f>
      </c>
      <c r="I26" s="476">
        <f>IF(N('rincian '!$R36)=0,"",'rincian '!$R36)</f>
      </c>
      <c r="J26" s="481"/>
      <c r="K26" s="481"/>
      <c r="L26" s="481"/>
      <c r="M26" s="481"/>
      <c r="N26" s="481"/>
      <c r="O26" s="481"/>
      <c r="P26" s="478">
        <f t="shared" si="0"/>
      </c>
      <c r="Q26" s="478">
        <f t="shared" si="1"/>
      </c>
      <c r="R26" s="477">
        <f t="shared" si="2"/>
      </c>
      <c r="S26" s="477">
        <f t="shared" si="3"/>
      </c>
      <c r="T26">
        <f t="shared" si="4"/>
      </c>
    </row>
    <row r="27" spans="1:20">
      <c r="A27" s="496">
        <f>IF('rincian '!$B37="","",'rincian '!$B37)</f>
      </c>
    </row>
    <row r="28" spans="1:20">
      <c r="A28" s="496">
        <f>IF('rincian '!$B37="","",'rincian '!$B37)</f>
      </c>
    </row>
    <row r="29" spans="1:20">
      <c r="A29" s="496">
        <f>IF('rincian '!$B38="","",'rincian '!$B38)</f>
      </c>
    </row>
  </sheetData>
  <mergeCells count="2">
    <mergeCell ref="V1:AB1"/>
    <mergeCell ref="V2:AB2"/>
  </mergeCells>
  <conditionalFormatting sqref="J2:O26">
    <cfRule type="expression" dxfId="6" priority="1">
      <formula>SUM($J2:$O2)&gt;N($F2)</formula>
    </cfRule>
  </conditionalFormatting>
  <conditionalFormatting sqref="T2:T26">
    <cfRule type="containsText" dxfId="5" priority="5" operator="containsText" text="MELEBIHI">
      <formula>NOT(ISERROR(SEARCH("MELEBIHI",T2)))</formula>
    </cfRule>
    <cfRule type="containsText" dxfId="4" priority="6" operator="containsText" text="SELESAI 100%">
      <formula>NOT(ISERROR(SEARCH("SELESAI 100%",T2)))</formula>
    </cfRule>
    <cfRule type="containsText" dxfId="3" priority="7" operator="containsText" text="BERJALAN">
      <formula>NOT(ISERROR(SEARCH("BERJALAN",T2)))</formula>
    </cfRule>
  </conditionalFormatting>
  <conditionalFormatting sqref="V1:AB2">
    <cfRule type="containsText" dxfId="2" priority="2" operator="containsText" text="DITOLAK">
      <formula>NOT(ISERROR(SEARCH("DITOLAK",V1)))</formula>
    </cfRule>
    <cfRule type="containsText" dxfId="1" priority="3" operator="containsText" text="HABIS">
      <formula>NOT(ISERROR(SEARCH("HABIS",V1)))</formula>
    </cfRule>
    <cfRule type="containsText" dxfId="0" priority="4" operator="containsText" text="AMAN">
      <formula>NOT(ISERROR(SEARCH("AMAN",V1)))</formula>
    </cfRule>
  </conditionalFormatting>
  <dataValidations count="1">
    <dataValidation type="custom" allowBlank="1" showInputMessage="1" showErrorMessage="1" errorTitle="Progres Melebihi Kontrak - DITOLAK" error="DITOLAK. Total volume TERMIN 1-6 untuk item ini tidak boleh melebihi VOL KONTRAK (kolom F). Volume kontrak sudah habis / progres sudah 100%. Kurangi volume pada termin lain terlebih dahulu." promptTitle="Input Volume Progres" prompt="Isi volume progres pada termin yang sesuai. Sisa volume otomatis muncul di kolom Q (SISA VOL) dan status di kolom T." sqref="J2:O26" xr:uid="{4E797085-32E0-4979-BCEF-D8955339F608}">
      <formula1>SUM($J2:$O2)&lt;=N($F2)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EC16-5D86-421A-9582-D65F87596699}">
  <dimension ref="A1:I400"/>
  <sheetViews>
    <sheetView topLeftCell="C71" workbookViewId="0">
      <selection activeCell="J75" sqref="J75"/>
    </sheetView>
  </sheetViews>
  <sheetFormatPr defaultRowHeight="15"/>
  <cols>
    <col min="1" max="1" width="98.90625" bestFit="1" customWidth="1"/>
    <col min="2" max="2" width="47.90625" bestFit="1" customWidth="1"/>
    <col min="3" max="3" width="92.26953125" bestFit="1" customWidth="1"/>
    <col min="4" max="4" width="16.453125" bestFit="1" customWidth="1"/>
    <col min="5" max="5" width="13" bestFit="1" customWidth="1"/>
    <col min="6" max="6" width="13.7265625" bestFit="1" customWidth="1"/>
    <col min="7" max="7" width="10.7265625" bestFit="1" customWidth="1"/>
    <col min="8" max="8" width="11.453125" bestFit="1" customWidth="1"/>
    <col min="9" max="9" width="7.7265625" bestFit="1" customWidth="1"/>
  </cols>
  <sheetData>
    <row r="1" spans="1:9" ht="17.399999999999999">
      <c r="A1" s="479" t="s">
        <v>415</v>
      </c>
      <c r="F1" s="436" t="s">
        <v>416</v>
      </c>
      <c r="G1" s="463">
        <f>SUM('REKAP PROGRES'!S2:S16)</f>
      </c>
      <c r="H1" s="436" t="s">
        <v>417</v>
      </c>
      <c r="I1" s="436">
        <f>COUNTIF('REKAP PROGRES'!T2:T16,"SELESAI 100%")</f>
      </c>
    </row>
    <row r="2" spans="1:9" ht="15.6">
      <c r="A2" s="472" t="s">
        <v>418</v>
      </c>
    </row>
    <row r="3" spans="1:9">
      <c r="A3" s="480" t="s">
        <v>164</v>
      </c>
      <c r="B3" t="s">
        <v>419</v>
      </c>
    </row>
    <row r="5" spans="1:9">
      <c r="A5" s="480" t="s">
        <v>406</v>
      </c>
      <c r="B5" s="480" t="s">
        <v>407</v>
      </c>
      <c r="C5" s="480" t="s">
        <v>140</v>
      </c>
      <c r="D5" t="s">
        <v>420</v>
      </c>
      <c r="E5" t="s">
        <v>421</v>
      </c>
      <c r="F5" t="s">
        <v>422</v>
      </c>
      <c r="G5" t="s">
        <v>423</v>
      </c>
      <c r="H5" t="s">
        <v>424</v>
      </c>
      <c r="I5" t="s">
        <v>425</v>
      </c>
    </row>
    <row r="6" spans="1:9">
      <c r="A6" t="s">
        <v>426</v>
      </c>
      <c r="D6" s="475">
        <v>2840263000</v>
      </c>
      <c r="E6" s="476">
        <v>0.11312921852752775</v>
      </c>
      <c r="F6" s="476">
        <v>0</v>
      </c>
      <c r="G6" s="478">
        <v>12</v>
      </c>
      <c r="H6" s="478">
        <v>0</v>
      </c>
      <c r="I6" s="478">
        <v>12</v>
      </c>
    </row>
    <row r="7" spans="1:9">
      <c r="B7" t="s">
        <v>427</v>
      </c>
      <c r="D7" s="475">
        <v>0</v>
      </c>
      <c r="E7" s="476">
        <v>0</v>
      </c>
      <c r="F7" s="476">
        <v>0</v>
      </c>
      <c r="G7" s="478">
        <v>0</v>
      </c>
      <c r="H7" s="478">
        <v>0</v>
      </c>
      <c r="I7" s="478">
        <v>0</v>
      </c>
    </row>
    <row r="8" spans="1:9">
      <c r="C8" t="s">
        <v>426</v>
      </c>
      <c r="D8" s="475">
        <v>0</v>
      </c>
      <c r="E8" s="476">
        <v>0</v>
      </c>
      <c r="F8" s="476">
        <v>0</v>
      </c>
      <c r="G8" s="478">
        <v>0</v>
      </c>
      <c r="H8" s="478">
        <v>0</v>
      </c>
      <c r="I8" s="478">
        <v>0</v>
      </c>
    </row>
    <row r="9" spans="1:9">
      <c r="B9" t="s">
        <v>428</v>
      </c>
      <c r="D9" s="475">
        <v>522245000</v>
      </c>
      <c r="E9" s="476">
        <v>2.0801302108258542E-2</v>
      </c>
      <c r="F9" s="476">
        <v>0</v>
      </c>
      <c r="G9" s="478">
        <v>6</v>
      </c>
      <c r="H9" s="478">
        <v>0</v>
      </c>
      <c r="I9" s="478">
        <v>6</v>
      </c>
    </row>
    <row r="10" spans="1:9">
      <c r="C10" t="s">
        <v>428</v>
      </c>
      <c r="D10" s="475">
        <v>0</v>
      </c>
      <c r="E10" s="476">
        <v>0</v>
      </c>
      <c r="F10" s="476">
        <v>0</v>
      </c>
      <c r="G10" s="478">
        <v>0</v>
      </c>
      <c r="H10" s="478">
        <v>0</v>
      </c>
      <c r="I10" s="478">
        <v>0</v>
      </c>
    </row>
    <row r="11" spans="1:9">
      <c r="C11" t="s">
        <v>429</v>
      </c>
      <c r="D11" s="475">
        <v>0</v>
      </c>
      <c r="E11" s="476">
        <v>0</v>
      </c>
      <c r="F11" s="476">
        <v>0</v>
      </c>
      <c r="G11" s="478">
        <v>0</v>
      </c>
      <c r="H11" s="478">
        <v>0</v>
      </c>
      <c r="I11" s="478">
        <v>0</v>
      </c>
    </row>
    <row r="12" spans="1:9">
      <c r="C12" t="s">
        <v>430</v>
      </c>
      <c r="D12" s="475">
        <v>0</v>
      </c>
      <c r="E12" s="476">
        <v>0</v>
      </c>
      <c r="F12" s="476">
        <v>0</v>
      </c>
      <c r="G12" s="478">
        <v>0</v>
      </c>
      <c r="H12" s="478">
        <v>0</v>
      </c>
      <c r="I12" s="478">
        <v>0</v>
      </c>
    </row>
    <row r="13" spans="1:9">
      <c r="C13" t="s">
        <v>431</v>
      </c>
      <c r="D13" s="475">
        <v>0</v>
      </c>
      <c r="E13" s="476">
        <v>0</v>
      </c>
      <c r="F13" s="476">
        <v>0</v>
      </c>
      <c r="G13" s="478">
        <v>0</v>
      </c>
      <c r="H13" s="478">
        <v>0</v>
      </c>
      <c r="I13" s="478">
        <v>0</v>
      </c>
    </row>
    <row r="14" spans="1:9">
      <c r="C14" t="s">
        <v>432</v>
      </c>
      <c r="D14" s="475">
        <v>6498000</v>
      </c>
      <c r="E14" s="476">
        <v>2.5881887064397745E-4</v>
      </c>
      <c r="F14" s="476">
        <v>0</v>
      </c>
      <c r="G14" s="478">
        <v>1</v>
      </c>
      <c r="H14" s="478">
        <v>0</v>
      </c>
      <c r="I14" s="478">
        <v>1</v>
      </c>
    </row>
    <row r="15" spans="1:9">
      <c r="C15" t="s">
        <v>433</v>
      </c>
      <c r="D15" s="475">
        <v>16244000</v>
      </c>
      <c r="E15" s="476">
        <v>6.4700734606660041E-4</v>
      </c>
      <c r="F15" s="476">
        <v>0</v>
      </c>
      <c r="G15" s="478">
        <v>1</v>
      </c>
      <c r="H15" s="478">
        <v>0</v>
      </c>
      <c r="I15" s="478">
        <v>1</v>
      </c>
    </row>
    <row r="16" spans="1:9">
      <c r="C16" t="s">
        <v>434</v>
      </c>
      <c r="D16" s="475">
        <v>0</v>
      </c>
      <c r="E16" s="476">
        <v>0</v>
      </c>
      <c r="F16" s="476">
        <v>0</v>
      </c>
      <c r="G16" s="478">
        <v>0</v>
      </c>
      <c r="H16" s="478">
        <v>0</v>
      </c>
      <c r="I16" s="478">
        <v>0</v>
      </c>
    </row>
    <row r="17" spans="2:9">
      <c r="C17" t="s">
        <v>435</v>
      </c>
      <c r="D17" s="475">
        <v>0</v>
      </c>
      <c r="E17" s="476">
        <v>0</v>
      </c>
      <c r="F17" s="476">
        <v>0</v>
      </c>
      <c r="G17" s="478">
        <v>0</v>
      </c>
      <c r="H17" s="478">
        <v>0</v>
      </c>
      <c r="I17" s="478">
        <v>0</v>
      </c>
    </row>
    <row r="18" spans="2:9">
      <c r="C18" t="s">
        <v>436</v>
      </c>
      <c r="D18" s="475">
        <v>40610000</v>
      </c>
      <c r="E18" s="476">
        <v>1.6175183651665011E-3</v>
      </c>
      <c r="F18" s="476">
        <v>0</v>
      </c>
      <c r="G18" s="478">
        <v>1</v>
      </c>
      <c r="H18" s="478">
        <v>0</v>
      </c>
      <c r="I18" s="478">
        <v>1</v>
      </c>
    </row>
    <row r="19" spans="2:9">
      <c r="C19" t="s">
        <v>437</v>
      </c>
      <c r="D19" s="475">
        <v>121830000</v>
      </c>
      <c r="E19" s="476">
        <v>4.852555095499503E-3</v>
      </c>
      <c r="F19" s="476">
        <v>0</v>
      </c>
      <c r="G19" s="478">
        <v>1</v>
      </c>
      <c r="H19" s="478">
        <v>0</v>
      </c>
      <c r="I19" s="478">
        <v>1</v>
      </c>
    </row>
    <row r="20" spans="2:9">
      <c r="C20" t="s">
        <v>438</v>
      </c>
      <c r="D20" s="475">
        <v>324880000</v>
      </c>
      <c r="E20" s="476">
        <v>1.2940146921332009E-2</v>
      </c>
      <c r="F20" s="476">
        <v>0</v>
      </c>
      <c r="G20" s="478">
        <v>1</v>
      </c>
      <c r="H20" s="478">
        <v>0</v>
      </c>
      <c r="I20" s="478">
        <v>1</v>
      </c>
    </row>
    <row r="21" spans="2:9">
      <c r="C21" t="s">
        <v>439</v>
      </c>
      <c r="D21" s="475">
        <v>0</v>
      </c>
      <c r="E21" s="476">
        <v>0</v>
      </c>
      <c r="F21" s="476">
        <v>0</v>
      </c>
      <c r="G21" s="478">
        <v>0</v>
      </c>
      <c r="H21" s="478">
        <v>0</v>
      </c>
      <c r="I21" s="478">
        <v>0</v>
      </c>
    </row>
    <row r="22" spans="2:9">
      <c r="C22" t="s">
        <v>440</v>
      </c>
      <c r="D22" s="475">
        <v>12183000</v>
      </c>
      <c r="E22" s="476">
        <v>4.8525550954995033E-4</v>
      </c>
      <c r="F22" s="476">
        <v>0</v>
      </c>
      <c r="G22" s="478">
        <v>1</v>
      </c>
      <c r="H22" s="478">
        <v>0</v>
      </c>
      <c r="I22" s="478">
        <v>1</v>
      </c>
    </row>
    <row r="23" spans="2:9">
      <c r="B23" t="s">
        <v>441</v>
      </c>
      <c r="D23" s="475">
        <v>2318018000</v>
      </c>
      <c r="E23" s="476">
        <v>9.2327916419269199E-2</v>
      </c>
      <c r="F23" s="476">
        <v>0</v>
      </c>
      <c r="G23" s="478">
        <v>6</v>
      </c>
      <c r="H23" s="478">
        <v>0</v>
      </c>
      <c r="I23" s="478">
        <v>6</v>
      </c>
    </row>
    <row r="24" spans="2:9">
      <c r="D24" s="475">
        <v>0</v>
      </c>
      <c r="E24" s="476">
        <v>0</v>
      </c>
      <c r="F24" s="476">
        <v>0</v>
      </c>
      <c r="G24" s="478">
        <v>0</v>
      </c>
      <c r="H24" s="478">
        <v>0</v>
      </c>
      <c r="I24" s="478">
        <v>0</v>
      </c>
    </row>
    <row r="25" spans="2:9">
      <c r="C25" t="s">
        <v>441</v>
      </c>
      <c r="D25" s="475">
        <v>0</v>
      </c>
      <c r="E25" s="476">
        <v>0</v>
      </c>
      <c r="F25" s="476">
        <v>0</v>
      </c>
      <c r="G25" s="478">
        <v>0</v>
      </c>
      <c r="H25" s="478">
        <v>0</v>
      </c>
      <c r="I25" s="478">
        <v>0</v>
      </c>
    </row>
    <row r="26" spans="2:9">
      <c r="C26" t="s">
        <v>442</v>
      </c>
      <c r="D26" s="475">
        <v>483664500</v>
      </c>
      <c r="E26" s="476">
        <v>1.9264619830807021E-2</v>
      </c>
      <c r="F26" s="476">
        <v>0</v>
      </c>
      <c r="G26" s="478">
        <v>1</v>
      </c>
      <c r="H26" s="478">
        <v>0</v>
      </c>
      <c r="I26" s="478">
        <v>1</v>
      </c>
    </row>
    <row r="27" spans="2:9">
      <c r="C27" t="s">
        <v>443</v>
      </c>
      <c r="D27" s="475">
        <v>0</v>
      </c>
      <c r="E27" s="476">
        <v>0</v>
      </c>
      <c r="F27" s="476">
        <v>0</v>
      </c>
      <c r="G27" s="478">
        <v>0</v>
      </c>
      <c r="H27" s="478">
        <v>0</v>
      </c>
      <c r="I27" s="478">
        <v>0</v>
      </c>
    </row>
    <row r="28" spans="2:9">
      <c r="C28" t="s">
        <v>444</v>
      </c>
      <c r="D28" s="475">
        <v>203050000</v>
      </c>
      <c r="E28" s="476">
        <v>8.0875918258325047E-3</v>
      </c>
      <c r="F28" s="476">
        <v>0</v>
      </c>
      <c r="G28" s="478">
        <v>1</v>
      </c>
      <c r="H28" s="478">
        <v>0</v>
      </c>
      <c r="I28" s="478">
        <v>1</v>
      </c>
    </row>
    <row r="29" spans="2:9">
      <c r="C29" t="s">
        <v>445</v>
      </c>
      <c r="D29" s="475">
        <v>73098000</v>
      </c>
      <c r="E29" s="476">
        <v>2.9115330572997019E-3</v>
      </c>
      <c r="F29" s="476">
        <v>0</v>
      </c>
      <c r="G29" s="478">
        <v>1</v>
      </c>
      <c r="H29" s="478">
        <v>0</v>
      </c>
      <c r="I29" s="478">
        <v>1</v>
      </c>
    </row>
    <row r="30" spans="2:9">
      <c r="C30" t="s">
        <v>446</v>
      </c>
      <c r="D30" s="475">
        <v>0</v>
      </c>
      <c r="E30" s="476">
        <v>0</v>
      </c>
      <c r="F30" s="476">
        <v>0</v>
      </c>
      <c r="G30" s="478">
        <v>0</v>
      </c>
      <c r="H30" s="478">
        <v>0</v>
      </c>
      <c r="I30" s="478">
        <v>0</v>
      </c>
    </row>
    <row r="31" spans="2:9">
      <c r="C31" t="s">
        <v>447</v>
      </c>
      <c r="D31" s="475">
        <v>12183000</v>
      </c>
      <c r="E31" s="476">
        <v>4.8525550954995033E-4</v>
      </c>
      <c r="F31" s="476">
        <v>0</v>
      </c>
      <c r="G31" s="478">
        <v>1</v>
      </c>
      <c r="H31" s="478">
        <v>0</v>
      </c>
      <c r="I31" s="478">
        <v>1</v>
      </c>
    </row>
    <row r="32" spans="2:9">
      <c r="C32" t="s">
        <v>439</v>
      </c>
      <c r="D32" s="475">
        <v>0</v>
      </c>
      <c r="E32" s="476">
        <v>0</v>
      </c>
      <c r="F32" s="476">
        <v>0</v>
      </c>
      <c r="G32" s="478">
        <v>0</v>
      </c>
      <c r="H32" s="478">
        <v>0</v>
      </c>
      <c r="I32" s="478">
        <v>0</v>
      </c>
    </row>
    <row r="33" spans="1:9">
      <c r="C33" t="s">
        <v>448</v>
      </c>
      <c r="D33" s="475">
        <v>0</v>
      </c>
      <c r="E33" s="476">
        <v>0</v>
      </c>
      <c r="F33" s="476">
        <v>0</v>
      </c>
      <c r="G33" s="478">
        <v>0</v>
      </c>
      <c r="H33" s="478">
        <v>0</v>
      </c>
      <c r="I33" s="478">
        <v>0</v>
      </c>
    </row>
    <row r="34" spans="1:9">
      <c r="C34" t="s">
        <v>449</v>
      </c>
      <c r="D34" s="475">
        <v>0</v>
      </c>
      <c r="E34" s="476">
        <v>0</v>
      </c>
      <c r="F34" s="476">
        <v>0</v>
      </c>
      <c r="G34" s="478">
        <v>0</v>
      </c>
      <c r="H34" s="478">
        <v>0</v>
      </c>
      <c r="I34" s="478">
        <v>0</v>
      </c>
    </row>
    <row r="35" spans="1:9">
      <c r="C35" t="s">
        <v>450</v>
      </c>
      <c r="D35" s="475">
        <v>6498000</v>
      </c>
      <c r="E35" s="476">
        <v>2.5881887064397745E-4</v>
      </c>
      <c r="F35" s="476">
        <v>0</v>
      </c>
      <c r="G35" s="478">
        <v>1</v>
      </c>
      <c r="H35" s="478">
        <v>0</v>
      </c>
      <c r="I35" s="478">
        <v>1</v>
      </c>
    </row>
    <row r="36" spans="1:9">
      <c r="C36" t="s">
        <v>451</v>
      </c>
      <c r="D36" s="475">
        <v>1539524500</v>
      </c>
      <c r="E36" s="476">
        <v>6.1320097325136047E-2</v>
      </c>
      <c r="F36" s="476">
        <v>0</v>
      </c>
      <c r="G36" s="478">
        <v>1</v>
      </c>
      <c r="H36" s="478">
        <v>0</v>
      </c>
      <c r="I36" s="478">
        <v>1</v>
      </c>
    </row>
    <row r="37" spans="1:9">
      <c r="A37" t="s">
        <v>452</v>
      </c>
      <c r="D37" s="475">
        <v>3407535000</v>
      </c>
      <c r="E37" s="476">
        <v>0.13572397051089963</v>
      </c>
      <c r="F37" s="476">
        <v>3.9271406158781844E-2</v>
      </c>
      <c r="G37" s="478">
        <v>418</v>
      </c>
      <c r="H37" s="478">
        <v>146.10714450521277</v>
      </c>
      <c r="I37" s="478">
        <v>271.89285549478723</v>
      </c>
    </row>
    <row r="38" spans="1:9">
      <c r="B38" t="s">
        <v>427</v>
      </c>
      <c r="D38" s="475">
        <v>0</v>
      </c>
      <c r="E38" s="476">
        <v>0</v>
      </c>
      <c r="F38" s="476">
        <v>0</v>
      </c>
      <c r="G38" s="478">
        <v>0</v>
      </c>
      <c r="H38" s="478">
        <v>0</v>
      </c>
      <c r="I38" s="478">
        <v>0</v>
      </c>
    </row>
    <row r="39" spans="1:9">
      <c r="C39" t="s">
        <v>452</v>
      </c>
      <c r="D39" s="475">
        <v>0</v>
      </c>
      <c r="E39" s="476">
        <v>0</v>
      </c>
      <c r="F39" s="476">
        <v>0</v>
      </c>
      <c r="G39" s="478">
        <v>0</v>
      </c>
      <c r="H39" s="478">
        <v>0</v>
      </c>
      <c r="I39" s="478">
        <v>0</v>
      </c>
    </row>
    <row r="40" spans="1:9">
      <c r="B40" t="s">
        <v>453</v>
      </c>
      <c r="D40" s="475">
        <v>1043353000</v>
      </c>
      <c r="E40" s="476">
        <v>4.1557316888735894E-2</v>
      </c>
      <c r="F40" s="476">
        <v>1.4618207712380144E-2</v>
      </c>
      <c r="G40" s="478">
        <v>344</v>
      </c>
      <c r="H40" s="478">
        <v>123</v>
      </c>
      <c r="I40" s="478">
        <v>221</v>
      </c>
    </row>
    <row r="41" spans="1:9">
      <c r="C41" t="s">
        <v>454</v>
      </c>
      <c r="D41" s="475">
        <v>52632000</v>
      </c>
      <c r="E41" s="476">
        <v>2.0963611572381996E-3</v>
      </c>
      <c r="F41" s="476">
        <v>6.987870524127332E-4</v>
      </c>
      <c r="G41" s="478">
        <v>24</v>
      </c>
      <c r="H41" s="478">
        <v>8</v>
      </c>
      <c r="I41" s="478">
        <v>16</v>
      </c>
    </row>
    <row r="42" spans="1:9">
      <c r="C42" t="s">
        <v>455</v>
      </c>
      <c r="D42" s="475">
        <v>61404000</v>
      </c>
      <c r="E42" s="476">
        <v>2.4457546834445662E-3</v>
      </c>
      <c r="F42" s="476">
        <v>8.152515611481887E-4</v>
      </c>
      <c r="G42" s="478">
        <v>42</v>
      </c>
      <c r="H42" s="478">
        <v>14</v>
      </c>
      <c r="I42" s="478">
        <v>28</v>
      </c>
    </row>
    <row r="43" spans="1:9">
      <c r="C43" t="s">
        <v>456</v>
      </c>
      <c r="D43" s="475">
        <v>24574000</v>
      </c>
      <c r="E43" s="476">
        <v>9.7879577211528184E-4</v>
      </c>
      <c r="F43" s="476">
        <v>9.7879577211528184E-4</v>
      </c>
      <c r="G43" s="478">
        <v>11</v>
      </c>
      <c r="H43" s="478">
        <v>11</v>
      </c>
      <c r="I43" s="478">
        <v>0</v>
      </c>
    </row>
    <row r="44" spans="1:9">
      <c r="C44" t="s">
        <v>457</v>
      </c>
      <c r="D44" s="475">
        <v>19494000</v>
      </c>
      <c r="E44" s="476">
        <v>7.7645661193193234E-4</v>
      </c>
      <c r="F44" s="476">
        <v>2.5881887064397745E-4</v>
      </c>
      <c r="G44" s="478">
        <v>6</v>
      </c>
      <c r="H44" s="478">
        <v>2</v>
      </c>
      <c r="I44" s="478">
        <v>4</v>
      </c>
    </row>
    <row r="45" spans="1:9">
      <c r="C45" t="s">
        <v>458</v>
      </c>
      <c r="D45" s="475">
        <v>19494000</v>
      </c>
      <c r="E45" s="476">
        <v>7.7645661193193234E-4</v>
      </c>
      <c r="F45" s="476">
        <v>2.5881887064397745E-4</v>
      </c>
      <c r="G45" s="478">
        <v>6</v>
      </c>
      <c r="H45" s="478">
        <v>2</v>
      </c>
      <c r="I45" s="478">
        <v>4</v>
      </c>
    </row>
    <row r="46" spans="1:9">
      <c r="C46" t="s">
        <v>453</v>
      </c>
      <c r="D46" s="475">
        <v>0</v>
      </c>
      <c r="E46" s="476">
        <v>0</v>
      </c>
      <c r="F46" s="476">
        <v>0</v>
      </c>
      <c r="G46" s="478">
        <v>0</v>
      </c>
      <c r="H46" s="478">
        <v>0</v>
      </c>
      <c r="I46" s="478">
        <v>0</v>
      </c>
    </row>
    <row r="47" spans="1:9">
      <c r="C47" t="s">
        <v>459</v>
      </c>
      <c r="D47" s="475">
        <v>38988000</v>
      </c>
      <c r="E47" s="476">
        <v>1.5529132238638647E-3</v>
      </c>
      <c r="F47" s="476">
        <v>5.1763774128795489E-4</v>
      </c>
      <c r="G47" s="478">
        <v>12</v>
      </c>
      <c r="H47" s="478">
        <v>4</v>
      </c>
      <c r="I47" s="478">
        <v>8</v>
      </c>
    </row>
    <row r="48" spans="1:9">
      <c r="C48" t="s">
        <v>460</v>
      </c>
      <c r="D48" s="475">
        <v>38988000</v>
      </c>
      <c r="E48" s="476">
        <v>1.5529132238638647E-3</v>
      </c>
      <c r="F48" s="476">
        <v>5.1763774128795489E-4</v>
      </c>
      <c r="G48" s="478">
        <v>12</v>
      </c>
      <c r="H48" s="478">
        <v>4</v>
      </c>
      <c r="I48" s="478">
        <v>8</v>
      </c>
    </row>
    <row r="49" spans="3:9">
      <c r="C49" t="s">
        <v>461</v>
      </c>
      <c r="D49" s="475">
        <v>26802000</v>
      </c>
      <c r="E49" s="476">
        <v>1.0675382226838848E-3</v>
      </c>
      <c r="F49" s="476">
        <v>3.5584607422796161E-4</v>
      </c>
      <c r="G49" s="478">
        <v>6</v>
      </c>
      <c r="H49" s="478">
        <v>2</v>
      </c>
      <c r="I49" s="478">
        <v>4</v>
      </c>
    </row>
    <row r="50" spans="3:9">
      <c r="C50" t="s">
        <v>462</v>
      </c>
      <c r="D50" s="475">
        <v>26802000</v>
      </c>
      <c r="E50" s="476">
        <v>1.0675382226838848E-3</v>
      </c>
      <c r="F50" s="476">
        <v>3.5584607422796161E-4</v>
      </c>
      <c r="G50" s="478">
        <v>6</v>
      </c>
      <c r="H50" s="478">
        <v>2</v>
      </c>
      <c r="I50" s="478">
        <v>4</v>
      </c>
    </row>
    <row r="51" spans="3:9">
      <c r="C51" t="s">
        <v>463</v>
      </c>
      <c r="D51" s="475">
        <v>26802000</v>
      </c>
      <c r="E51" s="476">
        <v>1.0675382226838848E-3</v>
      </c>
      <c r="F51" s="476">
        <v>3.5584607422796161E-4</v>
      </c>
      <c r="G51" s="478">
        <v>6</v>
      </c>
      <c r="H51" s="478">
        <v>2</v>
      </c>
      <c r="I51" s="478">
        <v>4</v>
      </c>
    </row>
    <row r="52" spans="3:9">
      <c r="C52" t="s">
        <v>464</v>
      </c>
      <c r="D52" s="475">
        <v>8529000</v>
      </c>
      <c r="E52" s="476">
        <v>3.3971470417397409E-4</v>
      </c>
      <c r="F52" s="476">
        <v>2.2647646944931604E-4</v>
      </c>
      <c r="G52" s="478">
        <v>3</v>
      </c>
      <c r="H52" s="478">
        <v>2</v>
      </c>
      <c r="I52" s="478">
        <v>1</v>
      </c>
    </row>
    <row r="53" spans="3:9">
      <c r="C53" t="s">
        <v>465</v>
      </c>
      <c r="D53" s="475">
        <v>73104000</v>
      </c>
      <c r="E53" s="476">
        <v>2.9117720405597608E-3</v>
      </c>
      <c r="F53" s="476">
        <v>9.7059068018658687E-4</v>
      </c>
      <c r="G53" s="478">
        <v>12</v>
      </c>
      <c r="H53" s="478">
        <v>4</v>
      </c>
      <c r="I53" s="478">
        <v>8</v>
      </c>
    </row>
    <row r="54" spans="3:9">
      <c r="C54" t="s">
        <v>466</v>
      </c>
      <c r="D54" s="475">
        <v>100392000</v>
      </c>
      <c r="E54" s="476">
        <v>3.9986679073084307E-3</v>
      </c>
      <c r="F54" s="476">
        <v>1.3328893024361435E-3</v>
      </c>
      <c r="G54" s="478">
        <v>12</v>
      </c>
      <c r="H54" s="478">
        <v>4</v>
      </c>
      <c r="I54" s="478">
        <v>8</v>
      </c>
    </row>
    <row r="55" spans="3:9">
      <c r="C55" t="s">
        <v>467</v>
      </c>
      <c r="D55" s="475">
        <v>68208000</v>
      </c>
      <c r="E55" s="476">
        <v>2.7167617003515565E-3</v>
      </c>
      <c r="F55" s="476">
        <v>9.0558723345051881E-4</v>
      </c>
      <c r="G55" s="478">
        <v>42</v>
      </c>
      <c r="H55" s="478">
        <v>14</v>
      </c>
      <c r="I55" s="478">
        <v>28</v>
      </c>
    </row>
    <row r="56" spans="3:9">
      <c r="C56" t="s">
        <v>468</v>
      </c>
      <c r="D56" s="475">
        <v>9264000</v>
      </c>
      <c r="E56" s="476">
        <v>3.6899015353121067E-4</v>
      </c>
      <c r="F56" s="476">
        <v>1.2299671784373687E-4</v>
      </c>
      <c r="G56" s="478">
        <v>12</v>
      </c>
      <c r="H56" s="478">
        <v>4</v>
      </c>
      <c r="I56" s="478">
        <v>8</v>
      </c>
    </row>
    <row r="57" spans="3:9">
      <c r="C57" t="s">
        <v>469</v>
      </c>
      <c r="D57" s="475">
        <v>97464000</v>
      </c>
      <c r="E57" s="476">
        <v>3.8820440763996026E-3</v>
      </c>
      <c r="F57" s="476">
        <v>1.2940146921332008E-3</v>
      </c>
      <c r="G57" s="478">
        <v>6</v>
      </c>
      <c r="H57" s="478">
        <v>2</v>
      </c>
      <c r="I57" s="478">
        <v>4</v>
      </c>
    </row>
    <row r="58" spans="3:9">
      <c r="C58" t="s">
        <v>470</v>
      </c>
      <c r="D58" s="475">
        <v>26316000</v>
      </c>
      <c r="E58" s="476">
        <v>1.0481805786190998E-3</v>
      </c>
      <c r="F58" s="476">
        <v>3.493935262063666E-4</v>
      </c>
      <c r="G58" s="478">
        <v>18</v>
      </c>
      <c r="H58" s="478">
        <v>6</v>
      </c>
      <c r="I58" s="478">
        <v>12</v>
      </c>
    </row>
    <row r="59" spans="3:9">
      <c r="C59" t="s">
        <v>471</v>
      </c>
      <c r="D59" s="475">
        <v>26802000</v>
      </c>
      <c r="E59" s="476">
        <v>1.0675382226838848E-3</v>
      </c>
      <c r="F59" s="476">
        <v>3.5584607422796161E-4</v>
      </c>
      <c r="G59" s="478">
        <v>6</v>
      </c>
      <c r="H59" s="478">
        <v>2</v>
      </c>
      <c r="I59" s="478">
        <v>4</v>
      </c>
    </row>
    <row r="60" spans="3:9">
      <c r="C60" t="s">
        <v>472</v>
      </c>
      <c r="D60" s="475">
        <v>19494000</v>
      </c>
      <c r="E60" s="476">
        <v>7.7645661193193234E-4</v>
      </c>
      <c r="F60" s="476">
        <v>2.5881887064397745E-4</v>
      </c>
      <c r="G60" s="478">
        <v>6</v>
      </c>
      <c r="H60" s="478">
        <v>2</v>
      </c>
      <c r="I60" s="478">
        <v>4</v>
      </c>
    </row>
    <row r="61" spans="3:9">
      <c r="C61" t="s">
        <v>473</v>
      </c>
      <c r="D61" s="475">
        <v>19494000</v>
      </c>
      <c r="E61" s="476">
        <v>7.7645661193193234E-4</v>
      </c>
      <c r="F61" s="476">
        <v>2.5881887064397745E-4</v>
      </c>
      <c r="G61" s="478">
        <v>6</v>
      </c>
      <c r="H61" s="478">
        <v>2</v>
      </c>
      <c r="I61" s="478">
        <v>4</v>
      </c>
    </row>
    <row r="62" spans="3:9">
      <c r="C62" t="s">
        <v>474</v>
      </c>
      <c r="D62" s="475">
        <v>155952000</v>
      </c>
      <c r="E62" s="476">
        <v>6.2116528954554587E-3</v>
      </c>
      <c r="F62" s="476">
        <v>2.0705509651518196E-3</v>
      </c>
      <c r="G62" s="478">
        <v>48</v>
      </c>
      <c r="H62" s="478">
        <v>16</v>
      </c>
      <c r="I62" s="478">
        <v>32</v>
      </c>
    </row>
    <row r="63" spans="3:9">
      <c r="C63" t="s">
        <v>475</v>
      </c>
      <c r="D63" s="475">
        <v>102354000</v>
      </c>
      <c r="E63" s="476">
        <v>4.0768154333477484E-3</v>
      </c>
      <c r="F63" s="476">
        <v>1.3589384777825827E-3</v>
      </c>
      <c r="G63" s="478">
        <v>42</v>
      </c>
      <c r="H63" s="478">
        <v>14</v>
      </c>
      <c r="I63" s="478">
        <v>28</v>
      </c>
    </row>
    <row r="64" spans="3:9">
      <c r="C64" t="s">
        <v>476</v>
      </c>
      <c r="D64" s="475">
        <v>0</v>
      </c>
      <c r="E64" s="476">
        <v>0</v>
      </c>
      <c r="F64" s="476">
        <v>0</v>
      </c>
      <c r="G64" s="478">
        <v>0</v>
      </c>
      <c r="H64" s="478">
        <v>0</v>
      </c>
      <c r="I64" s="478">
        <v>0</v>
      </c>
    </row>
    <row r="65" spans="2:9">
      <c r="B65" t="s">
        <v>477</v>
      </c>
      <c r="D65" s="475">
        <v>2518000</v>
      </c>
      <c r="E65" s="476">
        <v>1.0029330813812484E-4</v>
      </c>
      <c r="F65" s="476">
        <v>4.2061053770397073E-5</v>
      </c>
      <c r="G65" s="478">
        <v>7</v>
      </c>
      <c r="H65" s="478">
        <v>3</v>
      </c>
      <c r="I65" s="478">
        <v>4</v>
      </c>
    </row>
    <row r="66" spans="2:9">
      <c r="C66" t="s">
        <v>478</v>
      </c>
      <c r="D66" s="475">
        <v>812000</v>
      </c>
      <c r="E66" s="476">
        <v>3.2342401194661385E-5</v>
      </c>
      <c r="F66" s="476">
        <v>3.2342401194661385E-5</v>
      </c>
      <c r="G66" s="478">
        <v>1</v>
      </c>
      <c r="H66" s="478">
        <v>1</v>
      </c>
      <c r="I66" s="478">
        <v>0</v>
      </c>
    </row>
    <row r="67" spans="2:9">
      <c r="C67" t="s">
        <v>479</v>
      </c>
      <c r="D67" s="475">
        <v>650000</v>
      </c>
      <c r="E67" s="476">
        <v>2.5889853173066381E-5</v>
      </c>
      <c r="F67" s="476">
        <v>0</v>
      </c>
      <c r="G67" s="478">
        <v>2</v>
      </c>
      <c r="H67" s="478">
        <v>0</v>
      </c>
      <c r="I67" s="478">
        <v>2</v>
      </c>
    </row>
    <row r="68" spans="2:9">
      <c r="C68" t="s">
        <v>480</v>
      </c>
      <c r="D68" s="475">
        <v>812000</v>
      </c>
      <c r="E68" s="476">
        <v>3.2342401194661385E-5</v>
      </c>
      <c r="F68" s="476">
        <v>0</v>
      </c>
      <c r="G68" s="478">
        <v>2</v>
      </c>
      <c r="H68" s="478">
        <v>0</v>
      </c>
      <c r="I68" s="478">
        <v>2</v>
      </c>
    </row>
    <row r="69" spans="2:9">
      <c r="C69" t="s">
        <v>481</v>
      </c>
      <c r="D69" s="475">
        <v>244000</v>
      </c>
      <c r="E69" s="476">
        <v>9.7186525757356865E-6</v>
      </c>
      <c r="F69" s="476">
        <v>9.7186525757356865E-6</v>
      </c>
      <c r="G69" s="478">
        <v>2</v>
      </c>
      <c r="H69" s="478">
        <v>2</v>
      </c>
      <c r="I69" s="478">
        <v>0</v>
      </c>
    </row>
    <row r="70" spans="2:9">
      <c r="C70" t="s">
        <v>477</v>
      </c>
      <c r="D70" s="475">
        <v>0</v>
      </c>
      <c r="E70" s="476">
        <v>0</v>
      </c>
      <c r="F70" s="476">
        <v>0</v>
      </c>
      <c r="G70" s="478">
        <v>0</v>
      </c>
      <c r="H70" s="478">
        <v>0</v>
      </c>
      <c r="I70" s="478">
        <v>0</v>
      </c>
    </row>
    <row r="71" spans="2:9">
      <c r="B71" t="s">
        <v>482</v>
      </c>
      <c r="D71" s="475">
        <v>234040000</v>
      </c>
      <c r="E71" s="476">
        <v>9.3219403640376237E-3</v>
      </c>
      <c r="F71" s="476">
        <v>9.9879468792789076E-4</v>
      </c>
      <c r="G71" s="478">
        <v>1</v>
      </c>
      <c r="H71" s="478">
        <v>0.107144505212784</v>
      </c>
      <c r="I71" s="478">
        <v>0.89285549478721604</v>
      </c>
    </row>
    <row r="72" spans="2:9">
      <c r="C72" t="s">
        <v>482</v>
      </c>
      <c r="D72" s="475">
        <v>234040000</v>
      </c>
      <c r="E72" s="476">
        <v>9.3219403640376237E-3</v>
      </c>
      <c r="F72" s="476">
        <v>9.9879468792789076E-4</v>
      </c>
      <c r="G72" s="478">
        <v>1</v>
      </c>
      <c r="H72" s="478">
        <v>0.107144505212784</v>
      </c>
      <c r="I72" s="478">
        <v>0.89285549478721604</v>
      </c>
    </row>
    <row r="73" spans="2:9">
      <c r="B73" t="s">
        <v>483</v>
      </c>
      <c r="D73" s="475">
        <v>1396656000</v>
      </c>
      <c r="E73" s="476">
        <v>5.5629567343511072E-2</v>
      </c>
      <c r="F73" s="476">
        <v>1.3907391835877768E-2</v>
      </c>
      <c r="G73" s="478">
        <v>24</v>
      </c>
      <c r="H73" s="478">
        <v>6</v>
      </c>
      <c r="I73" s="478">
        <v>18</v>
      </c>
    </row>
    <row r="74" spans="2:9">
      <c r="C74" t="s">
        <v>484</v>
      </c>
      <c r="D74" s="475">
        <v>349164000</v>
      </c>
      <c r="E74" s="476">
        <v>1.3907391835877768E-2</v>
      </c>
      <c r="F74" s="476">
        <v>4.6357972786259223E-3</v>
      </c>
      <c r="G74" s="478">
        <v>6</v>
      </c>
      <c r="H74" s="478">
        <v>2</v>
      </c>
      <c r="I74" s="478">
        <v>4</v>
      </c>
    </row>
    <row r="75" spans="2:9">
      <c r="C75" t="s">
        <v>485</v>
      </c>
      <c r="D75" s="475">
        <v>349164000</v>
      </c>
      <c r="E75" s="476">
        <v>1.3907391835877768E-2</v>
      </c>
      <c r="F75" s="476">
        <v>0</v>
      </c>
      <c r="G75" s="478">
        <v>6</v>
      </c>
      <c r="H75" s="478">
        <v>0</v>
      </c>
      <c r="I75" s="478">
        <v>6</v>
      </c>
    </row>
    <row r="76" spans="2:9">
      <c r="C76" t="s">
        <v>486</v>
      </c>
      <c r="D76" s="475">
        <v>349164000</v>
      </c>
      <c r="E76" s="476">
        <v>1.3907391835877768E-2</v>
      </c>
      <c r="F76" s="476">
        <v>4.6357972786259223E-3</v>
      </c>
      <c r="G76" s="478">
        <v>6</v>
      </c>
      <c r="H76" s="478">
        <v>2</v>
      </c>
      <c r="I76" s="478">
        <v>4</v>
      </c>
    </row>
    <row r="77" spans="2:9">
      <c r="C77" t="s">
        <v>487</v>
      </c>
      <c r="D77" s="475">
        <v>349164000</v>
      </c>
      <c r="E77" s="476">
        <v>1.3907391835877768E-2</v>
      </c>
      <c r="F77" s="476">
        <v>4.6357972786259223E-3</v>
      </c>
      <c r="G77" s="478">
        <v>6</v>
      </c>
      <c r="H77" s="478">
        <v>2</v>
      </c>
      <c r="I77" s="478">
        <v>4</v>
      </c>
    </row>
    <row r="78" spans="2:9">
      <c r="C78" t="s">
        <v>483</v>
      </c>
      <c r="D78" s="475">
        <v>0</v>
      </c>
      <c r="E78" s="476">
        <v>0</v>
      </c>
      <c r="F78" s="476">
        <v>0</v>
      </c>
      <c r="G78" s="478">
        <v>0</v>
      </c>
      <c r="H78" s="478">
        <v>0</v>
      </c>
      <c r="I78" s="478">
        <v>0</v>
      </c>
    </row>
    <row r="79" spans="2:9">
      <c r="B79" t="s">
        <v>488</v>
      </c>
      <c r="D79" s="475">
        <v>730968000</v>
      </c>
      <c r="E79" s="476">
        <v>2.91148526064769E-2</v>
      </c>
      <c r="F79" s="476">
        <v>9.7049508688256333E-3</v>
      </c>
      <c r="G79" s="478">
        <v>42</v>
      </c>
      <c r="H79" s="478">
        <v>14</v>
      </c>
      <c r="I79" s="478">
        <v>28</v>
      </c>
    </row>
    <row r="80" spans="2:9">
      <c r="C80" t="s">
        <v>489</v>
      </c>
      <c r="D80" s="475">
        <v>230256000</v>
      </c>
      <c r="E80" s="476">
        <v>9.1712215880270335E-3</v>
      </c>
      <c r="F80" s="476">
        <v>3.0570738626756778E-3</v>
      </c>
      <c r="G80" s="478">
        <v>6</v>
      </c>
      <c r="H80" s="478">
        <v>2</v>
      </c>
      <c r="I80" s="478">
        <v>4</v>
      </c>
    </row>
    <row r="81" spans="1:9">
      <c r="C81" t="s">
        <v>490</v>
      </c>
      <c r="D81" s="475">
        <v>193224000</v>
      </c>
      <c r="E81" s="476">
        <v>7.6962169069424279E-3</v>
      </c>
      <c r="F81" s="476">
        <v>2.5654056356474758E-3</v>
      </c>
      <c r="G81" s="478">
        <v>6</v>
      </c>
      <c r="H81" s="478">
        <v>2</v>
      </c>
      <c r="I81" s="478">
        <v>4</v>
      </c>
    </row>
    <row r="82" spans="1:9">
      <c r="C82" t="s">
        <v>491</v>
      </c>
      <c r="D82" s="475">
        <v>145704000</v>
      </c>
      <c r="E82" s="476">
        <v>5.8034694872745596E-3</v>
      </c>
      <c r="F82" s="476">
        <v>1.9344898290915198E-3</v>
      </c>
      <c r="G82" s="478">
        <v>12</v>
      </c>
      <c r="H82" s="478">
        <v>4</v>
      </c>
      <c r="I82" s="478">
        <v>8</v>
      </c>
    </row>
    <row r="83" spans="1:9">
      <c r="C83" t="s">
        <v>492</v>
      </c>
      <c r="D83" s="475">
        <v>125724000</v>
      </c>
      <c r="E83" s="476">
        <v>5.0076552312778421E-3</v>
      </c>
      <c r="F83" s="476">
        <v>1.6692184104259472E-3</v>
      </c>
      <c r="G83" s="478">
        <v>12</v>
      </c>
      <c r="H83" s="478">
        <v>4</v>
      </c>
      <c r="I83" s="478">
        <v>8</v>
      </c>
    </row>
    <row r="84" spans="1:9">
      <c r="C84" t="s">
        <v>493</v>
      </c>
      <c r="D84" s="475">
        <v>36060000</v>
      </c>
      <c r="E84" s="476">
        <v>1.4362893929550364E-3</v>
      </c>
      <c r="F84" s="476">
        <v>4.7876313098501211E-4</v>
      </c>
      <c r="G84" s="478">
        <v>6</v>
      </c>
      <c r="H84" s="478">
        <v>2</v>
      </c>
      <c r="I84" s="478">
        <v>4</v>
      </c>
    </row>
    <row r="85" spans="1:9">
      <c r="C85" t="s">
        <v>488</v>
      </c>
      <c r="D85" s="475">
        <v>0</v>
      </c>
      <c r="E85" s="476">
        <v>0</v>
      </c>
      <c r="F85" s="476">
        <v>0</v>
      </c>
      <c r="G85" s="478">
        <v>0</v>
      </c>
      <c r="H85" s="478">
        <v>0</v>
      </c>
      <c r="I85" s="478">
        <v>0</v>
      </c>
    </row>
    <row r="86" spans="1:9">
      <c r="A86" t="s">
        <v>494</v>
      </c>
      <c r="D86" s="475">
        <v>14343264000</v>
      </c>
      <c r="E86" s="476">
        <v>0.57129999843465973</v>
      </c>
      <c r="F86" s="476">
        <v>0</v>
      </c>
      <c r="G86" s="478">
        <v>1961</v>
      </c>
      <c r="H86" s="478">
        <v>0</v>
      </c>
      <c r="I86" s="478">
        <v>1961</v>
      </c>
    </row>
    <row r="87" spans="1:9">
      <c r="B87" t="s">
        <v>427</v>
      </c>
      <c r="D87" s="475">
        <v>0</v>
      </c>
      <c r="E87" s="476">
        <v>0</v>
      </c>
      <c r="F87" s="476">
        <v>0</v>
      </c>
      <c r="G87" s="478">
        <v>0</v>
      </c>
      <c r="H87" s="478">
        <v>0</v>
      </c>
      <c r="I87" s="478">
        <v>0</v>
      </c>
    </row>
    <row r="88" spans="1:9">
      <c r="C88" t="s">
        <v>494</v>
      </c>
      <c r="D88" s="475">
        <v>0</v>
      </c>
      <c r="E88" s="476">
        <v>0</v>
      </c>
      <c r="F88" s="476">
        <v>0</v>
      </c>
      <c r="G88" s="478">
        <v>0</v>
      </c>
      <c r="H88" s="478">
        <v>0</v>
      </c>
      <c r="I88" s="478">
        <v>0</v>
      </c>
    </row>
    <row r="89" spans="1:9">
      <c r="B89" t="s">
        <v>495</v>
      </c>
      <c r="D89" s="475">
        <v>2722336000</v>
      </c>
      <c r="E89" s="476">
        <v>0.10843212204269667</v>
      </c>
      <c r="F89" s="476">
        <v>0</v>
      </c>
      <c r="G89" s="478">
        <v>1543</v>
      </c>
      <c r="H89" s="478">
        <v>0</v>
      </c>
      <c r="I89" s="478">
        <v>1543</v>
      </c>
    </row>
    <row r="90" spans="1:9">
      <c r="C90" t="s">
        <v>496</v>
      </c>
      <c r="D90" s="475">
        <v>420210000</v>
      </c>
      <c r="E90" s="476">
        <v>1.6737192618237268E-2</v>
      </c>
      <c r="F90" s="476">
        <v>0</v>
      </c>
      <c r="G90" s="478">
        <v>690</v>
      </c>
      <c r="H90" s="478">
        <v>0</v>
      </c>
      <c r="I90" s="478">
        <v>690</v>
      </c>
    </row>
    <row r="91" spans="1:9">
      <c r="C91" t="s">
        <v>456</v>
      </c>
      <c r="D91" s="475">
        <v>11170000</v>
      </c>
      <c r="E91" s="476">
        <v>4.4490716914330995E-4</v>
      </c>
      <c r="F91" s="476">
        <v>0</v>
      </c>
      <c r="G91" s="478">
        <v>5</v>
      </c>
      <c r="H91" s="478">
        <v>0</v>
      </c>
      <c r="I91" s="478">
        <v>5</v>
      </c>
    </row>
    <row r="92" spans="1:9">
      <c r="C92" t="s">
        <v>495</v>
      </c>
      <c r="D92" s="475">
        <v>0</v>
      </c>
      <c r="E92" s="476">
        <v>0</v>
      </c>
      <c r="F92" s="476">
        <v>0</v>
      </c>
      <c r="G92" s="478">
        <v>0</v>
      </c>
      <c r="H92" s="478">
        <v>0</v>
      </c>
      <c r="I92" s="478">
        <v>0</v>
      </c>
    </row>
    <row r="93" spans="1:9">
      <c r="C93" t="s">
        <v>464</v>
      </c>
      <c r="D93" s="475">
        <v>125092000</v>
      </c>
      <c r="E93" s="476">
        <v>4.9824823278849534E-3</v>
      </c>
      <c r="F93" s="476">
        <v>0</v>
      </c>
      <c r="G93" s="478">
        <v>44</v>
      </c>
      <c r="H93" s="478">
        <v>0</v>
      </c>
      <c r="I93" s="478">
        <v>44</v>
      </c>
    </row>
    <row r="94" spans="1:9">
      <c r="C94" t="s">
        <v>465</v>
      </c>
      <c r="D94" s="475">
        <v>268048000</v>
      </c>
      <c r="E94" s="476">
        <v>1.0676497482052457E-2</v>
      </c>
      <c r="F94" s="476">
        <v>0</v>
      </c>
      <c r="G94" s="478">
        <v>44</v>
      </c>
      <c r="H94" s="478">
        <v>0</v>
      </c>
      <c r="I94" s="478">
        <v>44</v>
      </c>
    </row>
    <row r="95" spans="1:9">
      <c r="C95" t="s">
        <v>466</v>
      </c>
      <c r="D95" s="475">
        <v>368104000</v>
      </c>
      <c r="E95" s="476">
        <v>1.4661782326797579E-2</v>
      </c>
      <c r="F95" s="476">
        <v>0</v>
      </c>
      <c r="G95" s="478">
        <v>44</v>
      </c>
      <c r="H95" s="478">
        <v>0</v>
      </c>
      <c r="I95" s="478">
        <v>44</v>
      </c>
    </row>
    <row r="96" spans="1:9">
      <c r="C96" t="s">
        <v>467</v>
      </c>
      <c r="D96" s="475">
        <v>428736000</v>
      </c>
      <c r="E96" s="476">
        <v>1.7076787830781211E-2</v>
      </c>
      <c r="F96" s="476">
        <v>0</v>
      </c>
      <c r="G96" s="478">
        <v>264</v>
      </c>
      <c r="H96" s="478">
        <v>0</v>
      </c>
      <c r="I96" s="478">
        <v>264</v>
      </c>
    </row>
    <row r="97" spans="2:9">
      <c r="C97" t="s">
        <v>468</v>
      </c>
      <c r="D97" s="475">
        <v>33968000</v>
      </c>
      <c r="E97" s="476">
        <v>1.3529638962811058E-3</v>
      </c>
      <c r="F97" s="476">
        <v>0</v>
      </c>
      <c r="G97" s="478">
        <v>44</v>
      </c>
      <c r="H97" s="478">
        <v>0</v>
      </c>
      <c r="I97" s="478">
        <v>44</v>
      </c>
    </row>
    <row r="98" spans="2:9">
      <c r="C98" t="s">
        <v>469</v>
      </c>
      <c r="D98" s="475">
        <v>194928000</v>
      </c>
      <c r="E98" s="476">
        <v>7.7640881527992053E-3</v>
      </c>
      <c r="F98" s="476">
        <v>0</v>
      </c>
      <c r="G98" s="478">
        <v>12</v>
      </c>
      <c r="H98" s="478">
        <v>0</v>
      </c>
      <c r="I98" s="478">
        <v>12</v>
      </c>
    </row>
    <row r="99" spans="2:9">
      <c r="C99" t="s">
        <v>470</v>
      </c>
      <c r="D99" s="475">
        <v>192984000</v>
      </c>
      <c r="E99" s="476">
        <v>7.6866575765400652E-3</v>
      </c>
      <c r="F99" s="476">
        <v>0</v>
      </c>
      <c r="G99" s="478">
        <v>132</v>
      </c>
      <c r="H99" s="478">
        <v>0</v>
      </c>
      <c r="I99" s="478">
        <v>132</v>
      </c>
    </row>
    <row r="100" spans="2:9">
      <c r="C100" t="s">
        <v>472</v>
      </c>
      <c r="D100" s="475">
        <v>142956000</v>
      </c>
      <c r="E100" s="476">
        <v>5.6940151541675036E-3</v>
      </c>
      <c r="F100" s="476">
        <v>0</v>
      </c>
      <c r="G100" s="478">
        <v>44</v>
      </c>
      <c r="H100" s="478">
        <v>0</v>
      </c>
      <c r="I100" s="478">
        <v>44</v>
      </c>
    </row>
    <row r="101" spans="2:9">
      <c r="C101" t="s">
        <v>497</v>
      </c>
      <c r="D101" s="475">
        <v>536140000</v>
      </c>
      <c r="E101" s="476">
        <v>2.1354747508012015E-2</v>
      </c>
      <c r="F101" s="476">
        <v>0</v>
      </c>
      <c r="G101" s="478">
        <v>220</v>
      </c>
      <c r="H101" s="478">
        <v>0</v>
      </c>
      <c r="I101" s="478">
        <v>220</v>
      </c>
    </row>
    <row r="102" spans="2:9">
      <c r="B102" t="s">
        <v>498</v>
      </c>
      <c r="D102" s="475">
        <v>11620928000</v>
      </c>
      <c r="E102" s="476">
        <v>0.46286787639196297</v>
      </c>
      <c r="F102" s="476">
        <v>0</v>
      </c>
      <c r="G102" s="478">
        <v>418</v>
      </c>
      <c r="H102" s="478">
        <v>0</v>
      </c>
      <c r="I102" s="478">
        <v>418</v>
      </c>
    </row>
    <row r="103" spans="2:9">
      <c r="C103" t="s">
        <v>499</v>
      </c>
      <c r="D103" s="475">
        <v>0</v>
      </c>
      <c r="E103" s="476">
        <v>0</v>
      </c>
      <c r="F103" s="476">
        <v>0</v>
      </c>
      <c r="G103" s="478">
        <v>0</v>
      </c>
      <c r="H103" s="478">
        <v>0</v>
      </c>
      <c r="I103" s="478">
        <v>0</v>
      </c>
    </row>
    <row r="104" spans="2:9">
      <c r="C104" t="s">
        <v>489</v>
      </c>
      <c r="D104" s="475">
        <v>1688544000</v>
      </c>
      <c r="E104" s="476">
        <v>6.725562497886492E-2</v>
      </c>
      <c r="F104" s="476">
        <v>0</v>
      </c>
      <c r="G104" s="478">
        <v>44</v>
      </c>
      <c r="H104" s="478">
        <v>0</v>
      </c>
      <c r="I104" s="478">
        <v>44</v>
      </c>
    </row>
    <row r="105" spans="2:9">
      <c r="C105" t="s">
        <v>490</v>
      </c>
      <c r="D105" s="475">
        <v>1416976000</v>
      </c>
      <c r="E105" s="476">
        <v>5.6438923984244473E-2</v>
      </c>
      <c r="F105" s="476">
        <v>0</v>
      </c>
      <c r="G105" s="478">
        <v>44</v>
      </c>
      <c r="H105" s="478">
        <v>0</v>
      </c>
      <c r="I105" s="478">
        <v>44</v>
      </c>
    </row>
    <row r="106" spans="2:9">
      <c r="C106" t="s">
        <v>498</v>
      </c>
      <c r="D106" s="475">
        <v>0</v>
      </c>
      <c r="E106" s="476">
        <v>0</v>
      </c>
      <c r="F106" s="476">
        <v>0</v>
      </c>
      <c r="G106" s="478">
        <v>0</v>
      </c>
      <c r="H106" s="478">
        <v>0</v>
      </c>
      <c r="I106" s="478">
        <v>0</v>
      </c>
    </row>
    <row r="107" spans="2:9">
      <c r="C107" t="s">
        <v>491</v>
      </c>
      <c r="D107" s="475">
        <v>1068496000</v>
      </c>
      <c r="E107" s="476">
        <v>4.2558776240013439E-2</v>
      </c>
      <c r="F107" s="476">
        <v>0</v>
      </c>
      <c r="G107" s="478">
        <v>88</v>
      </c>
      <c r="H107" s="478">
        <v>0</v>
      </c>
      <c r="I107" s="478">
        <v>88</v>
      </c>
    </row>
    <row r="108" spans="2:9">
      <c r="C108" t="s">
        <v>492</v>
      </c>
      <c r="D108" s="475">
        <v>460988000</v>
      </c>
      <c r="E108" s="476">
        <v>1.8361402514685422E-2</v>
      </c>
      <c r="F108" s="476">
        <v>0</v>
      </c>
      <c r="G108" s="478">
        <v>44</v>
      </c>
      <c r="H108" s="478">
        <v>0</v>
      </c>
      <c r="I108" s="478">
        <v>44</v>
      </c>
    </row>
    <row r="109" spans="2:9">
      <c r="C109" t="s">
        <v>500</v>
      </c>
      <c r="D109" s="475">
        <v>960212000</v>
      </c>
      <c r="E109" s="476">
        <v>3.8245765684640637E-2</v>
      </c>
      <c r="F109" s="476">
        <v>0</v>
      </c>
      <c r="G109" s="478">
        <v>22</v>
      </c>
      <c r="H109" s="478">
        <v>0</v>
      </c>
      <c r="I109" s="478">
        <v>22</v>
      </c>
    </row>
    <row r="110" spans="2:9">
      <c r="C110" t="s">
        <v>484</v>
      </c>
      <c r="D110" s="475">
        <v>1920424000</v>
      </c>
      <c r="E110" s="476">
        <v>7.6491531369281274E-2</v>
      </c>
      <c r="F110" s="476">
        <v>0</v>
      </c>
      <c r="G110" s="478">
        <v>44</v>
      </c>
      <c r="H110" s="478">
        <v>0</v>
      </c>
      <c r="I110" s="478">
        <v>44</v>
      </c>
    </row>
    <row r="111" spans="2:9">
      <c r="C111" t="s">
        <v>486</v>
      </c>
      <c r="D111" s="475">
        <v>1920424000</v>
      </c>
      <c r="E111" s="476">
        <v>7.6491531369281274E-2</v>
      </c>
      <c r="F111" s="476">
        <v>0</v>
      </c>
      <c r="G111" s="478">
        <v>44</v>
      </c>
      <c r="H111" s="478">
        <v>0</v>
      </c>
      <c r="I111" s="478">
        <v>44</v>
      </c>
    </row>
    <row r="112" spans="2:9">
      <c r="C112" t="s">
        <v>487</v>
      </c>
      <c r="D112" s="475">
        <v>1920424000</v>
      </c>
      <c r="E112" s="476">
        <v>7.6491531369281274E-2</v>
      </c>
      <c r="F112" s="476">
        <v>0</v>
      </c>
      <c r="G112" s="478">
        <v>44</v>
      </c>
      <c r="H112" s="478">
        <v>0</v>
      </c>
      <c r="I112" s="478">
        <v>44</v>
      </c>
    </row>
    <row r="113" spans="1:9">
      <c r="C113" t="s">
        <v>493</v>
      </c>
      <c r="D113" s="475">
        <v>264440000</v>
      </c>
      <c r="E113" s="476">
        <v>1.0532788881670268E-2</v>
      </c>
      <c r="F113" s="476">
        <v>0</v>
      </c>
      <c r="G113" s="478">
        <v>44</v>
      </c>
      <c r="H113" s="478">
        <v>0</v>
      </c>
      <c r="I113" s="478">
        <v>44</v>
      </c>
    </row>
    <row r="114" spans="1:9">
      <c r="C114" t="s">
        <v>483</v>
      </c>
      <c r="D114" s="475">
        <v>0</v>
      </c>
      <c r="E114" s="476">
        <v>0</v>
      </c>
      <c r="F114" s="476">
        <v>0</v>
      </c>
      <c r="G114" s="478">
        <v>0</v>
      </c>
      <c r="H114" s="478">
        <v>0</v>
      </c>
      <c r="I114" s="478">
        <v>0</v>
      </c>
    </row>
    <row r="115" spans="1:9">
      <c r="A115" t="s">
        <v>501</v>
      </c>
      <c r="D115" s="475">
        <v>4515299000</v>
      </c>
      <c r="E115" s="476">
        <v>0.17984681252691304</v>
      </c>
      <c r="F115" s="476">
        <v>6.0728593841218155E-2</v>
      </c>
      <c r="G115" s="478">
        <v>7240</v>
      </c>
      <c r="H115" s="478">
        <v>2673</v>
      </c>
      <c r="I115" s="478">
        <v>4567</v>
      </c>
    </row>
    <row r="116" spans="1:9">
      <c r="B116" t="s">
        <v>427</v>
      </c>
      <c r="D116" s="475">
        <v>0</v>
      </c>
      <c r="E116" s="476">
        <v>0</v>
      </c>
      <c r="F116" s="476">
        <v>0</v>
      </c>
      <c r="G116" s="478">
        <v>0</v>
      </c>
      <c r="H116" s="478">
        <v>0</v>
      </c>
      <c r="I116" s="478">
        <v>0</v>
      </c>
    </row>
    <row r="117" spans="1:9">
      <c r="C117" t="s">
        <v>501</v>
      </c>
      <c r="D117" s="475">
        <v>0</v>
      </c>
      <c r="E117" s="476">
        <v>0</v>
      </c>
      <c r="F117" s="476">
        <v>0</v>
      </c>
      <c r="G117" s="478">
        <v>0</v>
      </c>
      <c r="H117" s="478">
        <v>0</v>
      </c>
      <c r="I117" s="478">
        <v>0</v>
      </c>
    </row>
    <row r="118" spans="1:9">
      <c r="B118" t="s">
        <v>502</v>
      </c>
      <c r="D118" s="475">
        <v>1186793000</v>
      </c>
      <c r="E118" s="476">
        <v>4.7270610025881489E-2</v>
      </c>
      <c r="F118" s="476">
        <v>1.9309568598969797E-2</v>
      </c>
      <c r="G118" s="478">
        <v>2017</v>
      </c>
      <c r="H118" s="478">
        <v>769</v>
      </c>
      <c r="I118" s="478">
        <v>1248</v>
      </c>
    </row>
    <row r="119" spans="1:9">
      <c r="C119" t="s">
        <v>503</v>
      </c>
      <c r="D119" s="475">
        <v>122976000</v>
      </c>
      <c r="E119" s="476">
        <v>4.8982008981707861E-3</v>
      </c>
      <c r="F119" s="476">
        <v>1.8659812945412517E-3</v>
      </c>
      <c r="G119" s="478">
        <v>504</v>
      </c>
      <c r="H119" s="478">
        <v>192</v>
      </c>
      <c r="I119" s="478">
        <v>312</v>
      </c>
    </row>
    <row r="120" spans="1:9">
      <c r="C120" t="s">
        <v>504</v>
      </c>
      <c r="D120" s="475">
        <v>0</v>
      </c>
      <c r="E120" s="476">
        <v>0</v>
      </c>
      <c r="F120" s="476">
        <v>0</v>
      </c>
      <c r="G120" s="478">
        <v>0</v>
      </c>
      <c r="H120" s="478">
        <v>0</v>
      </c>
      <c r="I120" s="478">
        <v>0</v>
      </c>
    </row>
    <row r="121" spans="1:9">
      <c r="C121" t="s">
        <v>505</v>
      </c>
      <c r="D121" s="475">
        <v>171864000</v>
      </c>
      <c r="E121" s="476">
        <v>6.8454365011321235E-3</v>
      </c>
      <c r="F121" s="476">
        <v>2.6077853337646184E-3</v>
      </c>
      <c r="G121" s="478">
        <v>504</v>
      </c>
      <c r="H121" s="478">
        <v>192</v>
      </c>
      <c r="I121" s="478">
        <v>312</v>
      </c>
    </row>
    <row r="122" spans="1:9">
      <c r="C122" t="s">
        <v>506</v>
      </c>
      <c r="D122" s="475">
        <v>0</v>
      </c>
      <c r="E122" s="476">
        <v>0</v>
      </c>
      <c r="F122" s="476">
        <v>0</v>
      </c>
      <c r="G122" s="478">
        <v>0</v>
      </c>
      <c r="H122" s="478">
        <v>0</v>
      </c>
      <c r="I122" s="478">
        <v>0</v>
      </c>
    </row>
    <row r="123" spans="1:9">
      <c r="C123" t="s">
        <v>502</v>
      </c>
      <c r="D123" s="475">
        <v>0</v>
      </c>
      <c r="E123" s="476">
        <v>0</v>
      </c>
      <c r="F123" s="476">
        <v>0</v>
      </c>
      <c r="G123" s="478">
        <v>0</v>
      </c>
      <c r="H123" s="478">
        <v>0</v>
      </c>
      <c r="I123" s="478">
        <v>0</v>
      </c>
    </row>
    <row r="124" spans="1:9">
      <c r="C124" t="s">
        <v>507</v>
      </c>
      <c r="D124" s="475">
        <v>245448000</v>
      </c>
      <c r="E124" s="476">
        <v>9.7763272024966111E-3</v>
      </c>
      <c r="F124" s="476">
        <v>3.7243151247606135E-3</v>
      </c>
      <c r="G124" s="478">
        <v>504</v>
      </c>
      <c r="H124" s="478">
        <v>192</v>
      </c>
      <c r="I124" s="478">
        <v>312</v>
      </c>
    </row>
    <row r="125" spans="1:9">
      <c r="C125" t="s">
        <v>508</v>
      </c>
      <c r="D125" s="475">
        <v>52793000</v>
      </c>
      <c r="E125" s="476">
        <v>2.1027738747164512E-3</v>
      </c>
      <c r="F125" s="476">
        <v>2.1027738747164512E-3</v>
      </c>
      <c r="G125" s="478">
        <v>1</v>
      </c>
      <c r="H125" s="478">
        <v>1</v>
      </c>
      <c r="I125" s="478">
        <v>0</v>
      </c>
    </row>
    <row r="126" spans="1:9">
      <c r="C126" t="s">
        <v>509</v>
      </c>
      <c r="D126" s="475">
        <v>593712000</v>
      </c>
      <c r="E126" s="476">
        <v>2.3647871549365516E-2</v>
      </c>
      <c r="F126" s="476">
        <v>9.0087129711868622E-3</v>
      </c>
      <c r="G126" s="478">
        <v>504</v>
      </c>
      <c r="H126" s="478">
        <v>192</v>
      </c>
      <c r="I126" s="478">
        <v>312</v>
      </c>
    </row>
    <row r="127" spans="1:9">
      <c r="B127" t="s">
        <v>510</v>
      </c>
      <c r="D127" s="475">
        <v>1075800000</v>
      </c>
      <c r="E127" s="476">
        <v>4.2849698528592016E-2</v>
      </c>
      <c r="F127" s="476">
        <v>1.7139879411436805E-2</v>
      </c>
      <c r="G127" s="478">
        <v>2280</v>
      </c>
      <c r="H127" s="478">
        <v>912</v>
      </c>
      <c r="I127" s="478">
        <v>1368</v>
      </c>
    </row>
    <row r="128" spans="1:9">
      <c r="C128" t="s">
        <v>511</v>
      </c>
      <c r="D128" s="475">
        <v>58560000</v>
      </c>
      <c r="E128" s="476">
        <v>2.3324766181765651E-3</v>
      </c>
      <c r="F128" s="476">
        <v>9.3299064727062606E-4</v>
      </c>
      <c r="G128" s="478">
        <v>240</v>
      </c>
      <c r="H128" s="478">
        <v>96</v>
      </c>
      <c r="I128" s="478">
        <v>144</v>
      </c>
    </row>
    <row r="129" spans="2:9">
      <c r="C129" t="s">
        <v>512</v>
      </c>
      <c r="D129" s="475">
        <v>730800000</v>
      </c>
      <c r="E129" s="476">
        <v>2.9108161075195246E-2</v>
      </c>
      <c r="F129" s="476">
        <v>1.1643264430078099E-2</v>
      </c>
      <c r="G129" s="478">
        <v>1200</v>
      </c>
      <c r="H129" s="478">
        <v>480</v>
      </c>
      <c r="I129" s="478">
        <v>720</v>
      </c>
    </row>
    <row r="130" spans="2:9">
      <c r="C130" t="s">
        <v>510</v>
      </c>
      <c r="D130" s="475">
        <v>0</v>
      </c>
      <c r="E130" s="476">
        <v>0</v>
      </c>
      <c r="F130" s="476">
        <v>0</v>
      </c>
      <c r="G130" s="478">
        <v>0</v>
      </c>
      <c r="H130" s="478">
        <v>0</v>
      </c>
      <c r="I130" s="478">
        <v>0</v>
      </c>
    </row>
    <row r="131" spans="2:9">
      <c r="C131" t="s">
        <v>513</v>
      </c>
      <c r="D131" s="475">
        <v>81840000</v>
      </c>
      <c r="E131" s="476">
        <v>3.2597316672057729E-3</v>
      </c>
      <c r="F131" s="476">
        <v>1.3038926668823092E-3</v>
      </c>
      <c r="G131" s="478">
        <v>240</v>
      </c>
      <c r="H131" s="478">
        <v>96</v>
      </c>
      <c r="I131" s="478">
        <v>144</v>
      </c>
    </row>
    <row r="132" spans="2:9">
      <c r="C132" t="s">
        <v>514</v>
      </c>
      <c r="D132" s="475">
        <v>204600000</v>
      </c>
      <c r="E132" s="476">
        <v>8.1493291680144325E-3</v>
      </c>
      <c r="F132" s="476">
        <v>3.2597316672057734E-3</v>
      </c>
      <c r="G132" s="478">
        <v>600</v>
      </c>
      <c r="H132" s="478">
        <v>240</v>
      </c>
      <c r="I132" s="478">
        <v>360</v>
      </c>
    </row>
    <row r="133" spans="2:9">
      <c r="B133" t="s">
        <v>515</v>
      </c>
      <c r="D133" s="475">
        <v>1183380000</v>
      </c>
      <c r="E133" s="476">
        <v>4.7134668381451222E-2</v>
      </c>
      <c r="F133" s="476">
        <v>1.7139879411436805E-2</v>
      </c>
      <c r="G133" s="478">
        <v>2508</v>
      </c>
      <c r="H133" s="478">
        <v>912</v>
      </c>
      <c r="I133" s="478">
        <v>1596</v>
      </c>
    </row>
    <row r="134" spans="2:9">
      <c r="C134" t="s">
        <v>511</v>
      </c>
      <c r="D134" s="475">
        <v>64416000</v>
      </c>
      <c r="E134" s="476">
        <v>2.5657242799942215E-3</v>
      </c>
      <c r="F134" s="476">
        <v>9.3299064727062606E-4</v>
      </c>
      <c r="G134" s="478">
        <v>264</v>
      </c>
      <c r="H134" s="478">
        <v>96</v>
      </c>
      <c r="I134" s="478">
        <v>168</v>
      </c>
    </row>
    <row r="135" spans="2:9">
      <c r="C135" t="s">
        <v>516</v>
      </c>
      <c r="D135" s="475">
        <v>803880000</v>
      </c>
      <c r="E135" s="476">
        <v>3.2018977182714771E-2</v>
      </c>
      <c r="F135" s="476">
        <v>1.1643264430078099E-2</v>
      </c>
      <c r="G135" s="478">
        <v>1320</v>
      </c>
      <c r="H135" s="478">
        <v>480</v>
      </c>
      <c r="I135" s="478">
        <v>840</v>
      </c>
    </row>
    <row r="136" spans="2:9">
      <c r="C136" t="s">
        <v>515</v>
      </c>
      <c r="D136" s="475">
        <v>0</v>
      </c>
      <c r="E136" s="476">
        <v>0</v>
      </c>
      <c r="F136" s="476">
        <v>0</v>
      </c>
      <c r="G136" s="478">
        <v>0</v>
      </c>
      <c r="H136" s="478">
        <v>0</v>
      </c>
      <c r="I136" s="478">
        <v>0</v>
      </c>
    </row>
    <row r="137" spans="2:9">
      <c r="C137" t="s">
        <v>513</v>
      </c>
      <c r="D137" s="475">
        <v>90024000</v>
      </c>
      <c r="E137" s="476">
        <v>3.5857048339263502E-3</v>
      </c>
      <c r="F137" s="476">
        <v>1.3038926668823092E-3</v>
      </c>
      <c r="G137" s="478">
        <v>264</v>
      </c>
      <c r="H137" s="478">
        <v>96</v>
      </c>
      <c r="I137" s="478">
        <v>168</v>
      </c>
    </row>
    <row r="138" spans="2:9">
      <c r="C138" t="s">
        <v>514</v>
      </c>
      <c r="D138" s="475">
        <v>225060000</v>
      </c>
      <c r="E138" s="476">
        <v>8.9642620848158754E-3</v>
      </c>
      <c r="F138" s="476">
        <v>3.2597316672057729E-3</v>
      </c>
      <c r="G138" s="478">
        <v>660</v>
      </c>
      <c r="H138" s="478">
        <v>240</v>
      </c>
      <c r="I138" s="478">
        <v>420</v>
      </c>
    </row>
    <row r="139" spans="2:9">
      <c r="B139" t="s">
        <v>517</v>
      </c>
      <c r="D139" s="475">
        <v>48723000</v>
      </c>
      <c r="E139" s="476">
        <v>1.9406635633097127E-3</v>
      </c>
      <c r="F139" s="476">
        <v>0</v>
      </c>
      <c r="G139" s="478">
        <v>31</v>
      </c>
      <c r="H139" s="478">
        <v>0</v>
      </c>
      <c r="I139" s="478">
        <v>31</v>
      </c>
    </row>
    <row r="140" spans="2:9">
      <c r="C140" t="s">
        <v>518</v>
      </c>
      <c r="D140" s="475">
        <v>36540000</v>
      </c>
      <c r="E140" s="476">
        <v>1.4554080537597623E-3</v>
      </c>
      <c r="F140" s="476">
        <v>0</v>
      </c>
      <c r="G140" s="478">
        <v>30</v>
      </c>
      <c r="H140" s="478">
        <v>0</v>
      </c>
      <c r="I140" s="478">
        <v>30</v>
      </c>
    </row>
    <row r="141" spans="2:9">
      <c r="C141" t="s">
        <v>519</v>
      </c>
      <c r="D141" s="475">
        <v>12183000</v>
      </c>
      <c r="E141" s="476">
        <v>4.8525550954995033E-4</v>
      </c>
      <c r="F141" s="476">
        <v>0</v>
      </c>
      <c r="G141" s="478">
        <v>1</v>
      </c>
      <c r="H141" s="478">
        <v>0</v>
      </c>
      <c r="I141" s="478">
        <v>1</v>
      </c>
    </row>
    <row r="142" spans="2:9">
      <c r="C142" t="s">
        <v>517</v>
      </c>
      <c r="D142" s="475">
        <v>0</v>
      </c>
      <c r="E142" s="476">
        <v>0</v>
      </c>
      <c r="F142" s="476">
        <v>0</v>
      </c>
      <c r="G142" s="478">
        <v>0</v>
      </c>
      <c r="H142" s="478">
        <v>0</v>
      </c>
      <c r="I142" s="478">
        <v>0</v>
      </c>
    </row>
    <row r="143" spans="2:9">
      <c r="B143" t="s">
        <v>520</v>
      </c>
      <c r="D143" s="475">
        <v>31180000</v>
      </c>
      <c r="E143" s="476">
        <v>1.2419163414403227E-3</v>
      </c>
      <c r="F143" s="476">
        <v>4.9676653657612906E-4</v>
      </c>
      <c r="G143" s="478">
        <v>20</v>
      </c>
      <c r="H143" s="478">
        <v>8</v>
      </c>
      <c r="I143" s="478">
        <v>12</v>
      </c>
    </row>
    <row r="144" spans="2:9">
      <c r="C144" t="s">
        <v>521</v>
      </c>
      <c r="D144" s="475">
        <v>31180000</v>
      </c>
      <c r="E144" s="476">
        <v>1.2419163414403227E-3</v>
      </c>
      <c r="F144" s="476">
        <v>4.9676653657612906E-4</v>
      </c>
      <c r="G144" s="478">
        <v>20</v>
      </c>
      <c r="H144" s="478">
        <v>8</v>
      </c>
      <c r="I144" s="478">
        <v>12</v>
      </c>
    </row>
    <row r="145" spans="2:9">
      <c r="C145" t="s">
        <v>520</v>
      </c>
      <c r="D145" s="475">
        <v>0</v>
      </c>
      <c r="E145" s="476">
        <v>0</v>
      </c>
      <c r="F145" s="476">
        <v>0</v>
      </c>
      <c r="G145" s="478">
        <v>0</v>
      </c>
      <c r="H145" s="478">
        <v>0</v>
      </c>
      <c r="I145" s="478">
        <v>0</v>
      </c>
    </row>
    <row r="146" spans="2:9">
      <c r="B146" t="s">
        <v>522</v>
      </c>
      <c r="D146" s="475">
        <v>164238000</v>
      </c>
      <c r="E146" s="476">
        <v>6.5416887775970401E-3</v>
      </c>
      <c r="F146" s="476">
        <v>4.3783326464556134E-3</v>
      </c>
      <c r="G146" s="478">
        <v>57</v>
      </c>
      <c r="H146" s="478">
        <v>41</v>
      </c>
      <c r="I146" s="478">
        <v>16</v>
      </c>
    </row>
    <row r="147" spans="2:9">
      <c r="C147" t="s">
        <v>523</v>
      </c>
      <c r="D147" s="475">
        <v>81220000</v>
      </c>
      <c r="E147" s="476">
        <v>3.2350367303330021E-3</v>
      </c>
      <c r="F147" s="476">
        <v>1.9410220381998011E-3</v>
      </c>
      <c r="G147" s="478">
        <v>5</v>
      </c>
      <c r="H147" s="478">
        <v>3</v>
      </c>
      <c r="I147" s="478">
        <v>2</v>
      </c>
    </row>
    <row r="148" spans="2:9">
      <c r="C148" t="s">
        <v>521</v>
      </c>
      <c r="D148" s="475">
        <v>34298000</v>
      </c>
      <c r="E148" s="476">
        <v>1.3661079755843549E-3</v>
      </c>
      <c r="F148" s="476">
        <v>4.9676653657612906E-4</v>
      </c>
      <c r="G148" s="478">
        <v>22</v>
      </c>
      <c r="H148" s="478">
        <v>8</v>
      </c>
      <c r="I148" s="478">
        <v>14</v>
      </c>
    </row>
    <row r="149" spans="2:9">
      <c r="C149" t="s">
        <v>522</v>
      </c>
      <c r="D149" s="475">
        <v>0</v>
      </c>
      <c r="E149" s="476">
        <v>0</v>
      </c>
      <c r="F149" s="476">
        <v>0</v>
      </c>
      <c r="G149" s="478">
        <v>0</v>
      </c>
      <c r="H149" s="478">
        <v>0</v>
      </c>
      <c r="I149" s="478">
        <v>0</v>
      </c>
    </row>
    <row r="150" spans="2:9">
      <c r="C150" t="s">
        <v>524</v>
      </c>
      <c r="D150" s="475">
        <v>48720000</v>
      </c>
      <c r="E150" s="476">
        <v>1.940544071679683E-3</v>
      </c>
      <c r="F150" s="476">
        <v>1.940544071679683E-3</v>
      </c>
      <c r="G150" s="478">
        <v>30</v>
      </c>
      <c r="H150" s="478">
        <v>30</v>
      </c>
      <c r="I150" s="478">
        <v>0</v>
      </c>
    </row>
    <row r="151" spans="2:9">
      <c r="B151" t="s">
        <v>525</v>
      </c>
      <c r="D151" s="475">
        <v>48723000</v>
      </c>
      <c r="E151" s="476">
        <v>1.9406635633097127E-3</v>
      </c>
      <c r="F151" s="476">
        <v>0</v>
      </c>
      <c r="G151" s="478">
        <v>31</v>
      </c>
      <c r="H151" s="478">
        <v>0</v>
      </c>
      <c r="I151" s="478">
        <v>31</v>
      </c>
    </row>
    <row r="152" spans="2:9">
      <c r="C152" t="s">
        <v>518</v>
      </c>
      <c r="D152" s="475">
        <v>36540000</v>
      </c>
      <c r="E152" s="476">
        <v>1.4554080537597623E-3</v>
      </c>
      <c r="F152" s="476">
        <v>0</v>
      </c>
      <c r="G152" s="478">
        <v>30</v>
      </c>
      <c r="H152" s="478">
        <v>0</v>
      </c>
      <c r="I152" s="478">
        <v>30</v>
      </c>
    </row>
    <row r="153" spans="2:9">
      <c r="C153" t="s">
        <v>519</v>
      </c>
      <c r="D153" s="475">
        <v>12183000</v>
      </c>
      <c r="E153" s="476">
        <v>4.8525550954995033E-4</v>
      </c>
      <c r="F153" s="476">
        <v>0</v>
      </c>
      <c r="G153" s="478">
        <v>1</v>
      </c>
      <c r="H153" s="478">
        <v>0</v>
      </c>
      <c r="I153" s="478">
        <v>1</v>
      </c>
    </row>
    <row r="154" spans="2:9">
      <c r="C154" t="s">
        <v>525</v>
      </c>
      <c r="D154" s="475">
        <v>0</v>
      </c>
      <c r="E154" s="476">
        <v>0</v>
      </c>
      <c r="F154" s="476">
        <v>0</v>
      </c>
      <c r="G154" s="478">
        <v>0</v>
      </c>
      <c r="H154" s="478">
        <v>0</v>
      </c>
      <c r="I154" s="478">
        <v>0</v>
      </c>
    </row>
    <row r="155" spans="2:9">
      <c r="B155" t="s">
        <v>526</v>
      </c>
      <c r="D155" s="475">
        <v>48723000</v>
      </c>
      <c r="E155" s="476">
        <v>1.9406635633097127E-3</v>
      </c>
      <c r="F155" s="476">
        <v>0</v>
      </c>
      <c r="G155" s="478">
        <v>31</v>
      </c>
      <c r="H155" s="478">
        <v>0</v>
      </c>
      <c r="I155" s="478">
        <v>31</v>
      </c>
    </row>
    <row r="156" spans="2:9">
      <c r="C156" t="s">
        <v>518</v>
      </c>
      <c r="D156" s="475">
        <v>36540000</v>
      </c>
      <c r="E156" s="476">
        <v>1.4554080537597623E-3</v>
      </c>
      <c r="F156" s="476">
        <v>0</v>
      </c>
      <c r="G156" s="478">
        <v>30</v>
      </c>
      <c r="H156" s="478">
        <v>0</v>
      </c>
      <c r="I156" s="478">
        <v>30</v>
      </c>
    </row>
    <row r="157" spans="2:9">
      <c r="C157" t="s">
        <v>519</v>
      </c>
      <c r="D157" s="475">
        <v>12183000</v>
      </c>
      <c r="E157" s="476">
        <v>4.8525550954995033E-4</v>
      </c>
      <c r="F157" s="476">
        <v>0</v>
      </c>
      <c r="G157" s="478">
        <v>1</v>
      </c>
      <c r="H157" s="478">
        <v>0</v>
      </c>
      <c r="I157" s="478">
        <v>1</v>
      </c>
    </row>
    <row r="158" spans="2:9">
      <c r="C158" t="s">
        <v>526</v>
      </c>
      <c r="D158" s="475">
        <v>0</v>
      </c>
      <c r="E158" s="476">
        <v>0</v>
      </c>
      <c r="F158" s="476">
        <v>0</v>
      </c>
      <c r="G158" s="478">
        <v>0</v>
      </c>
      <c r="H158" s="478">
        <v>0</v>
      </c>
      <c r="I158" s="478">
        <v>0</v>
      </c>
    </row>
    <row r="159" spans="2:9">
      <c r="B159" t="s">
        <v>527</v>
      </c>
      <c r="D159" s="475">
        <v>56845000</v>
      </c>
      <c r="E159" s="476">
        <v>2.264167236343013E-3</v>
      </c>
      <c r="F159" s="476">
        <v>2.264167236343013E-3</v>
      </c>
      <c r="G159" s="478">
        <v>31</v>
      </c>
      <c r="H159" s="478">
        <v>31</v>
      </c>
      <c r="I159" s="478">
        <v>0</v>
      </c>
    </row>
    <row r="160" spans="2:9">
      <c r="C160" t="s">
        <v>518</v>
      </c>
      <c r="D160" s="475">
        <v>36540000</v>
      </c>
      <c r="E160" s="476">
        <v>1.4554080537597623E-3</v>
      </c>
      <c r="F160" s="476">
        <v>1.4554080537597623E-3</v>
      </c>
      <c r="G160" s="478">
        <v>30</v>
      </c>
      <c r="H160" s="478">
        <v>30</v>
      </c>
      <c r="I160" s="478">
        <v>0</v>
      </c>
    </row>
    <row r="161" spans="2:9">
      <c r="C161" t="s">
        <v>519</v>
      </c>
      <c r="D161" s="475">
        <v>20305000</v>
      </c>
      <c r="E161" s="476">
        <v>8.0875918258325053E-4</v>
      </c>
      <c r="F161" s="476">
        <v>8.0875918258325053E-4</v>
      </c>
      <c r="G161" s="478">
        <v>1</v>
      </c>
      <c r="H161" s="478">
        <v>1</v>
      </c>
      <c r="I161" s="478">
        <v>0</v>
      </c>
    </row>
    <row r="162" spans="2:9">
      <c r="C162" t="s">
        <v>527</v>
      </c>
      <c r="D162" s="475">
        <v>0</v>
      </c>
      <c r="E162" s="476">
        <v>0</v>
      </c>
      <c r="F162" s="476">
        <v>0</v>
      </c>
      <c r="G162" s="478">
        <v>0</v>
      </c>
      <c r="H162" s="478">
        <v>0</v>
      </c>
      <c r="I162" s="478">
        <v>0</v>
      </c>
    </row>
    <row r="163" spans="2:9">
      <c r="B163" t="s">
        <v>528</v>
      </c>
      <c r="D163" s="475">
        <v>48723000</v>
      </c>
      <c r="E163" s="476">
        <v>1.9406635633097127E-3</v>
      </c>
      <c r="F163" s="476">
        <v>0</v>
      </c>
      <c r="G163" s="478">
        <v>31</v>
      </c>
      <c r="H163" s="478">
        <v>0</v>
      </c>
      <c r="I163" s="478">
        <v>31</v>
      </c>
    </row>
    <row r="164" spans="2:9">
      <c r="C164" t="s">
        <v>518</v>
      </c>
      <c r="D164" s="475">
        <v>36540000</v>
      </c>
      <c r="E164" s="476">
        <v>1.4554080537597623E-3</v>
      </c>
      <c r="F164" s="476">
        <v>0</v>
      </c>
      <c r="G164" s="478">
        <v>30</v>
      </c>
      <c r="H164" s="478">
        <v>0</v>
      </c>
      <c r="I164" s="478">
        <v>30</v>
      </c>
    </row>
    <row r="165" spans="2:9">
      <c r="C165" t="s">
        <v>519</v>
      </c>
      <c r="D165" s="475">
        <v>12183000</v>
      </c>
      <c r="E165" s="476">
        <v>4.8525550954995033E-4</v>
      </c>
      <c r="F165" s="476">
        <v>0</v>
      </c>
      <c r="G165" s="478">
        <v>1</v>
      </c>
      <c r="H165" s="478">
        <v>0</v>
      </c>
      <c r="I165" s="478">
        <v>1</v>
      </c>
    </row>
    <row r="166" spans="2:9">
      <c r="C166" t="s">
        <v>528</v>
      </c>
      <c r="D166" s="475">
        <v>0</v>
      </c>
      <c r="E166" s="476">
        <v>0</v>
      </c>
      <c r="F166" s="476">
        <v>0</v>
      </c>
      <c r="G166" s="478">
        <v>0</v>
      </c>
      <c r="H166" s="478">
        <v>0</v>
      </c>
      <c r="I166" s="478">
        <v>0</v>
      </c>
    </row>
    <row r="167" spans="2:9">
      <c r="B167" t="s">
        <v>529</v>
      </c>
      <c r="D167" s="475">
        <v>126695000</v>
      </c>
      <c r="E167" s="476">
        <v>5.046330688864069E-3</v>
      </c>
      <c r="F167" s="476">
        <v>0</v>
      </c>
      <c r="G167" s="478">
        <v>51</v>
      </c>
      <c r="H167" s="478">
        <v>0</v>
      </c>
      <c r="I167" s="478">
        <v>51</v>
      </c>
    </row>
    <row r="168" spans="2:9">
      <c r="C168" t="s">
        <v>521</v>
      </c>
      <c r="D168" s="475">
        <v>12183000</v>
      </c>
      <c r="E168" s="476">
        <v>4.8525550954995033E-4</v>
      </c>
      <c r="F168" s="476">
        <v>0</v>
      </c>
      <c r="G168" s="478">
        <v>1</v>
      </c>
      <c r="H168" s="478">
        <v>0</v>
      </c>
      <c r="I168" s="478">
        <v>1</v>
      </c>
    </row>
    <row r="169" spans="2:9">
      <c r="C169" t="s">
        <v>530</v>
      </c>
      <c r="D169" s="475">
        <v>4061000</v>
      </c>
      <c r="E169" s="476">
        <v>1.617518365166501E-4</v>
      </c>
      <c r="F169" s="476">
        <v>0</v>
      </c>
      <c r="G169" s="478">
        <v>1</v>
      </c>
      <c r="H169" s="478">
        <v>0</v>
      </c>
      <c r="I169" s="478">
        <v>1</v>
      </c>
    </row>
    <row r="170" spans="2:9">
      <c r="C170" t="s">
        <v>524</v>
      </c>
      <c r="D170" s="475">
        <v>48720000</v>
      </c>
      <c r="E170" s="476">
        <v>1.940544071679683E-3</v>
      </c>
      <c r="F170" s="476">
        <v>0</v>
      </c>
      <c r="G170" s="478">
        <v>30</v>
      </c>
      <c r="H170" s="478">
        <v>0</v>
      </c>
      <c r="I170" s="478">
        <v>30</v>
      </c>
    </row>
    <row r="171" spans="2:9">
      <c r="C171" t="s">
        <v>529</v>
      </c>
      <c r="D171" s="475">
        <v>61731000</v>
      </c>
      <c r="E171" s="476">
        <v>2.4587792711177857E-3</v>
      </c>
      <c r="F171" s="476">
        <v>0</v>
      </c>
      <c r="G171" s="478">
        <v>19</v>
      </c>
      <c r="H171" s="478">
        <v>0</v>
      </c>
      <c r="I171" s="478">
        <v>19</v>
      </c>
    </row>
    <row r="172" spans="2:9">
      <c r="B172" t="s">
        <v>531</v>
      </c>
      <c r="D172" s="475">
        <v>134013000</v>
      </c>
      <c r="E172" s="476">
        <v>5.3378106050494534E-3</v>
      </c>
      <c r="F172" s="476">
        <v>0</v>
      </c>
      <c r="G172" s="478">
        <v>3</v>
      </c>
      <c r="H172" s="478">
        <v>0</v>
      </c>
      <c r="I172" s="478">
        <v>3</v>
      </c>
    </row>
    <row r="173" spans="2:9">
      <c r="C173" t="s">
        <v>521</v>
      </c>
      <c r="D173" s="475">
        <v>8122000</v>
      </c>
      <c r="E173" s="476">
        <v>3.235036730333002E-4</v>
      </c>
      <c r="F173" s="476">
        <v>0</v>
      </c>
      <c r="G173" s="478">
        <v>1</v>
      </c>
      <c r="H173" s="478">
        <v>0</v>
      </c>
      <c r="I173" s="478">
        <v>1</v>
      </c>
    </row>
    <row r="174" spans="2:9">
      <c r="C174" t="s">
        <v>530</v>
      </c>
      <c r="D174" s="475">
        <v>4061000</v>
      </c>
      <c r="E174" s="476">
        <v>1.617518365166501E-4</v>
      </c>
      <c r="F174" s="476">
        <v>0</v>
      </c>
      <c r="G174" s="478">
        <v>1</v>
      </c>
      <c r="H174" s="478">
        <v>0</v>
      </c>
      <c r="I174" s="478">
        <v>1</v>
      </c>
    </row>
    <row r="175" spans="2:9">
      <c r="C175" t="s">
        <v>531</v>
      </c>
      <c r="D175" s="475">
        <v>121830000</v>
      </c>
      <c r="E175" s="476">
        <v>4.852555095499503E-3</v>
      </c>
      <c r="F175" s="476">
        <v>0</v>
      </c>
      <c r="G175" s="478">
        <v>1</v>
      </c>
      <c r="H175" s="478">
        <v>0</v>
      </c>
      <c r="I175" s="478">
        <v>1</v>
      </c>
    </row>
    <row r="176" spans="2:9">
      <c r="B176" t="s">
        <v>532</v>
      </c>
      <c r="D176" s="475">
        <v>211184000</v>
      </c>
      <c r="E176" s="476">
        <v>8.4115734653859228E-3</v>
      </c>
      <c r="F176" s="476">
        <v>0</v>
      </c>
      <c r="G176" s="478">
        <v>92</v>
      </c>
      <c r="H176" s="478">
        <v>0</v>
      </c>
      <c r="I176" s="478">
        <v>92</v>
      </c>
    </row>
    <row r="177" spans="2:9">
      <c r="C177" t="s">
        <v>521</v>
      </c>
      <c r="D177" s="475">
        <v>12183000</v>
      </c>
      <c r="E177" s="476">
        <v>4.8525550954995033E-4</v>
      </c>
      <c r="F177" s="476">
        <v>0</v>
      </c>
      <c r="G177" s="478">
        <v>1</v>
      </c>
      <c r="H177" s="478">
        <v>0</v>
      </c>
      <c r="I177" s="478">
        <v>1</v>
      </c>
    </row>
    <row r="178" spans="2:9">
      <c r="C178" t="s">
        <v>530</v>
      </c>
      <c r="D178" s="475">
        <v>4061000</v>
      </c>
      <c r="E178" s="476">
        <v>1.617518365166501E-4</v>
      </c>
      <c r="F178" s="476">
        <v>0</v>
      </c>
      <c r="G178" s="478">
        <v>1</v>
      </c>
      <c r="H178" s="478">
        <v>0</v>
      </c>
      <c r="I178" s="478">
        <v>1</v>
      </c>
    </row>
    <row r="179" spans="2:9">
      <c r="C179" t="s">
        <v>524</v>
      </c>
      <c r="D179" s="475">
        <v>48720000</v>
      </c>
      <c r="E179" s="476">
        <v>1.940544071679683E-3</v>
      </c>
      <c r="F179" s="476">
        <v>0</v>
      </c>
      <c r="G179" s="478">
        <v>30</v>
      </c>
      <c r="H179" s="478">
        <v>0</v>
      </c>
      <c r="I179" s="478">
        <v>30</v>
      </c>
    </row>
    <row r="180" spans="2:9">
      <c r="C180" t="s">
        <v>532</v>
      </c>
      <c r="D180" s="475">
        <v>0</v>
      </c>
      <c r="E180" s="476">
        <v>0</v>
      </c>
      <c r="F180" s="476">
        <v>0</v>
      </c>
      <c r="G180" s="478">
        <v>0</v>
      </c>
      <c r="H180" s="478">
        <v>0</v>
      </c>
      <c r="I180" s="478">
        <v>0</v>
      </c>
    </row>
    <row r="181" spans="2:9">
      <c r="C181" t="s">
        <v>533</v>
      </c>
      <c r="D181" s="475">
        <v>73110000</v>
      </c>
      <c r="E181" s="476">
        <v>2.9120110238198202E-3</v>
      </c>
      <c r="F181" s="476">
        <v>0</v>
      </c>
      <c r="G181" s="478">
        <v>30</v>
      </c>
      <c r="H181" s="478">
        <v>0</v>
      </c>
      <c r="I181" s="478">
        <v>30</v>
      </c>
    </row>
    <row r="182" spans="2:9">
      <c r="C182" t="s">
        <v>534</v>
      </c>
      <c r="D182" s="475">
        <v>73110000</v>
      </c>
      <c r="E182" s="476">
        <v>2.9120110238198202E-3</v>
      </c>
      <c r="F182" s="476">
        <v>0</v>
      </c>
      <c r="G182" s="478">
        <v>30</v>
      </c>
      <c r="H182" s="478">
        <v>0</v>
      </c>
      <c r="I182" s="478">
        <v>30</v>
      </c>
    </row>
    <row r="183" spans="2:9">
      <c r="B183" t="s">
        <v>535</v>
      </c>
      <c r="D183" s="475">
        <v>150279000</v>
      </c>
      <c r="E183" s="476">
        <v>5.9856942230696042E-3</v>
      </c>
      <c r="F183" s="476">
        <v>0</v>
      </c>
      <c r="G183" s="478">
        <v>57</v>
      </c>
      <c r="H183" s="478">
        <v>0</v>
      </c>
      <c r="I183" s="478">
        <v>57</v>
      </c>
    </row>
    <row r="184" spans="2:9">
      <c r="C184" t="s">
        <v>521</v>
      </c>
      <c r="D184" s="475">
        <v>12183000</v>
      </c>
      <c r="E184" s="476">
        <v>4.8525550954995033E-4</v>
      </c>
      <c r="F184" s="476">
        <v>0</v>
      </c>
      <c r="G184" s="478">
        <v>1</v>
      </c>
      <c r="H184" s="478">
        <v>0</v>
      </c>
      <c r="I184" s="478">
        <v>1</v>
      </c>
    </row>
    <row r="185" spans="2:9">
      <c r="C185" t="s">
        <v>530</v>
      </c>
      <c r="D185" s="475">
        <v>4061000</v>
      </c>
      <c r="E185" s="476">
        <v>1.617518365166501E-4</v>
      </c>
      <c r="F185" s="476">
        <v>0</v>
      </c>
      <c r="G185" s="478">
        <v>1</v>
      </c>
      <c r="H185" s="478">
        <v>0</v>
      </c>
      <c r="I185" s="478">
        <v>1</v>
      </c>
    </row>
    <row r="186" spans="2:9">
      <c r="C186" t="s">
        <v>535</v>
      </c>
      <c r="D186" s="475">
        <v>134035000</v>
      </c>
      <c r="E186" s="476">
        <v>5.3386868770030037E-3</v>
      </c>
      <c r="F186" s="476">
        <v>0</v>
      </c>
      <c r="G186" s="478">
        <v>55</v>
      </c>
      <c r="H186" s="478">
        <v>0</v>
      </c>
      <c r="I186" s="478">
        <v>55</v>
      </c>
    </row>
    <row r="187" spans="2:9">
      <c r="D187" s="475"/>
      <c r="E187" s="476"/>
      <c r="F187" s="476"/>
      <c r="G187" s="478"/>
      <c r="H187" s="478"/>
      <c r="I187" s="478"/>
    </row>
    <row r="188" spans="2:9">
      <c r="D188" s="475"/>
      <c r="E188" s="476"/>
      <c r="F188" s="476"/>
      <c r="G188" s="478"/>
      <c r="H188" s="478"/>
      <c r="I188" s="478"/>
    </row>
    <row r="189" spans="2:9">
      <c r="D189" s="475"/>
      <c r="E189" s="476"/>
      <c r="F189" s="476"/>
      <c r="G189" s="478"/>
      <c r="H189" s="478"/>
      <c r="I189" s="478"/>
    </row>
    <row r="190" spans="2:9">
      <c r="D190" s="475"/>
      <c r="E190" s="476"/>
      <c r="F190" s="476"/>
      <c r="G190" s="478"/>
      <c r="H190" s="478"/>
      <c r="I190" s="478"/>
    </row>
    <row r="191" spans="2:9">
      <c r="D191" s="475"/>
      <c r="E191" s="476"/>
      <c r="F191" s="476"/>
      <c r="G191" s="478"/>
      <c r="H191" s="478"/>
      <c r="I191" s="478"/>
    </row>
    <row r="192" spans="2:9">
      <c r="D192" s="475"/>
      <c r="E192" s="476"/>
      <c r="F192" s="476"/>
      <c r="G192" s="478"/>
      <c r="H192" s="478"/>
      <c r="I192" s="478"/>
    </row>
    <row r="193" spans="4:9">
      <c r="D193" s="475"/>
      <c r="E193" s="476"/>
      <c r="F193" s="476"/>
      <c r="G193" s="478"/>
      <c r="H193" s="478"/>
      <c r="I193" s="478"/>
    </row>
    <row r="194" spans="4:9">
      <c r="D194" s="475"/>
      <c r="E194" s="476"/>
      <c r="F194" s="476"/>
      <c r="G194" s="478"/>
      <c r="H194" s="478"/>
      <c r="I194" s="478"/>
    </row>
    <row r="195" spans="4:9">
      <c r="D195" s="475"/>
      <c r="E195" s="476"/>
      <c r="F195" s="476"/>
      <c r="G195" s="478"/>
      <c r="H195" s="478"/>
      <c r="I195" s="478"/>
    </row>
    <row r="196" spans="4:9">
      <c r="D196" s="475"/>
      <c r="E196" s="476"/>
      <c r="F196" s="476"/>
      <c r="G196" s="478"/>
      <c r="H196" s="478"/>
      <c r="I196" s="478"/>
    </row>
    <row r="197" spans="4:9">
      <c r="D197" s="475"/>
      <c r="E197" s="476"/>
      <c r="F197" s="476"/>
      <c r="G197" s="478"/>
      <c r="H197" s="478"/>
      <c r="I197" s="478"/>
    </row>
    <row r="198" spans="4:9">
      <c r="D198" s="475"/>
      <c r="E198" s="476"/>
      <c r="F198" s="476"/>
      <c r="G198" s="478"/>
      <c r="H198" s="478"/>
      <c r="I198" s="478"/>
    </row>
    <row r="199" spans="4:9">
      <c r="D199" s="475"/>
      <c r="E199" s="476"/>
      <c r="F199" s="476"/>
      <c r="G199" s="478"/>
      <c r="H199" s="478"/>
      <c r="I199" s="478"/>
    </row>
    <row r="200" spans="4:9">
      <c r="D200" s="475"/>
      <c r="E200" s="476"/>
      <c r="F200" s="476"/>
      <c r="G200" s="478"/>
      <c r="H200" s="478"/>
      <c r="I200" s="478"/>
    </row>
    <row r="201" spans="4:9">
      <c r="D201" s="475"/>
      <c r="E201" s="476"/>
      <c r="F201" s="476"/>
      <c r="G201" s="478"/>
      <c r="H201" s="478"/>
      <c r="I201" s="478"/>
    </row>
    <row r="202" spans="4:9">
      <c r="D202" s="475"/>
      <c r="E202" s="476"/>
      <c r="F202" s="476"/>
      <c r="G202" s="478"/>
      <c r="H202" s="478"/>
      <c r="I202" s="478"/>
    </row>
    <row r="203" spans="4:9">
      <c r="D203" s="475"/>
      <c r="E203" s="476"/>
      <c r="F203" s="476"/>
      <c r="G203" s="478"/>
      <c r="H203" s="478"/>
      <c r="I203" s="478"/>
    </row>
    <row r="204" spans="4:9">
      <c r="D204" s="475"/>
      <c r="E204" s="476"/>
      <c r="F204" s="476"/>
      <c r="G204" s="478"/>
      <c r="H204" s="478"/>
      <c r="I204" s="478"/>
    </row>
    <row r="205" spans="4:9">
      <c r="D205" s="475"/>
      <c r="E205" s="476"/>
      <c r="F205" s="476"/>
      <c r="G205" s="478"/>
      <c r="H205" s="478"/>
      <c r="I205" s="478"/>
    </row>
    <row r="206" spans="4:9">
      <c r="D206" s="475"/>
      <c r="E206" s="476"/>
      <c r="F206" s="476"/>
      <c r="G206" s="478"/>
      <c r="H206" s="478"/>
      <c r="I206" s="478"/>
    </row>
    <row r="207" spans="4:9">
      <c r="D207" s="475"/>
      <c r="E207" s="476"/>
      <c r="F207" s="476"/>
      <c r="G207" s="478"/>
      <c r="H207" s="478"/>
      <c r="I207" s="478"/>
    </row>
    <row r="208" spans="4:9">
      <c r="D208" s="475"/>
      <c r="E208" s="476"/>
      <c r="F208" s="476"/>
      <c r="G208" s="478"/>
      <c r="H208" s="478"/>
      <c r="I208" s="478"/>
    </row>
    <row r="209" spans="4:9">
      <c r="D209" s="475"/>
      <c r="E209" s="476"/>
      <c r="F209" s="476"/>
      <c r="G209" s="478"/>
      <c r="H209" s="478"/>
      <c r="I209" s="478"/>
    </row>
    <row r="210" spans="4:9">
      <c r="D210" s="475"/>
      <c r="E210" s="476"/>
      <c r="F210" s="476"/>
      <c r="G210" s="478"/>
      <c r="H210" s="478"/>
      <c r="I210" s="478"/>
    </row>
    <row r="211" spans="4:9">
      <c r="D211" s="475"/>
      <c r="E211" s="476"/>
      <c r="F211" s="476"/>
      <c r="G211" s="478"/>
      <c r="H211" s="478"/>
      <c r="I211" s="478"/>
    </row>
    <row r="212" spans="4:9">
      <c r="D212" s="475"/>
      <c r="E212" s="476"/>
      <c r="F212" s="476"/>
      <c r="G212" s="478"/>
      <c r="H212" s="478"/>
      <c r="I212" s="478"/>
    </row>
    <row r="213" spans="4:9">
      <c r="D213" s="475"/>
      <c r="E213" s="476"/>
      <c r="F213" s="476"/>
      <c r="G213" s="478"/>
      <c r="H213" s="478"/>
      <c r="I213" s="478"/>
    </row>
    <row r="214" spans="4:9">
      <c r="D214" s="475"/>
      <c r="E214" s="476"/>
      <c r="F214" s="476"/>
      <c r="G214" s="478"/>
      <c r="H214" s="478"/>
      <c r="I214" s="478"/>
    </row>
    <row r="215" spans="4:9">
      <c r="D215" s="475"/>
      <c r="E215" s="476"/>
      <c r="F215" s="476"/>
      <c r="G215" s="478"/>
      <c r="H215" s="478"/>
      <c r="I215" s="478"/>
    </row>
    <row r="216" spans="4:9">
      <c r="D216" s="475"/>
      <c r="E216" s="476"/>
      <c r="F216" s="476"/>
      <c r="G216" s="478"/>
      <c r="H216" s="478"/>
      <c r="I216" s="478"/>
    </row>
    <row r="217" spans="4:9">
      <c r="D217" s="475"/>
      <c r="E217" s="476"/>
      <c r="F217" s="476"/>
      <c r="G217" s="478"/>
      <c r="H217" s="478"/>
      <c r="I217" s="478"/>
    </row>
    <row r="218" spans="4:9">
      <c r="D218" s="475"/>
      <c r="E218" s="476"/>
      <c r="F218" s="476"/>
      <c r="G218" s="478"/>
      <c r="H218" s="478"/>
      <c r="I218" s="478"/>
    </row>
    <row r="219" spans="4:9">
      <c r="D219" s="475"/>
      <c r="E219" s="476"/>
      <c r="F219" s="476"/>
      <c r="G219" s="478"/>
      <c r="H219" s="478"/>
      <c r="I219" s="478"/>
    </row>
    <row r="220" spans="4:9">
      <c r="D220" s="475"/>
      <c r="E220" s="476"/>
      <c r="F220" s="476"/>
      <c r="G220" s="478"/>
      <c r="H220" s="478"/>
      <c r="I220" s="478"/>
    </row>
    <row r="221" spans="4:9">
      <c r="D221" s="475"/>
      <c r="E221" s="476"/>
      <c r="F221" s="476"/>
      <c r="G221" s="478"/>
      <c r="H221" s="478"/>
      <c r="I221" s="478"/>
    </row>
    <row r="222" spans="4:9">
      <c r="D222" s="475"/>
      <c r="E222" s="476"/>
      <c r="F222" s="476"/>
      <c r="G222" s="478"/>
      <c r="H222" s="478"/>
      <c r="I222" s="478"/>
    </row>
    <row r="223" spans="4:9">
      <c r="D223" s="475"/>
      <c r="E223" s="476"/>
      <c r="F223" s="476"/>
      <c r="G223" s="478"/>
      <c r="H223" s="478"/>
      <c r="I223" s="478"/>
    </row>
    <row r="224" spans="4:9">
      <c r="D224" s="475"/>
      <c r="E224" s="476"/>
      <c r="F224" s="476"/>
      <c r="G224" s="478"/>
      <c r="H224" s="478"/>
      <c r="I224" s="478"/>
    </row>
    <row r="225" spans="4:9">
      <c r="D225" s="475"/>
      <c r="E225" s="476"/>
      <c r="F225" s="476"/>
      <c r="G225" s="478"/>
      <c r="H225" s="478"/>
      <c r="I225" s="478"/>
    </row>
    <row r="226" spans="4:9">
      <c r="D226" s="475"/>
      <c r="E226" s="476"/>
      <c r="F226" s="476"/>
      <c r="G226" s="478"/>
      <c r="H226" s="478"/>
      <c r="I226" s="478"/>
    </row>
    <row r="227" spans="4:9">
      <c r="D227" s="475"/>
      <c r="E227" s="476"/>
      <c r="F227" s="476"/>
      <c r="G227" s="478"/>
      <c r="H227" s="478"/>
      <c r="I227" s="478"/>
    </row>
    <row r="228" spans="4:9">
      <c r="D228" s="475"/>
      <c r="E228" s="476"/>
      <c r="F228" s="476"/>
      <c r="G228" s="478"/>
      <c r="H228" s="478"/>
      <c r="I228" s="478"/>
    </row>
    <row r="229" spans="4:9">
      <c r="D229" s="475"/>
      <c r="E229" s="476"/>
      <c r="F229" s="476"/>
      <c r="G229" s="478"/>
      <c r="H229" s="478"/>
      <c r="I229" s="478"/>
    </row>
    <row r="230" spans="4:9">
      <c r="D230" s="475"/>
      <c r="E230" s="476"/>
      <c r="F230" s="476"/>
      <c r="G230" s="478"/>
      <c r="H230" s="478"/>
      <c r="I230" s="478"/>
    </row>
    <row r="231" spans="4:9">
      <c r="D231" s="475"/>
      <c r="E231" s="476"/>
      <c r="F231" s="476"/>
      <c r="G231" s="478"/>
      <c r="H231" s="478"/>
      <c r="I231" s="478"/>
    </row>
    <row r="232" spans="4:9">
      <c r="D232" s="475"/>
      <c r="E232" s="476"/>
      <c r="F232" s="476"/>
      <c r="G232" s="478"/>
      <c r="H232" s="478"/>
      <c r="I232" s="478"/>
    </row>
    <row r="233" spans="4:9">
      <c r="D233" s="475"/>
      <c r="E233" s="476"/>
      <c r="F233" s="476"/>
      <c r="G233" s="478"/>
      <c r="H233" s="478"/>
      <c r="I233" s="478"/>
    </row>
    <row r="234" spans="4:9">
      <c r="D234" s="475"/>
      <c r="E234" s="476"/>
      <c r="F234" s="476"/>
      <c r="G234" s="478"/>
      <c r="H234" s="478"/>
      <c r="I234" s="478"/>
    </row>
    <row r="235" spans="4:9">
      <c r="D235" s="475"/>
      <c r="E235" s="476"/>
      <c r="F235" s="476"/>
      <c r="G235" s="478"/>
      <c r="H235" s="478"/>
      <c r="I235" s="478"/>
    </row>
    <row r="236" spans="4:9">
      <c r="D236" s="475"/>
      <c r="E236" s="476"/>
      <c r="F236" s="476"/>
      <c r="G236" s="478"/>
      <c r="H236" s="478"/>
      <c r="I236" s="478"/>
    </row>
    <row r="237" spans="4:9">
      <c r="D237" s="475"/>
      <c r="E237" s="476"/>
      <c r="F237" s="476"/>
      <c r="G237" s="478"/>
      <c r="H237" s="478"/>
      <c r="I237" s="478"/>
    </row>
    <row r="238" spans="4:9">
      <c r="D238" s="475"/>
      <c r="E238" s="476"/>
      <c r="F238" s="476"/>
      <c r="G238" s="478"/>
      <c r="H238" s="478"/>
      <c r="I238" s="478"/>
    </row>
    <row r="239" spans="4:9">
      <c r="D239" s="475"/>
      <c r="E239" s="476"/>
      <c r="F239" s="476"/>
      <c r="G239" s="478"/>
      <c r="H239" s="478"/>
      <c r="I239" s="478"/>
    </row>
    <row r="240" spans="4:9">
      <c r="D240" s="475"/>
      <c r="E240" s="476"/>
      <c r="F240" s="476"/>
      <c r="G240" s="478"/>
      <c r="H240" s="478"/>
      <c r="I240" s="478"/>
    </row>
    <row r="241" spans="4:9">
      <c r="D241" s="475"/>
      <c r="E241" s="476"/>
      <c r="F241" s="476"/>
      <c r="G241" s="478"/>
      <c r="H241" s="478"/>
      <c r="I241" s="478"/>
    </row>
    <row r="242" spans="4:9">
      <c r="D242" s="475"/>
      <c r="E242" s="476"/>
      <c r="F242" s="476"/>
      <c r="G242" s="478"/>
      <c r="H242" s="478"/>
      <c r="I242" s="478"/>
    </row>
    <row r="243" spans="4:9">
      <c r="D243" s="475"/>
      <c r="E243" s="476"/>
      <c r="F243" s="476"/>
      <c r="G243" s="478"/>
      <c r="H243" s="478"/>
      <c r="I243" s="478"/>
    </row>
    <row r="244" spans="4:9">
      <c r="D244" s="475"/>
      <c r="E244" s="476"/>
      <c r="F244" s="476"/>
      <c r="G244" s="478"/>
      <c r="H244" s="478"/>
      <c r="I244" s="478"/>
    </row>
    <row r="245" spans="4:9">
      <c r="D245" s="475"/>
      <c r="E245" s="476"/>
      <c r="F245" s="476"/>
      <c r="G245" s="478"/>
      <c r="H245" s="478"/>
      <c r="I245" s="478"/>
    </row>
    <row r="246" spans="4:9">
      <c r="D246" s="475"/>
      <c r="E246" s="476"/>
      <c r="F246" s="476"/>
      <c r="G246" s="478"/>
      <c r="H246" s="478"/>
      <c r="I246" s="478"/>
    </row>
    <row r="247" spans="4:9">
      <c r="D247" s="475"/>
      <c r="E247" s="476"/>
      <c r="F247" s="476"/>
      <c r="G247" s="478"/>
      <c r="H247" s="478"/>
      <c r="I247" s="478"/>
    </row>
    <row r="248" spans="4:9">
      <c r="D248" s="475"/>
      <c r="E248" s="476"/>
      <c r="F248" s="476"/>
      <c r="G248" s="478"/>
      <c r="H248" s="478"/>
      <c r="I248" s="478"/>
    </row>
    <row r="249" spans="4:9">
      <c r="D249" s="475"/>
      <c r="E249" s="476"/>
      <c r="F249" s="476"/>
      <c r="G249" s="478"/>
      <c r="H249" s="478"/>
      <c r="I249" s="478"/>
    </row>
    <row r="250" spans="4:9">
      <c r="D250" s="475"/>
      <c r="E250" s="476"/>
      <c r="F250" s="476"/>
      <c r="G250" s="478"/>
      <c r="H250" s="478"/>
      <c r="I250" s="478"/>
    </row>
    <row r="251" spans="4:9">
      <c r="D251" s="475"/>
      <c r="E251" s="476"/>
      <c r="F251" s="476"/>
      <c r="G251" s="478"/>
      <c r="H251" s="478"/>
      <c r="I251" s="478"/>
    </row>
    <row r="252" spans="4:9">
      <c r="D252" s="475"/>
      <c r="E252" s="476"/>
      <c r="F252" s="476"/>
      <c r="G252" s="478"/>
      <c r="H252" s="478"/>
      <c r="I252" s="478"/>
    </row>
    <row r="253" spans="4:9">
      <c r="D253" s="475"/>
      <c r="E253" s="476"/>
      <c r="F253" s="476"/>
      <c r="G253" s="478"/>
      <c r="H253" s="478"/>
      <c r="I253" s="478"/>
    </row>
    <row r="254" spans="4:9">
      <c r="D254" s="475"/>
      <c r="E254" s="476"/>
      <c r="F254" s="476"/>
      <c r="G254" s="478"/>
      <c r="H254" s="478"/>
      <c r="I254" s="478"/>
    </row>
    <row r="255" spans="4:9">
      <c r="D255" s="475"/>
      <c r="E255" s="476"/>
      <c r="F255" s="476"/>
      <c r="G255" s="478"/>
      <c r="H255" s="478"/>
      <c r="I255" s="478"/>
    </row>
    <row r="256" spans="4:9">
      <c r="D256" s="475"/>
      <c r="E256" s="476"/>
      <c r="F256" s="476"/>
      <c r="G256" s="478"/>
      <c r="H256" s="478"/>
      <c r="I256" s="478"/>
    </row>
    <row r="257" spans="4:9">
      <c r="D257" s="475"/>
      <c r="E257" s="476"/>
      <c r="F257" s="476"/>
      <c r="G257" s="478"/>
      <c r="H257" s="478"/>
      <c r="I257" s="478"/>
    </row>
    <row r="258" spans="4:9">
      <c r="D258" s="475"/>
      <c r="E258" s="476"/>
      <c r="F258" s="476"/>
      <c r="G258" s="478"/>
      <c r="H258" s="478"/>
      <c r="I258" s="478"/>
    </row>
    <row r="259" spans="4:9">
      <c r="D259" s="475"/>
      <c r="E259" s="476"/>
      <c r="F259" s="476"/>
      <c r="G259" s="478"/>
      <c r="H259" s="478"/>
      <c r="I259" s="478"/>
    </row>
    <row r="260" spans="4:9">
      <c r="D260" s="475"/>
      <c r="E260" s="476"/>
      <c r="F260" s="476"/>
      <c r="G260" s="478"/>
      <c r="H260" s="478"/>
      <c r="I260" s="478"/>
    </row>
    <row r="261" spans="4:9">
      <c r="D261" s="475"/>
      <c r="E261" s="476"/>
      <c r="F261" s="476"/>
      <c r="G261" s="478"/>
      <c r="H261" s="478"/>
      <c r="I261" s="478"/>
    </row>
    <row r="262" spans="4:9">
      <c r="D262" s="475"/>
      <c r="E262" s="476"/>
      <c r="F262" s="476"/>
      <c r="G262" s="478"/>
      <c r="H262" s="478"/>
      <c r="I262" s="478"/>
    </row>
    <row r="263" spans="4:9">
      <c r="D263" s="475"/>
      <c r="E263" s="476"/>
      <c r="F263" s="476"/>
      <c r="G263" s="478"/>
      <c r="H263" s="478"/>
      <c r="I263" s="478"/>
    </row>
    <row r="264" spans="4:9">
      <c r="D264" s="475"/>
      <c r="E264" s="476"/>
      <c r="F264" s="476"/>
      <c r="G264" s="478"/>
      <c r="H264" s="478"/>
      <c r="I264" s="478"/>
    </row>
    <row r="265" spans="4:9">
      <c r="D265" s="475"/>
      <c r="E265" s="476"/>
      <c r="F265" s="476"/>
      <c r="G265" s="478"/>
      <c r="H265" s="478"/>
      <c r="I265" s="478"/>
    </row>
    <row r="266" spans="4:9">
      <c r="D266" s="475"/>
      <c r="E266" s="476"/>
      <c r="F266" s="476"/>
      <c r="G266" s="478"/>
      <c r="H266" s="478"/>
      <c r="I266" s="478"/>
    </row>
    <row r="267" spans="4:9">
      <c r="D267" s="475"/>
      <c r="E267" s="476"/>
      <c r="F267" s="476"/>
      <c r="G267" s="478"/>
      <c r="H267" s="478"/>
      <c r="I267" s="478"/>
    </row>
    <row r="268" spans="4:9">
      <c r="D268" s="475"/>
      <c r="E268" s="476"/>
      <c r="F268" s="476"/>
      <c r="G268" s="478"/>
      <c r="H268" s="478"/>
      <c r="I268" s="478"/>
    </row>
    <row r="269" spans="4:9">
      <c r="D269" s="475"/>
      <c r="E269" s="476"/>
      <c r="F269" s="476"/>
      <c r="G269" s="478"/>
      <c r="H269" s="478"/>
      <c r="I269" s="478"/>
    </row>
    <row r="270" spans="4:9">
      <c r="D270" s="475"/>
      <c r="E270" s="476"/>
      <c r="F270" s="476"/>
      <c r="G270" s="478"/>
      <c r="H270" s="478"/>
      <c r="I270" s="478"/>
    </row>
    <row r="271" spans="4:9">
      <c r="D271" s="475"/>
      <c r="E271" s="476"/>
      <c r="F271" s="476"/>
      <c r="G271" s="478"/>
      <c r="H271" s="478"/>
      <c r="I271" s="478"/>
    </row>
    <row r="272" spans="4:9">
      <c r="D272" s="475"/>
      <c r="E272" s="476"/>
      <c r="F272" s="476"/>
      <c r="G272" s="478"/>
      <c r="H272" s="478"/>
      <c r="I272" s="478"/>
    </row>
    <row r="273" spans="4:9">
      <c r="D273" s="475"/>
      <c r="E273" s="476"/>
      <c r="F273" s="476"/>
      <c r="G273" s="478"/>
      <c r="H273" s="478"/>
      <c r="I273" s="478"/>
    </row>
    <row r="274" spans="4:9">
      <c r="D274" s="475"/>
      <c r="E274" s="476"/>
      <c r="F274" s="476"/>
      <c r="G274" s="478"/>
      <c r="H274" s="478"/>
      <c r="I274" s="478"/>
    </row>
    <row r="275" spans="4:9">
      <c r="D275" s="475"/>
      <c r="E275" s="476"/>
      <c r="F275" s="476"/>
      <c r="G275" s="478"/>
      <c r="H275" s="478"/>
      <c r="I275" s="478"/>
    </row>
    <row r="276" spans="4:9">
      <c r="D276" s="475"/>
      <c r="E276" s="476"/>
      <c r="F276" s="476"/>
      <c r="G276" s="478"/>
      <c r="H276" s="478"/>
      <c r="I276" s="478"/>
    </row>
    <row r="277" spans="4:9">
      <c r="D277" s="475"/>
      <c r="E277" s="476"/>
      <c r="F277" s="476"/>
      <c r="G277" s="478"/>
      <c r="H277" s="478"/>
      <c r="I277" s="478"/>
    </row>
    <row r="278" spans="4:9">
      <c r="D278" s="475"/>
      <c r="E278" s="476"/>
      <c r="F278" s="476"/>
      <c r="G278" s="478"/>
      <c r="H278" s="478"/>
      <c r="I278" s="478"/>
    </row>
    <row r="279" spans="4:9">
      <c r="D279" s="475"/>
      <c r="E279" s="476"/>
      <c r="F279" s="476"/>
      <c r="G279" s="478"/>
      <c r="H279" s="478"/>
      <c r="I279" s="478"/>
    </row>
    <row r="280" spans="4:9">
      <c r="D280" s="475"/>
      <c r="E280" s="476"/>
      <c r="F280" s="476"/>
      <c r="G280" s="478"/>
      <c r="H280" s="478"/>
      <c r="I280" s="478"/>
    </row>
    <row r="281" spans="4:9">
      <c r="D281" s="475"/>
      <c r="E281" s="476"/>
      <c r="F281" s="476"/>
      <c r="G281" s="478"/>
      <c r="H281" s="478"/>
      <c r="I281" s="478"/>
    </row>
    <row r="282" spans="4:9">
      <c r="D282" s="475"/>
      <c r="E282" s="476"/>
      <c r="F282" s="476"/>
      <c r="G282" s="478"/>
      <c r="H282" s="478"/>
      <c r="I282" s="478"/>
    </row>
    <row r="283" spans="4:9">
      <c r="D283" s="475"/>
      <c r="E283" s="476"/>
      <c r="F283" s="476"/>
      <c r="G283" s="478"/>
      <c r="H283" s="478"/>
      <c r="I283" s="478"/>
    </row>
    <row r="284" spans="4:9">
      <c r="D284" s="475"/>
      <c r="E284" s="476"/>
      <c r="F284" s="476"/>
      <c r="G284" s="478"/>
      <c r="H284" s="478"/>
      <c r="I284" s="478"/>
    </row>
    <row r="285" spans="4:9">
      <c r="D285" s="475"/>
      <c r="E285" s="476"/>
      <c r="F285" s="476"/>
      <c r="G285" s="478"/>
      <c r="H285" s="478"/>
      <c r="I285" s="478"/>
    </row>
    <row r="286" spans="4:9">
      <c r="D286" s="475"/>
      <c r="E286" s="476"/>
      <c r="F286" s="476"/>
      <c r="G286" s="478"/>
      <c r="H286" s="478"/>
      <c r="I286" s="478"/>
    </row>
    <row r="287" spans="4:9">
      <c r="D287" s="475"/>
      <c r="E287" s="476"/>
      <c r="F287" s="476"/>
      <c r="G287" s="478"/>
      <c r="H287" s="478"/>
      <c r="I287" s="478"/>
    </row>
    <row r="288" spans="4:9">
      <c r="D288" s="475"/>
      <c r="E288" s="476"/>
      <c r="F288" s="476"/>
      <c r="G288" s="478"/>
      <c r="H288" s="478"/>
      <c r="I288" s="478"/>
    </row>
    <row r="289" spans="4:9">
      <c r="D289" s="475"/>
      <c r="E289" s="476"/>
      <c r="F289" s="476"/>
      <c r="G289" s="478"/>
      <c r="H289" s="478"/>
      <c r="I289" s="478"/>
    </row>
    <row r="290" spans="4:9">
      <c r="D290" s="475"/>
      <c r="E290" s="476"/>
      <c r="F290" s="476"/>
      <c r="G290" s="478"/>
      <c r="H290" s="478"/>
      <c r="I290" s="478"/>
    </row>
    <row r="291" spans="4:9">
      <c r="D291" s="475"/>
      <c r="E291" s="476"/>
      <c r="F291" s="476"/>
      <c r="G291" s="478"/>
      <c r="H291" s="478"/>
      <c r="I291" s="478"/>
    </row>
    <row r="292" spans="4:9">
      <c r="D292" s="475"/>
      <c r="E292" s="476"/>
      <c r="F292" s="476"/>
      <c r="G292" s="478"/>
      <c r="H292" s="478"/>
      <c r="I292" s="478"/>
    </row>
    <row r="293" spans="4:9">
      <c r="D293" s="475"/>
      <c r="E293" s="476"/>
      <c r="F293" s="476"/>
      <c r="G293" s="478"/>
      <c r="H293" s="478"/>
      <c r="I293" s="478"/>
    </row>
    <row r="294" spans="4:9">
      <c r="D294" s="475"/>
      <c r="E294" s="476"/>
      <c r="F294" s="476"/>
      <c r="G294" s="478"/>
      <c r="H294" s="478"/>
      <c r="I294" s="478"/>
    </row>
    <row r="295" spans="4:9">
      <c r="D295" s="475"/>
      <c r="E295" s="476"/>
      <c r="F295" s="476"/>
      <c r="G295" s="478"/>
      <c r="H295" s="478"/>
      <c r="I295" s="478"/>
    </row>
    <row r="296" spans="4:9">
      <c r="D296" s="475"/>
      <c r="E296" s="476"/>
      <c r="F296" s="476"/>
      <c r="G296" s="478"/>
      <c r="H296" s="478"/>
      <c r="I296" s="478"/>
    </row>
    <row r="297" spans="4:9">
      <c r="D297" s="475"/>
      <c r="E297" s="476"/>
      <c r="F297" s="476"/>
      <c r="G297" s="478"/>
      <c r="H297" s="478"/>
      <c r="I297" s="478"/>
    </row>
    <row r="298" spans="4:9">
      <c r="D298" s="475"/>
      <c r="E298" s="476"/>
      <c r="F298" s="476"/>
      <c r="G298" s="478"/>
      <c r="H298" s="478"/>
      <c r="I298" s="478"/>
    </row>
    <row r="299" spans="4:9">
      <c r="D299" s="475"/>
      <c r="E299" s="476"/>
      <c r="F299" s="476"/>
      <c r="G299" s="478"/>
      <c r="H299" s="478"/>
      <c r="I299" s="478"/>
    </row>
    <row r="300" spans="4:9">
      <c r="D300" s="475"/>
      <c r="E300" s="476"/>
      <c r="F300" s="476"/>
      <c r="G300" s="478"/>
      <c r="H300" s="478"/>
      <c r="I300" s="478"/>
    </row>
    <row r="301" spans="4:9">
      <c r="D301" s="475"/>
      <c r="E301" s="476"/>
      <c r="F301" s="476"/>
      <c r="G301" s="478"/>
      <c r="H301" s="478"/>
      <c r="I301" s="478"/>
    </row>
    <row r="302" spans="4:9">
      <c r="D302" s="475"/>
      <c r="E302" s="476"/>
      <c r="F302" s="476"/>
      <c r="G302" s="478"/>
      <c r="H302" s="478"/>
      <c r="I302" s="478"/>
    </row>
    <row r="303" spans="4:9">
      <c r="D303" s="475"/>
      <c r="E303" s="476"/>
      <c r="F303" s="476"/>
      <c r="G303" s="478"/>
      <c r="H303" s="478"/>
      <c r="I303" s="478"/>
    </row>
    <row r="304" spans="4:9">
      <c r="D304" s="475"/>
      <c r="E304" s="476"/>
      <c r="F304" s="476"/>
      <c r="G304" s="478"/>
      <c r="H304" s="478"/>
      <c r="I304" s="478"/>
    </row>
    <row r="305" spans="4:9">
      <c r="D305" s="475"/>
      <c r="E305" s="476"/>
      <c r="F305" s="476"/>
      <c r="G305" s="478"/>
      <c r="H305" s="478"/>
      <c r="I305" s="478"/>
    </row>
    <row r="306" spans="4:9">
      <c r="D306" s="475"/>
      <c r="E306" s="476"/>
      <c r="F306" s="476"/>
      <c r="G306" s="478"/>
      <c r="H306" s="478"/>
      <c r="I306" s="478"/>
    </row>
    <row r="307" spans="4:9">
      <c r="D307" s="475"/>
      <c r="E307" s="476"/>
      <c r="F307" s="476"/>
      <c r="G307" s="478"/>
      <c r="H307" s="478"/>
      <c r="I307" s="478"/>
    </row>
    <row r="308" spans="4:9">
      <c r="D308" s="475"/>
      <c r="E308" s="476"/>
      <c r="F308" s="476"/>
      <c r="G308" s="478"/>
      <c r="H308" s="478"/>
      <c r="I308" s="478"/>
    </row>
    <row r="309" spans="4:9">
      <c r="D309" s="475"/>
      <c r="E309" s="476"/>
      <c r="F309" s="476"/>
      <c r="G309" s="478"/>
      <c r="H309" s="478"/>
      <c r="I309" s="478"/>
    </row>
    <row r="310" spans="4:9">
      <c r="D310" s="475"/>
      <c r="E310" s="476"/>
      <c r="F310" s="476"/>
      <c r="G310" s="478"/>
      <c r="H310" s="478"/>
      <c r="I310" s="478"/>
    </row>
    <row r="311" spans="4:9">
      <c r="D311" s="475"/>
      <c r="E311" s="476"/>
      <c r="F311" s="476"/>
      <c r="G311" s="478"/>
      <c r="H311" s="478"/>
      <c r="I311" s="478"/>
    </row>
    <row r="312" spans="4:9">
      <c r="D312" s="475"/>
      <c r="E312" s="476"/>
      <c r="F312" s="476"/>
      <c r="G312" s="478"/>
      <c r="H312" s="478"/>
      <c r="I312" s="478"/>
    </row>
    <row r="313" spans="4:9">
      <c r="D313" s="475"/>
      <c r="E313" s="476"/>
      <c r="F313" s="476"/>
      <c r="G313" s="478"/>
      <c r="H313" s="478"/>
      <c r="I313" s="478"/>
    </row>
    <row r="314" spans="4:9">
      <c r="D314" s="475"/>
      <c r="E314" s="476"/>
      <c r="F314" s="476"/>
      <c r="G314" s="478"/>
      <c r="H314" s="478"/>
      <c r="I314" s="478"/>
    </row>
    <row r="315" spans="4:9">
      <c r="D315" s="475"/>
      <c r="E315" s="476"/>
      <c r="F315" s="476"/>
      <c r="G315" s="478"/>
      <c r="H315" s="478"/>
      <c r="I315" s="478"/>
    </row>
    <row r="316" spans="4:9">
      <c r="D316" s="475"/>
      <c r="E316" s="476"/>
      <c r="F316" s="476"/>
      <c r="G316" s="478"/>
      <c r="H316" s="478"/>
      <c r="I316" s="478"/>
    </row>
    <row r="317" spans="4:9">
      <c r="D317" s="475"/>
      <c r="E317" s="476"/>
      <c r="F317" s="476"/>
      <c r="G317" s="478"/>
      <c r="H317" s="478"/>
      <c r="I317" s="478"/>
    </row>
    <row r="318" spans="4:9">
      <c r="D318" s="475"/>
      <c r="E318" s="476"/>
      <c r="F318" s="476"/>
      <c r="G318" s="478"/>
      <c r="H318" s="478"/>
      <c r="I318" s="478"/>
    </row>
    <row r="319" spans="4:9">
      <c r="D319" s="475"/>
      <c r="E319" s="476"/>
      <c r="F319" s="476"/>
      <c r="G319" s="478"/>
      <c r="H319" s="478"/>
      <c r="I319" s="478"/>
    </row>
    <row r="320" spans="4:9">
      <c r="D320" s="475"/>
      <c r="E320" s="476"/>
      <c r="F320" s="476"/>
      <c r="G320" s="478"/>
      <c r="H320" s="478"/>
      <c r="I320" s="478"/>
    </row>
    <row r="321" spans="4:9">
      <c r="D321" s="475"/>
      <c r="E321" s="476"/>
      <c r="F321" s="476"/>
      <c r="G321" s="478"/>
      <c r="H321" s="478"/>
      <c r="I321" s="478"/>
    </row>
    <row r="322" spans="4:9">
      <c r="D322" s="475"/>
      <c r="E322" s="476"/>
      <c r="F322" s="476"/>
      <c r="G322" s="478"/>
      <c r="H322" s="478"/>
      <c r="I322" s="478"/>
    </row>
    <row r="323" spans="4:9">
      <c r="D323" s="475"/>
      <c r="E323" s="476"/>
      <c r="F323" s="476"/>
      <c r="G323" s="478"/>
      <c r="H323" s="478"/>
      <c r="I323" s="478"/>
    </row>
    <row r="324" spans="4:9">
      <c r="D324" s="475"/>
      <c r="E324" s="476"/>
      <c r="F324" s="476"/>
      <c r="G324" s="478"/>
      <c r="H324" s="478"/>
      <c r="I324" s="478"/>
    </row>
    <row r="325" spans="4:9">
      <c r="D325" s="475"/>
      <c r="E325" s="476"/>
      <c r="F325" s="476"/>
      <c r="G325" s="478"/>
      <c r="H325" s="478"/>
      <c r="I325" s="478"/>
    </row>
    <row r="326" spans="4:9">
      <c r="D326" s="475"/>
      <c r="E326" s="476"/>
      <c r="F326" s="476"/>
      <c r="G326" s="478"/>
      <c r="H326" s="478"/>
      <c r="I326" s="478"/>
    </row>
    <row r="327" spans="4:9">
      <c r="D327" s="475"/>
      <c r="E327" s="476"/>
      <c r="F327" s="476"/>
      <c r="G327" s="478"/>
      <c r="H327" s="478"/>
      <c r="I327" s="478"/>
    </row>
    <row r="328" spans="4:9">
      <c r="D328" s="475"/>
      <c r="E328" s="476"/>
      <c r="F328" s="476"/>
      <c r="G328" s="478"/>
      <c r="H328" s="478"/>
      <c r="I328" s="478"/>
    </row>
    <row r="329" spans="4:9">
      <c r="D329" s="475"/>
      <c r="E329" s="476"/>
      <c r="F329" s="476"/>
      <c r="G329" s="478"/>
      <c r="H329" s="478"/>
      <c r="I329" s="478"/>
    </row>
    <row r="330" spans="4:9">
      <c r="D330" s="475"/>
      <c r="E330" s="476"/>
      <c r="F330" s="476"/>
      <c r="G330" s="478"/>
      <c r="H330" s="478"/>
      <c r="I330" s="478"/>
    </row>
    <row r="331" spans="4:9">
      <c r="D331" s="475"/>
      <c r="E331" s="476"/>
      <c r="F331" s="476"/>
      <c r="G331" s="478"/>
      <c r="H331" s="478"/>
      <c r="I331" s="478"/>
    </row>
    <row r="332" spans="4:9">
      <c r="D332" s="475"/>
      <c r="E332" s="476"/>
      <c r="F332" s="476"/>
      <c r="G332" s="478"/>
      <c r="H332" s="478"/>
      <c r="I332" s="478"/>
    </row>
    <row r="333" spans="4:9">
      <c r="D333" s="475"/>
      <c r="E333" s="476"/>
      <c r="F333" s="476"/>
      <c r="G333" s="478"/>
      <c r="H333" s="478"/>
      <c r="I333" s="478"/>
    </row>
    <row r="334" spans="4:9">
      <c r="D334" s="475"/>
      <c r="E334" s="476"/>
      <c r="F334" s="476"/>
      <c r="G334" s="478"/>
      <c r="H334" s="478"/>
      <c r="I334" s="478"/>
    </row>
    <row r="335" spans="4:9">
      <c r="D335" s="475"/>
      <c r="E335" s="476"/>
      <c r="F335" s="476"/>
      <c r="G335" s="478"/>
      <c r="H335" s="478"/>
      <c r="I335" s="478"/>
    </row>
    <row r="336" spans="4:9">
      <c r="D336" s="475"/>
      <c r="E336" s="476"/>
      <c r="F336" s="476"/>
      <c r="G336" s="478"/>
      <c r="H336" s="478"/>
      <c r="I336" s="478"/>
    </row>
    <row r="337" spans="4:9">
      <c r="D337" s="475"/>
      <c r="E337" s="476"/>
      <c r="F337" s="476"/>
      <c r="G337" s="478"/>
      <c r="H337" s="478"/>
      <c r="I337" s="478"/>
    </row>
    <row r="338" spans="4:9">
      <c r="D338" s="475"/>
      <c r="E338" s="476"/>
      <c r="F338" s="476"/>
      <c r="G338" s="478"/>
      <c r="H338" s="478"/>
      <c r="I338" s="478"/>
    </row>
    <row r="339" spans="4:9">
      <c r="D339" s="475"/>
      <c r="E339" s="476"/>
      <c r="F339" s="476"/>
      <c r="G339" s="478"/>
      <c r="H339" s="478"/>
      <c r="I339" s="478"/>
    </row>
    <row r="340" spans="4:9">
      <c r="D340" s="475"/>
      <c r="E340" s="476"/>
      <c r="F340" s="476"/>
      <c r="G340" s="478"/>
      <c r="H340" s="478"/>
      <c r="I340" s="478"/>
    </row>
    <row r="341" spans="4:9">
      <c r="D341" s="475"/>
      <c r="E341" s="476"/>
      <c r="F341" s="476"/>
      <c r="G341" s="478"/>
      <c r="H341" s="478"/>
      <c r="I341" s="478"/>
    </row>
    <row r="342" spans="4:9">
      <c r="D342" s="475"/>
      <c r="E342" s="476"/>
      <c r="F342" s="476"/>
      <c r="G342" s="478"/>
      <c r="H342" s="478"/>
      <c r="I342" s="478"/>
    </row>
    <row r="343" spans="4:9">
      <c r="D343" s="475"/>
      <c r="E343" s="476"/>
      <c r="F343" s="476"/>
      <c r="G343" s="478"/>
      <c r="H343" s="478"/>
      <c r="I343" s="478"/>
    </row>
    <row r="344" spans="4:9">
      <c r="D344" s="475"/>
      <c r="E344" s="476"/>
      <c r="F344" s="476"/>
      <c r="G344" s="478"/>
      <c r="H344" s="478"/>
      <c r="I344" s="478"/>
    </row>
    <row r="345" spans="4:9">
      <c r="D345" s="475"/>
      <c r="E345" s="476"/>
      <c r="F345" s="476"/>
      <c r="G345" s="478"/>
      <c r="H345" s="478"/>
      <c r="I345" s="478"/>
    </row>
    <row r="346" spans="4:9">
      <c r="D346" s="475"/>
      <c r="E346" s="476"/>
      <c r="F346" s="476"/>
      <c r="G346" s="478"/>
      <c r="H346" s="478"/>
      <c r="I346" s="478"/>
    </row>
    <row r="347" spans="4:9">
      <c r="D347" s="475"/>
      <c r="E347" s="476"/>
      <c r="F347" s="476"/>
      <c r="G347" s="478"/>
      <c r="H347" s="478"/>
      <c r="I347" s="478"/>
    </row>
    <row r="348" spans="4:9">
      <c r="D348" s="475"/>
      <c r="E348" s="476"/>
      <c r="F348" s="476"/>
      <c r="G348" s="478"/>
      <c r="H348" s="478"/>
      <c r="I348" s="478"/>
    </row>
    <row r="349" spans="4:9">
      <c r="D349" s="475"/>
      <c r="E349" s="476"/>
      <c r="F349" s="476"/>
      <c r="G349" s="478"/>
      <c r="H349" s="478"/>
      <c r="I349" s="478"/>
    </row>
    <row r="350" spans="4:9">
      <c r="D350" s="475"/>
      <c r="E350" s="476"/>
      <c r="F350" s="476"/>
      <c r="G350" s="478"/>
      <c r="H350" s="478"/>
      <c r="I350" s="478"/>
    </row>
    <row r="351" spans="4:9">
      <c r="D351" s="475"/>
      <c r="E351" s="476"/>
      <c r="F351" s="476"/>
      <c r="G351" s="478"/>
      <c r="H351" s="478"/>
      <c r="I351" s="478"/>
    </row>
    <row r="352" spans="4:9">
      <c r="D352" s="475"/>
      <c r="E352" s="476"/>
      <c r="F352" s="476"/>
      <c r="G352" s="478"/>
      <c r="H352" s="478"/>
      <c r="I352" s="478"/>
    </row>
    <row r="353" spans="4:9">
      <c r="D353" s="475"/>
      <c r="E353" s="476"/>
      <c r="F353" s="476"/>
      <c r="G353" s="478"/>
      <c r="H353" s="478"/>
      <c r="I353" s="478"/>
    </row>
    <row r="354" spans="4:9">
      <c r="D354" s="475"/>
      <c r="E354" s="476"/>
      <c r="F354" s="476"/>
      <c r="G354" s="478"/>
      <c r="H354" s="478"/>
      <c r="I354" s="478"/>
    </row>
    <row r="355" spans="4:9">
      <c r="D355" s="475"/>
      <c r="E355" s="476"/>
      <c r="F355" s="476"/>
      <c r="G355" s="478"/>
      <c r="H355" s="478"/>
      <c r="I355" s="478"/>
    </row>
    <row r="356" spans="4:9">
      <c r="D356" s="475"/>
      <c r="E356" s="476"/>
      <c r="F356" s="476"/>
      <c r="G356" s="478"/>
      <c r="H356" s="478"/>
      <c r="I356" s="478"/>
    </row>
    <row r="357" spans="4:9">
      <c r="D357" s="475"/>
      <c r="E357" s="476"/>
      <c r="F357" s="476"/>
      <c r="G357" s="478"/>
      <c r="H357" s="478"/>
      <c r="I357" s="478"/>
    </row>
    <row r="358" spans="4:9">
      <c r="D358" s="475"/>
      <c r="E358" s="476"/>
      <c r="F358" s="476"/>
      <c r="G358" s="478"/>
      <c r="H358" s="478"/>
      <c r="I358" s="478"/>
    </row>
    <row r="359" spans="4:9">
      <c r="D359" s="475"/>
      <c r="E359" s="476"/>
      <c r="F359" s="476"/>
      <c r="G359" s="478"/>
      <c r="H359" s="478"/>
      <c r="I359" s="478"/>
    </row>
    <row r="360" spans="4:9">
      <c r="D360" s="475"/>
      <c r="E360" s="476"/>
      <c r="F360" s="476"/>
      <c r="G360" s="478"/>
      <c r="H360" s="478"/>
      <c r="I360" s="478"/>
    </row>
    <row r="361" spans="4:9">
      <c r="D361" s="475"/>
      <c r="E361" s="476"/>
      <c r="F361" s="476"/>
      <c r="G361" s="478"/>
      <c r="H361" s="478"/>
      <c r="I361" s="478"/>
    </row>
    <row r="362" spans="4:9">
      <c r="D362" s="475"/>
      <c r="E362" s="476"/>
      <c r="F362" s="476"/>
      <c r="G362" s="478"/>
      <c r="H362" s="478"/>
      <c r="I362" s="478"/>
    </row>
    <row r="363" spans="4:9">
      <c r="D363" s="475"/>
      <c r="E363" s="476"/>
      <c r="F363" s="476"/>
      <c r="G363" s="478"/>
      <c r="H363" s="478"/>
      <c r="I363" s="478"/>
    </row>
    <row r="364" spans="4:9">
      <c r="D364" s="475"/>
      <c r="E364" s="476"/>
      <c r="F364" s="476"/>
      <c r="G364" s="478"/>
      <c r="H364" s="478"/>
      <c r="I364" s="478"/>
    </row>
    <row r="365" spans="4:9">
      <c r="D365" s="475"/>
      <c r="E365" s="476"/>
      <c r="F365" s="476"/>
      <c r="G365" s="478"/>
      <c r="H365" s="478"/>
      <c r="I365" s="478"/>
    </row>
    <row r="366" spans="4:9">
      <c r="D366" s="475"/>
      <c r="E366" s="476"/>
      <c r="F366" s="476"/>
      <c r="G366" s="478"/>
      <c r="H366" s="478"/>
      <c r="I366" s="478"/>
    </row>
    <row r="367" spans="4:9">
      <c r="D367" s="475"/>
      <c r="E367" s="476"/>
      <c r="F367" s="476"/>
      <c r="G367" s="478"/>
      <c r="H367" s="478"/>
      <c r="I367" s="478"/>
    </row>
    <row r="368" spans="4:9">
      <c r="D368" s="475"/>
      <c r="E368" s="476"/>
      <c r="F368" s="476"/>
      <c r="G368" s="478"/>
      <c r="H368" s="478"/>
      <c r="I368" s="478"/>
    </row>
    <row r="369" spans="4:9">
      <c r="D369" s="475"/>
      <c r="E369" s="476"/>
      <c r="F369" s="476"/>
      <c r="G369" s="478"/>
      <c r="H369" s="478"/>
      <c r="I369" s="478"/>
    </row>
    <row r="370" spans="4:9">
      <c r="D370" s="475"/>
      <c r="E370" s="476"/>
      <c r="F370" s="476"/>
      <c r="G370" s="478"/>
      <c r="H370" s="478"/>
      <c r="I370" s="478"/>
    </row>
    <row r="371" spans="4:9">
      <c r="D371" s="475"/>
      <c r="E371" s="476"/>
      <c r="F371" s="476"/>
      <c r="G371" s="478"/>
      <c r="H371" s="478"/>
      <c r="I371" s="478"/>
    </row>
    <row r="372" spans="4:9">
      <c r="D372" s="475"/>
      <c r="E372" s="476"/>
      <c r="F372" s="476"/>
      <c r="G372" s="478"/>
      <c r="H372" s="478"/>
      <c r="I372" s="478"/>
    </row>
    <row r="373" spans="4:9">
      <c r="D373" s="475"/>
      <c r="E373" s="476"/>
      <c r="F373" s="476"/>
      <c r="G373" s="478"/>
      <c r="H373" s="478"/>
      <c r="I373" s="478"/>
    </row>
    <row r="374" spans="4:9">
      <c r="D374" s="475"/>
      <c r="E374" s="476"/>
      <c r="F374" s="476"/>
      <c r="G374" s="478"/>
      <c r="H374" s="478"/>
      <c r="I374" s="478"/>
    </row>
    <row r="375" spans="4:9">
      <c r="D375" s="475"/>
      <c r="E375" s="476"/>
      <c r="F375" s="476"/>
      <c r="G375" s="478"/>
      <c r="H375" s="478"/>
      <c r="I375" s="478"/>
    </row>
    <row r="376" spans="4:9">
      <c r="D376" s="475"/>
      <c r="E376" s="476"/>
      <c r="F376" s="476"/>
      <c r="G376" s="478"/>
      <c r="H376" s="478"/>
      <c r="I376" s="478"/>
    </row>
    <row r="377" spans="4:9">
      <c r="D377" s="475"/>
      <c r="E377" s="476"/>
      <c r="F377" s="476"/>
      <c r="G377" s="478"/>
      <c r="H377" s="478"/>
      <c r="I377" s="478"/>
    </row>
    <row r="378" spans="4:9">
      <c r="D378" s="475"/>
      <c r="E378" s="476"/>
      <c r="F378" s="476"/>
      <c r="G378" s="478"/>
      <c r="H378" s="478"/>
      <c r="I378" s="478"/>
    </row>
    <row r="379" spans="4:9">
      <c r="D379" s="475"/>
      <c r="E379" s="476"/>
      <c r="F379" s="476"/>
      <c r="G379" s="478"/>
      <c r="H379" s="478"/>
      <c r="I379" s="478"/>
    </row>
    <row r="380" spans="4:9">
      <c r="D380" s="475"/>
      <c r="E380" s="476"/>
      <c r="F380" s="476"/>
      <c r="G380" s="478"/>
      <c r="H380" s="478"/>
      <c r="I380" s="478"/>
    </row>
    <row r="381" spans="4:9">
      <c r="D381" s="475"/>
      <c r="E381" s="476"/>
      <c r="F381" s="476"/>
      <c r="G381" s="478"/>
      <c r="H381" s="478"/>
      <c r="I381" s="478"/>
    </row>
    <row r="382" spans="4:9">
      <c r="D382" s="475"/>
      <c r="E382" s="476"/>
      <c r="F382" s="476"/>
      <c r="G382" s="478"/>
      <c r="H382" s="478"/>
      <c r="I382" s="478"/>
    </row>
    <row r="383" spans="4:9">
      <c r="D383" s="475"/>
      <c r="E383" s="476"/>
      <c r="F383" s="476"/>
      <c r="G383" s="478"/>
      <c r="H383" s="478"/>
      <c r="I383" s="478"/>
    </row>
    <row r="384" spans="4:9">
      <c r="D384" s="475"/>
      <c r="E384" s="476"/>
      <c r="F384" s="476"/>
      <c r="G384" s="478"/>
      <c r="H384" s="478"/>
      <c r="I384" s="478"/>
    </row>
    <row r="385" spans="4:9">
      <c r="D385" s="475"/>
      <c r="E385" s="476"/>
      <c r="F385" s="476"/>
      <c r="G385" s="478"/>
      <c r="H385" s="478"/>
      <c r="I385" s="478"/>
    </row>
    <row r="386" spans="4:9">
      <c r="D386" s="475"/>
      <c r="E386" s="476"/>
      <c r="F386" s="476"/>
      <c r="G386" s="478"/>
      <c r="H386" s="478"/>
      <c r="I386" s="478"/>
    </row>
    <row r="387" spans="4:9">
      <c r="D387" s="475"/>
      <c r="E387" s="476"/>
      <c r="F387" s="476"/>
      <c r="G387" s="478"/>
      <c r="H387" s="478"/>
      <c r="I387" s="478"/>
    </row>
    <row r="388" spans="4:9">
      <c r="D388" s="475"/>
      <c r="E388" s="476"/>
      <c r="F388" s="476"/>
      <c r="G388" s="478"/>
      <c r="H388" s="478"/>
      <c r="I388" s="478"/>
    </row>
    <row r="389" spans="4:9">
      <c r="D389" s="475"/>
      <c r="E389" s="476"/>
      <c r="F389" s="476"/>
      <c r="G389" s="478"/>
      <c r="H389" s="478"/>
      <c r="I389" s="478"/>
    </row>
    <row r="390" spans="4:9">
      <c r="D390" s="475"/>
      <c r="E390" s="476"/>
      <c r="F390" s="476"/>
      <c r="G390" s="478"/>
      <c r="H390" s="478"/>
      <c r="I390" s="478"/>
    </row>
    <row r="391" spans="4:9">
      <c r="D391" s="475"/>
      <c r="E391" s="476"/>
      <c r="F391" s="476"/>
      <c r="G391" s="478"/>
      <c r="H391" s="478"/>
      <c r="I391" s="478"/>
    </row>
    <row r="392" spans="4:9">
      <c r="D392" s="475"/>
      <c r="E392" s="476"/>
      <c r="F392" s="476"/>
      <c r="G392" s="478"/>
      <c r="H392" s="478"/>
      <c r="I392" s="478"/>
    </row>
    <row r="393" spans="4:9">
      <c r="D393" s="475"/>
      <c r="E393" s="476"/>
      <c r="F393" s="476"/>
      <c r="G393" s="478"/>
      <c r="H393" s="478"/>
      <c r="I393" s="478"/>
    </row>
    <row r="394" spans="4:9">
      <c r="D394" s="475"/>
      <c r="E394" s="476"/>
      <c r="F394" s="476"/>
      <c r="G394" s="478"/>
      <c r="H394" s="478"/>
      <c r="I394" s="478"/>
    </row>
    <row r="395" spans="4:9">
      <c r="D395" s="475"/>
      <c r="E395" s="476"/>
      <c r="F395" s="476"/>
      <c r="G395" s="478"/>
      <c r="H395" s="478"/>
      <c r="I395" s="478"/>
    </row>
    <row r="396" spans="4:9">
      <c r="D396" s="475"/>
      <c r="E396" s="476"/>
      <c r="F396" s="476"/>
      <c r="G396" s="478"/>
      <c r="H396" s="478"/>
      <c r="I396" s="478"/>
    </row>
    <row r="397" spans="4:9">
      <c r="D397" s="475"/>
      <c r="E397" s="476"/>
      <c r="F397" s="476"/>
      <c r="G397" s="478"/>
      <c r="H397" s="478"/>
      <c r="I397" s="478"/>
    </row>
    <row r="398" spans="4:9">
      <c r="D398" s="475"/>
      <c r="E398" s="476"/>
      <c r="F398" s="476"/>
      <c r="G398" s="478"/>
      <c r="H398" s="478"/>
      <c r="I398" s="478"/>
    </row>
    <row r="399" spans="4:9">
      <c r="D399" s="475"/>
      <c r="E399" s="476"/>
      <c r="F399" s="476"/>
      <c r="G399" s="478"/>
      <c r="H399" s="478"/>
      <c r="I399" s="478"/>
    </row>
    <row r="400" spans="4:9">
      <c r="D400" s="475"/>
      <c r="E400" s="476"/>
      <c r="F400" s="476"/>
      <c r="G400" s="478"/>
      <c r="H400" s="478"/>
      <c r="I400" s="4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32</vt:i4>
      </vt:variant>
    </vt:vector>
  </HeadingPairs>
  <TitlesOfParts>
    <vt:vector size="57" baseType="lpstr">
      <vt:lpstr>rekanan</vt:lpstr>
      <vt:lpstr>BAPR </vt:lpstr>
      <vt:lpstr>BAP  1</vt:lpstr>
      <vt:lpstr>BAP  2</vt:lpstr>
      <vt:lpstr>BAP  3</vt:lpstr>
      <vt:lpstr>BAP  4</vt:lpstr>
      <vt:lpstr>BAP  5</vt:lpstr>
      <vt:lpstr>BAP  6</vt:lpstr>
      <vt:lpstr>BAPP</vt:lpstr>
      <vt:lpstr>BAPP 2</vt:lpstr>
      <vt:lpstr>BAPP 3</vt:lpstr>
      <vt:lpstr>BAPP 4</vt:lpstr>
      <vt:lpstr>BAPP 5</vt:lpstr>
      <vt:lpstr>BAPP 6</vt:lpstr>
      <vt:lpstr>rincian </vt:lpstr>
      <vt:lpstr>rincian 2</vt:lpstr>
      <vt:lpstr>rincian 3</vt:lpstr>
      <vt:lpstr>rincian 4</vt:lpstr>
      <vt:lpstr>rincian 5</vt:lpstr>
      <vt:lpstr>rincian 6</vt:lpstr>
      <vt:lpstr>lamp1</vt:lpstr>
      <vt:lpstr>HELPER</vt:lpstr>
      <vt:lpstr>DATA</vt:lpstr>
      <vt:lpstr>REKAP PROGRES</vt:lpstr>
      <vt:lpstr>PIVOT PROGRES</vt:lpstr>
      <vt:lpstr>'BAP  1'!Print_Area</vt:lpstr>
      <vt:lpstr>'BAP  2'!Print_Area</vt:lpstr>
      <vt:lpstr>'BAP  3'!Print_Area</vt:lpstr>
      <vt:lpstr>'BAP  4'!Print_Area</vt:lpstr>
      <vt:lpstr>'BAP  5'!Print_Area</vt:lpstr>
      <vt:lpstr>'BAP  6'!Print_Area</vt:lpstr>
      <vt:lpstr>BAPP!Print_Area</vt:lpstr>
      <vt:lpstr>'BAPP 2'!Print_Area</vt:lpstr>
      <vt:lpstr>'BAPP 3'!Print_Area</vt:lpstr>
      <vt:lpstr>'BAPP 4'!Print_Area</vt:lpstr>
      <vt:lpstr>'BAPP 5'!Print_Area</vt:lpstr>
      <vt:lpstr>'BAPP 6'!Print_Area</vt:lpstr>
      <vt:lpstr>'BAPR '!Print_Area</vt:lpstr>
      <vt:lpstr>lamp1!Print_Area</vt:lpstr>
      <vt:lpstr>'rincian '!Print_Area</vt:lpstr>
      <vt:lpstr>'rincian 2'!Print_Area</vt:lpstr>
      <vt:lpstr>'rincian 3'!Print_Area</vt:lpstr>
      <vt:lpstr>'rincian 4'!Print_Area</vt:lpstr>
      <vt:lpstr>'rincian 5'!Print_Area</vt:lpstr>
      <vt:lpstr>'rincian 6'!Print_Area</vt:lpstr>
      <vt:lpstr>BAPP!Print_Titles</vt:lpstr>
      <vt:lpstr>'BAPP 2'!Print_Titles</vt:lpstr>
      <vt:lpstr>'BAPP 3'!Print_Titles</vt:lpstr>
      <vt:lpstr>'BAPP 4'!Print_Titles</vt:lpstr>
      <vt:lpstr>'BAPP 5'!Print_Titles</vt:lpstr>
      <vt:lpstr>'BAPP 6'!Print_Titles</vt:lpstr>
      <vt:lpstr>'rincian '!Print_Titles</vt:lpstr>
      <vt:lpstr>'rincian 2'!Print_Titles</vt:lpstr>
      <vt:lpstr>'rincian 3'!Print_Titles</vt:lpstr>
      <vt:lpstr>'rincian 4'!Print_Titles</vt:lpstr>
      <vt:lpstr>'rincian 5'!Print_Titles</vt:lpstr>
      <vt:lpstr>'rincian 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2026-07-23T06:18:58Z</cp:lastPrinted>
  <dcterms:created xsi:type="dcterms:W3CDTF">2015-08-06T03:38:41Z</dcterms:created>
  <dcterms:modified xsi:type="dcterms:W3CDTF">2026-10-29T11:35:17Z</dcterms:modified>
</cp:coreProperties>
</file>